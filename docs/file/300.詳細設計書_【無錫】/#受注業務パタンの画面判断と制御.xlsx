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omments9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Z1\MDSOL_CP\#svn\300.詳細設計書_【無錫】\"/>
    </mc:Choice>
  </mc:AlternateContent>
  <xr:revisionPtr revIDLastSave="0" documentId="13_ncr:1_{4FAB54BD-D9E2-4635-9C19-8A8A6DA619FF}" xr6:coauthVersionLast="47" xr6:coauthVersionMax="47" xr10:uidLastSave="{00000000-0000-0000-0000-000000000000}"/>
  <bookViews>
    <workbookView xWindow="5805" yWindow="345" windowWidth="23055" windowHeight="14040" tabRatio="864" xr2:uid="{00000000-000D-0000-FFFF-FFFF00000000}"/>
  </bookViews>
  <sheets>
    <sheet name="暫定対応" sheetId="22" r:id="rId1"/>
    <sheet name="受注パタンの纏め" sheetId="7" r:id="rId2"/>
    <sheet name="原紙" sheetId="21" r:id="rId3"/>
    <sheet name="汎用マスタ" sheetId="11" r:id="rId4"/>
    <sheet name="補足説明資料_受注画面制御" sheetId="20" r:id="rId5"/>
    <sheet name="1_加工受注" sheetId="12" r:id="rId6"/>
    <sheet name="2_シート受注" sheetId="13" r:id="rId7"/>
    <sheet name="3_商品購買" sheetId="14" r:id="rId8"/>
    <sheet name="3_商品購買（版型）" sheetId="15" r:id="rId9"/>
    <sheet name="4_商品購買（有償支給）" sheetId="16" r:id="rId10"/>
    <sheet name="4_商品購買（諸口）" sheetId="17" r:id="rId11"/>
    <sheet name="5_原紙（原紙売り）" sheetId="18" r:id="rId12"/>
    <sheet name="5_原紙（輪切り）" sheetId="19" r:id="rId13"/>
    <sheet name="｜➡参考" sheetId="9" r:id="rId14"/>
    <sheet name="受注⇒MCの集约" sheetId="6" r:id="rId15"/>
    <sheet name="画面制御（試し）" sheetId="3" r:id="rId16"/>
    <sheet name="纏め（試し）" sheetId="4" r:id="rId17"/>
    <sheet name="受注業務パタン" sheetId="2" r:id="rId18"/>
    <sheet name="受注⇒MC" sheetId="1" r:id="rId19"/>
  </sheets>
  <externalReferences>
    <externalReference r:id="rId20"/>
    <externalReference r:id="rId21"/>
    <externalReference r:id="rId22"/>
  </externalReferences>
  <definedNames>
    <definedName name="_____________a1" localSheetId="5" hidden="1">{"'Sheet1'!$A$3:$I$11"}</definedName>
    <definedName name="_____________a1" localSheetId="6" hidden="1">{"'Sheet1'!$A$3:$I$11"}</definedName>
    <definedName name="_____________a1" localSheetId="7" hidden="1">{"'Sheet1'!$A$3:$I$11"}</definedName>
    <definedName name="_____________a1" localSheetId="8" hidden="1">{"'Sheet1'!$A$3:$I$11"}</definedName>
    <definedName name="_____________a1" localSheetId="10" hidden="1">{"'Sheet1'!$A$3:$I$11"}</definedName>
    <definedName name="_____________a1" localSheetId="9" hidden="1">{"'Sheet1'!$A$3:$I$11"}</definedName>
    <definedName name="_____________a1" localSheetId="11" hidden="1">{"'Sheet1'!$A$3:$I$11"}</definedName>
    <definedName name="_____________a1" localSheetId="12" hidden="1">{"'Sheet1'!$A$3:$I$11"}</definedName>
    <definedName name="_____________a1" localSheetId="4" hidden="1">{"'Sheet1'!$A$3:$I$11"}</definedName>
    <definedName name="_____________a1" hidden="1">{"'Sheet1'!$A$3:$I$11"}</definedName>
    <definedName name="____________a1" localSheetId="5" hidden="1">{"'Sheet1'!$A$3:$I$11"}</definedName>
    <definedName name="____________a1" localSheetId="6" hidden="1">{"'Sheet1'!$A$3:$I$11"}</definedName>
    <definedName name="____________a1" localSheetId="7" hidden="1">{"'Sheet1'!$A$3:$I$11"}</definedName>
    <definedName name="____________a1" localSheetId="8" hidden="1">{"'Sheet1'!$A$3:$I$11"}</definedName>
    <definedName name="____________a1" localSheetId="10" hidden="1">{"'Sheet1'!$A$3:$I$11"}</definedName>
    <definedName name="____________a1" localSheetId="9" hidden="1">{"'Sheet1'!$A$3:$I$11"}</definedName>
    <definedName name="____________a1" localSheetId="11" hidden="1">{"'Sheet1'!$A$3:$I$11"}</definedName>
    <definedName name="____________a1" localSheetId="12" hidden="1">{"'Sheet1'!$A$3:$I$11"}</definedName>
    <definedName name="____________a1" localSheetId="4" hidden="1">{"'Sheet1'!$A$3:$I$11"}</definedName>
    <definedName name="____________a1" hidden="1">{"'Sheet1'!$A$3:$I$11"}</definedName>
    <definedName name="___________a1" localSheetId="5" hidden="1">{"'Sheet1'!$A$3:$I$11"}</definedName>
    <definedName name="___________a1" localSheetId="6" hidden="1">{"'Sheet1'!$A$3:$I$11"}</definedName>
    <definedName name="___________a1" localSheetId="7" hidden="1">{"'Sheet1'!$A$3:$I$11"}</definedName>
    <definedName name="___________a1" localSheetId="8" hidden="1">{"'Sheet1'!$A$3:$I$11"}</definedName>
    <definedName name="___________a1" localSheetId="10" hidden="1">{"'Sheet1'!$A$3:$I$11"}</definedName>
    <definedName name="___________a1" localSheetId="9" hidden="1">{"'Sheet1'!$A$3:$I$11"}</definedName>
    <definedName name="___________a1" localSheetId="11" hidden="1">{"'Sheet1'!$A$3:$I$11"}</definedName>
    <definedName name="___________a1" localSheetId="12" hidden="1">{"'Sheet1'!$A$3:$I$11"}</definedName>
    <definedName name="___________a1" localSheetId="4" hidden="1">{"'Sheet1'!$A$3:$I$11"}</definedName>
    <definedName name="___________a1" hidden="1">{"'Sheet1'!$A$3:$I$11"}</definedName>
    <definedName name="_________a1" localSheetId="5" hidden="1">{"'Sheet1'!$A$3:$I$11"}</definedName>
    <definedName name="_________a1" localSheetId="6" hidden="1">{"'Sheet1'!$A$3:$I$11"}</definedName>
    <definedName name="_________a1" localSheetId="7" hidden="1">{"'Sheet1'!$A$3:$I$11"}</definedName>
    <definedName name="_________a1" localSheetId="8" hidden="1">{"'Sheet1'!$A$3:$I$11"}</definedName>
    <definedName name="_________a1" localSheetId="10" hidden="1">{"'Sheet1'!$A$3:$I$11"}</definedName>
    <definedName name="_________a1" localSheetId="9" hidden="1">{"'Sheet1'!$A$3:$I$11"}</definedName>
    <definedName name="_________a1" localSheetId="11" hidden="1">{"'Sheet1'!$A$3:$I$11"}</definedName>
    <definedName name="_________a1" localSheetId="12" hidden="1">{"'Sheet1'!$A$3:$I$11"}</definedName>
    <definedName name="_________a1" localSheetId="4" hidden="1">{"'Sheet1'!$A$3:$I$11"}</definedName>
    <definedName name="_________a1" hidden="1">{"'Sheet1'!$A$3:$I$11"}</definedName>
    <definedName name="________a1" localSheetId="5" hidden="1">{"'Sheet1'!$A$3:$I$11"}</definedName>
    <definedName name="________a1" localSheetId="6" hidden="1">{"'Sheet1'!$A$3:$I$11"}</definedName>
    <definedName name="________a1" localSheetId="7" hidden="1">{"'Sheet1'!$A$3:$I$11"}</definedName>
    <definedName name="________a1" localSheetId="8" hidden="1">{"'Sheet1'!$A$3:$I$11"}</definedName>
    <definedName name="________a1" localSheetId="10" hidden="1">{"'Sheet1'!$A$3:$I$11"}</definedName>
    <definedName name="________a1" localSheetId="9" hidden="1">{"'Sheet1'!$A$3:$I$11"}</definedName>
    <definedName name="________a1" localSheetId="11" hidden="1">{"'Sheet1'!$A$3:$I$11"}</definedName>
    <definedName name="________a1" localSheetId="12" hidden="1">{"'Sheet1'!$A$3:$I$11"}</definedName>
    <definedName name="________a1" localSheetId="4" hidden="1">{"'Sheet1'!$A$3:$I$11"}</definedName>
    <definedName name="________a1" hidden="1">{"'Sheet1'!$A$3:$I$11"}</definedName>
    <definedName name="______a1" localSheetId="5" hidden="1">{"'Sheet1'!$A$3:$I$11"}</definedName>
    <definedName name="______a1" localSheetId="6" hidden="1">{"'Sheet1'!$A$3:$I$11"}</definedName>
    <definedName name="______a1" localSheetId="7" hidden="1">{"'Sheet1'!$A$3:$I$11"}</definedName>
    <definedName name="______a1" localSheetId="8" hidden="1">{"'Sheet1'!$A$3:$I$11"}</definedName>
    <definedName name="______a1" localSheetId="10" hidden="1">{"'Sheet1'!$A$3:$I$11"}</definedName>
    <definedName name="______a1" localSheetId="9" hidden="1">{"'Sheet1'!$A$3:$I$11"}</definedName>
    <definedName name="______a1" localSheetId="11" hidden="1">{"'Sheet1'!$A$3:$I$11"}</definedName>
    <definedName name="______a1" localSheetId="12" hidden="1">{"'Sheet1'!$A$3:$I$11"}</definedName>
    <definedName name="______a1" localSheetId="4" hidden="1">{"'Sheet1'!$A$3:$I$11"}</definedName>
    <definedName name="______a1" hidden="1">{"'Sheet1'!$A$3:$I$11"}</definedName>
    <definedName name="_____a1" localSheetId="5" hidden="1">{"'Sheet1'!$A$3:$I$11"}</definedName>
    <definedName name="_____a1" localSheetId="6" hidden="1">{"'Sheet1'!$A$3:$I$11"}</definedName>
    <definedName name="_____a1" localSheetId="7" hidden="1">{"'Sheet1'!$A$3:$I$11"}</definedName>
    <definedName name="_____a1" localSheetId="8" hidden="1">{"'Sheet1'!$A$3:$I$11"}</definedName>
    <definedName name="_____a1" localSheetId="10" hidden="1">{"'Sheet1'!$A$3:$I$11"}</definedName>
    <definedName name="_____a1" localSheetId="9" hidden="1">{"'Sheet1'!$A$3:$I$11"}</definedName>
    <definedName name="_____a1" localSheetId="11" hidden="1">{"'Sheet1'!$A$3:$I$11"}</definedName>
    <definedName name="_____a1" localSheetId="12" hidden="1">{"'Sheet1'!$A$3:$I$11"}</definedName>
    <definedName name="_____a1" localSheetId="4" hidden="1">{"'Sheet1'!$A$3:$I$11"}</definedName>
    <definedName name="_____a1" hidden="1">{"'Sheet1'!$A$3:$I$11"}</definedName>
    <definedName name="____a1" localSheetId="5" hidden="1">{"'Sheet1'!$A$3:$I$11"}</definedName>
    <definedName name="____a1" localSheetId="6" hidden="1">{"'Sheet1'!$A$3:$I$11"}</definedName>
    <definedName name="____a1" localSheetId="7" hidden="1">{"'Sheet1'!$A$3:$I$11"}</definedName>
    <definedName name="____a1" localSheetId="8" hidden="1">{"'Sheet1'!$A$3:$I$11"}</definedName>
    <definedName name="____a1" localSheetId="10" hidden="1">{"'Sheet1'!$A$3:$I$11"}</definedName>
    <definedName name="____a1" localSheetId="9" hidden="1">{"'Sheet1'!$A$3:$I$11"}</definedName>
    <definedName name="____a1" localSheetId="11" hidden="1">{"'Sheet1'!$A$3:$I$11"}</definedName>
    <definedName name="____a1" localSheetId="12" hidden="1">{"'Sheet1'!$A$3:$I$11"}</definedName>
    <definedName name="____a1" localSheetId="4" hidden="1">{"'Sheet1'!$A$3:$I$11"}</definedName>
    <definedName name="____a1" hidden="1">{"'Sheet1'!$A$3:$I$11"}</definedName>
    <definedName name="___a1" localSheetId="5" hidden="1">{"'Sheet1'!$A$3:$I$11"}</definedName>
    <definedName name="___a1" localSheetId="6" hidden="1">{"'Sheet1'!$A$3:$I$11"}</definedName>
    <definedName name="___a1" localSheetId="7" hidden="1">{"'Sheet1'!$A$3:$I$11"}</definedName>
    <definedName name="___a1" localSheetId="8" hidden="1">{"'Sheet1'!$A$3:$I$11"}</definedName>
    <definedName name="___a1" localSheetId="10" hidden="1">{"'Sheet1'!$A$3:$I$11"}</definedName>
    <definedName name="___a1" localSheetId="9" hidden="1">{"'Sheet1'!$A$3:$I$11"}</definedName>
    <definedName name="___a1" localSheetId="11" hidden="1">{"'Sheet1'!$A$3:$I$11"}</definedName>
    <definedName name="___a1" localSheetId="12" hidden="1">{"'Sheet1'!$A$3:$I$11"}</definedName>
    <definedName name="___a1" localSheetId="4" hidden="1">{"'Sheet1'!$A$3:$I$11"}</definedName>
    <definedName name="___a1" hidden="1">{"'Sheet1'!$A$3:$I$11"}</definedName>
    <definedName name="__a1" localSheetId="5" hidden="1">{"'Sheet1'!$A$3:$I$11"}</definedName>
    <definedName name="__a1" localSheetId="6" hidden="1">{"'Sheet1'!$A$3:$I$11"}</definedName>
    <definedName name="__a1" localSheetId="7" hidden="1">{"'Sheet1'!$A$3:$I$11"}</definedName>
    <definedName name="__a1" localSheetId="8" hidden="1">{"'Sheet1'!$A$3:$I$11"}</definedName>
    <definedName name="__a1" localSheetId="10" hidden="1">{"'Sheet1'!$A$3:$I$11"}</definedName>
    <definedName name="__a1" localSheetId="9" hidden="1">{"'Sheet1'!$A$3:$I$11"}</definedName>
    <definedName name="__a1" localSheetId="11" hidden="1">{"'Sheet1'!$A$3:$I$11"}</definedName>
    <definedName name="__a1" localSheetId="12" hidden="1">{"'Sheet1'!$A$3:$I$11"}</definedName>
    <definedName name="__a1" localSheetId="4" hidden="1">{"'Sheet1'!$A$3:$I$11"}</definedName>
    <definedName name="__a1" hidden="1">{"'Sheet1'!$A$3:$I$11"}</definedName>
    <definedName name="_xlnm._FilterDatabase" localSheetId="15" hidden="1">'画面制御（試し）'!$E$65:$R$73</definedName>
    <definedName name="_xlnm._FilterDatabase" localSheetId="18" hidden="1">受注⇒MC!$A$2:$AW$190</definedName>
    <definedName name="_xlnm._FilterDatabase" localSheetId="14" hidden="1">受注⇒MCの集约!$A$2:$N$147</definedName>
    <definedName name="_xlnm._FilterDatabase" localSheetId="1" hidden="1">受注パタンの纏め!$B$3:$K$75</definedName>
    <definedName name="_Order1" hidden="1">255</definedName>
    <definedName name="_Table2_In1" localSheetId="5" hidden="1">[1]LIST!#REF!</definedName>
    <definedName name="_Table2_In1" localSheetId="6" hidden="1">[1]LIST!#REF!</definedName>
    <definedName name="_Table2_In1" localSheetId="7" hidden="1">[1]LIST!#REF!</definedName>
    <definedName name="_Table2_In1" localSheetId="8" hidden="1">[1]LIST!#REF!</definedName>
    <definedName name="_Table2_In1" localSheetId="10" hidden="1">[1]LIST!#REF!</definedName>
    <definedName name="_Table2_In1" localSheetId="9" hidden="1">[1]LIST!#REF!</definedName>
    <definedName name="_Table2_In1" localSheetId="11" hidden="1">[1]LIST!#REF!</definedName>
    <definedName name="_Table2_In1" localSheetId="12" hidden="1">[1]LIST!#REF!</definedName>
    <definedName name="_Table2_In1" hidden="1">[1]LIST!#REF!</definedName>
    <definedName name="_Table2_In2" localSheetId="5" hidden="1">[1]LIST!#REF!</definedName>
    <definedName name="_Table2_In2" localSheetId="6" hidden="1">[1]LIST!#REF!</definedName>
    <definedName name="_Table2_In2" localSheetId="7" hidden="1">[1]LIST!#REF!</definedName>
    <definedName name="_Table2_In2" localSheetId="8" hidden="1">[1]LIST!#REF!</definedName>
    <definedName name="_Table2_In2" localSheetId="10" hidden="1">[1]LIST!#REF!</definedName>
    <definedName name="_Table2_In2" localSheetId="9" hidden="1">[1]LIST!#REF!</definedName>
    <definedName name="_Table2_In2" localSheetId="11" hidden="1">[1]LIST!#REF!</definedName>
    <definedName name="_Table2_In2" localSheetId="12" hidden="1">[1]LIST!#REF!</definedName>
    <definedName name="_Table2_In2" hidden="1">[1]LIST!#REF!</definedName>
    <definedName name="A" localSheetId="5" hidden="1">#REF!</definedName>
    <definedName name="A" localSheetId="6" hidden="1">#REF!</definedName>
    <definedName name="A" localSheetId="7" hidden="1">#REF!</definedName>
    <definedName name="A" localSheetId="8" hidden="1">#REF!</definedName>
    <definedName name="A" localSheetId="10" hidden="1">#REF!</definedName>
    <definedName name="A" localSheetId="9" hidden="1">#REF!</definedName>
    <definedName name="A" localSheetId="11" hidden="1">#REF!</definedName>
    <definedName name="A" localSheetId="12" hidden="1">#REF!</definedName>
    <definedName name="A" hidden="1">#REF!</definedName>
    <definedName name="aa" localSheetId="5" hidden="1">{"'その他費用'!$B$3:$J$22"}</definedName>
    <definedName name="aa" localSheetId="6" hidden="1">{"'その他費用'!$B$3:$J$22"}</definedName>
    <definedName name="aa" localSheetId="7" hidden="1">{"'その他費用'!$B$3:$J$22"}</definedName>
    <definedName name="aa" localSheetId="8" hidden="1">{"'その他費用'!$B$3:$J$22"}</definedName>
    <definedName name="aa" localSheetId="10" hidden="1">{"'その他費用'!$B$3:$J$22"}</definedName>
    <definedName name="aa" localSheetId="9" hidden="1">{"'その他費用'!$B$3:$J$22"}</definedName>
    <definedName name="aa" localSheetId="11" hidden="1">{"'その他費用'!$B$3:$J$22"}</definedName>
    <definedName name="aa" localSheetId="12" hidden="1">{"'その他費用'!$B$3:$J$22"}</definedName>
    <definedName name="aa" localSheetId="4" hidden="1">{"'その他費用'!$B$3:$J$22"}</definedName>
    <definedName name="aa" hidden="1">{"'その他費用'!$B$3:$J$22"}</definedName>
    <definedName name="AB" localSheetId="5" hidden="1">#REF!</definedName>
    <definedName name="AB" localSheetId="6" hidden="1">#REF!</definedName>
    <definedName name="AB" localSheetId="7" hidden="1">#REF!</definedName>
    <definedName name="AB" localSheetId="8" hidden="1">#REF!</definedName>
    <definedName name="AB" localSheetId="10" hidden="1">#REF!</definedName>
    <definedName name="AB" localSheetId="9" hidden="1">#REF!</definedName>
    <definedName name="AB" localSheetId="11" hidden="1">#REF!</definedName>
    <definedName name="AB" localSheetId="12" hidden="1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DDON" localSheetId="5" hidden="1">{"'その他費用'!$B$3:$J$22"}</definedName>
    <definedName name="ADDON" localSheetId="6" hidden="1">{"'その他費用'!$B$3:$J$22"}</definedName>
    <definedName name="ADDON" localSheetId="7" hidden="1">{"'その他費用'!$B$3:$J$22"}</definedName>
    <definedName name="ADDON" localSheetId="8" hidden="1">{"'その他費用'!$B$3:$J$22"}</definedName>
    <definedName name="ADDON" localSheetId="10" hidden="1">{"'その他費用'!$B$3:$J$22"}</definedName>
    <definedName name="ADDON" localSheetId="9" hidden="1">{"'その他費用'!$B$3:$J$22"}</definedName>
    <definedName name="ADDON" localSheetId="11" hidden="1">{"'その他費用'!$B$3:$J$22"}</definedName>
    <definedName name="ADDON" localSheetId="12" hidden="1">{"'その他費用'!$B$3:$J$22"}</definedName>
    <definedName name="ADDON" localSheetId="4" hidden="1">{"'その他費用'!$B$3:$J$22"}</definedName>
    <definedName name="ADDON" hidden="1">{"'その他費用'!$B$3:$J$22"}</definedName>
    <definedName name="ADDON_2" localSheetId="5" hidden="1">{"'その他費用'!$B$3:$J$22"}</definedName>
    <definedName name="ADDON_2" localSheetId="6" hidden="1">{"'その他費用'!$B$3:$J$22"}</definedName>
    <definedName name="ADDON_2" localSheetId="7" hidden="1">{"'その他費用'!$B$3:$J$22"}</definedName>
    <definedName name="ADDON_2" localSheetId="8" hidden="1">{"'その他費用'!$B$3:$J$22"}</definedName>
    <definedName name="ADDON_2" localSheetId="10" hidden="1">{"'その他費用'!$B$3:$J$22"}</definedName>
    <definedName name="ADDON_2" localSheetId="9" hidden="1">{"'その他費用'!$B$3:$J$22"}</definedName>
    <definedName name="ADDON_2" localSheetId="11" hidden="1">{"'その他費用'!$B$3:$J$22"}</definedName>
    <definedName name="ADDON_2" localSheetId="12" hidden="1">{"'その他費用'!$B$3:$J$22"}</definedName>
    <definedName name="ADDON_2" localSheetId="4" hidden="1">{"'その他費用'!$B$3:$J$22"}</definedName>
    <definedName name="ADDON_2" hidden="1">{"'その他費用'!$B$3:$J$22"}</definedName>
    <definedName name="B" localSheetId="5" hidden="1">{"'その他費用'!$B$3:$J$22"}</definedName>
    <definedName name="B" localSheetId="6" hidden="1">{"'その他費用'!$B$3:$J$22"}</definedName>
    <definedName name="B" localSheetId="7" hidden="1">{"'その他費用'!$B$3:$J$22"}</definedName>
    <definedName name="B" localSheetId="8" hidden="1">{"'その他費用'!$B$3:$J$22"}</definedName>
    <definedName name="B" localSheetId="10" hidden="1">{"'その他費用'!$B$3:$J$22"}</definedName>
    <definedName name="B" localSheetId="9" hidden="1">{"'その他費用'!$B$3:$J$22"}</definedName>
    <definedName name="B" localSheetId="11" hidden="1">{"'その他費用'!$B$3:$J$22"}</definedName>
    <definedName name="B" localSheetId="12" hidden="1">{"'その他費用'!$B$3:$J$22"}</definedName>
    <definedName name="B" localSheetId="4" hidden="1">{"'その他費用'!$B$3:$J$22"}</definedName>
    <definedName name="B" hidden="1">{"'その他費用'!$B$3:$J$22"}</definedName>
    <definedName name="cc" localSheetId="5" hidden="1">{"'その他費用'!$B$3:$J$22"}</definedName>
    <definedName name="cc" localSheetId="6" hidden="1">{"'その他費用'!$B$3:$J$22"}</definedName>
    <definedName name="cc" localSheetId="7" hidden="1">{"'その他費用'!$B$3:$J$22"}</definedName>
    <definedName name="cc" localSheetId="8" hidden="1">{"'その他費用'!$B$3:$J$22"}</definedName>
    <definedName name="cc" localSheetId="10" hidden="1">{"'その他費用'!$B$3:$J$22"}</definedName>
    <definedName name="cc" localSheetId="9" hidden="1">{"'その他費用'!$B$3:$J$22"}</definedName>
    <definedName name="cc" localSheetId="11" hidden="1">{"'その他費用'!$B$3:$J$22"}</definedName>
    <definedName name="cc" localSheetId="12" hidden="1">{"'その他費用'!$B$3:$J$22"}</definedName>
    <definedName name="cc" localSheetId="4" hidden="1">{"'その他費用'!$B$3:$J$22"}</definedName>
    <definedName name="cc" hidden="1">{"'その他費用'!$B$3:$J$22"}</definedName>
    <definedName name="dd" localSheetId="5" hidden="1">{"'その他費用'!$B$3:$J$22"}</definedName>
    <definedName name="dd" localSheetId="6" hidden="1">{"'その他費用'!$B$3:$J$22"}</definedName>
    <definedName name="dd" localSheetId="7" hidden="1">{"'その他費用'!$B$3:$J$22"}</definedName>
    <definedName name="dd" localSheetId="8" hidden="1">{"'その他費用'!$B$3:$J$22"}</definedName>
    <definedName name="dd" localSheetId="10" hidden="1">{"'その他費用'!$B$3:$J$22"}</definedName>
    <definedName name="dd" localSheetId="9" hidden="1">{"'その他費用'!$B$3:$J$22"}</definedName>
    <definedName name="dd" localSheetId="11" hidden="1">{"'その他費用'!$B$3:$J$22"}</definedName>
    <definedName name="dd" localSheetId="12" hidden="1">{"'その他費用'!$B$3:$J$22"}</definedName>
    <definedName name="dd" localSheetId="4" hidden="1">{"'その他費用'!$B$3:$J$22"}</definedName>
    <definedName name="dd" hidden="1">{"'その他費用'!$B$3:$J$22"}</definedName>
    <definedName name="ee" localSheetId="5" hidden="1">{"'その他費用'!$B$3:$J$22"}</definedName>
    <definedName name="ee" localSheetId="6" hidden="1">{"'その他費用'!$B$3:$J$22"}</definedName>
    <definedName name="ee" localSheetId="7" hidden="1">{"'その他費用'!$B$3:$J$22"}</definedName>
    <definedName name="ee" localSheetId="8" hidden="1">{"'その他費用'!$B$3:$J$22"}</definedName>
    <definedName name="ee" localSheetId="10" hidden="1">{"'その他費用'!$B$3:$J$22"}</definedName>
    <definedName name="ee" localSheetId="9" hidden="1">{"'その他費用'!$B$3:$J$22"}</definedName>
    <definedName name="ee" localSheetId="11" hidden="1">{"'その他費用'!$B$3:$J$22"}</definedName>
    <definedName name="ee" localSheetId="12" hidden="1">{"'その他費用'!$B$3:$J$22"}</definedName>
    <definedName name="ee" localSheetId="4" hidden="1">{"'その他費用'!$B$3:$J$22"}</definedName>
    <definedName name="ee" hidden="1">{"'その他費用'!$B$3:$J$22"}</definedName>
    <definedName name="f" localSheetId="5" hidden="1">{"'その他費用'!$B$3:$J$22"}</definedName>
    <definedName name="f" localSheetId="6" hidden="1">{"'その他費用'!$B$3:$J$22"}</definedName>
    <definedName name="f" localSheetId="7" hidden="1">{"'その他費用'!$B$3:$J$22"}</definedName>
    <definedName name="f" localSheetId="8" hidden="1">{"'その他費用'!$B$3:$J$22"}</definedName>
    <definedName name="f" localSheetId="10" hidden="1">{"'その他費用'!$B$3:$J$22"}</definedName>
    <definedName name="f" localSheetId="9" hidden="1">{"'その他費用'!$B$3:$J$22"}</definedName>
    <definedName name="f" localSheetId="11" hidden="1">{"'その他費用'!$B$3:$J$22"}</definedName>
    <definedName name="f" localSheetId="12" hidden="1">{"'その他費用'!$B$3:$J$22"}</definedName>
    <definedName name="f" localSheetId="4" hidden="1">{"'その他費用'!$B$3:$J$22"}</definedName>
    <definedName name="f" hidden="1">{"'その他費用'!$B$3:$J$22"}</definedName>
    <definedName name="ffff" localSheetId="5" hidden="1">{"'その他費用'!$B$3:$J$22"}</definedName>
    <definedName name="ffff" localSheetId="6" hidden="1">{"'その他費用'!$B$3:$J$22"}</definedName>
    <definedName name="ffff" localSheetId="7" hidden="1">{"'その他費用'!$B$3:$J$22"}</definedName>
    <definedName name="ffff" localSheetId="8" hidden="1">{"'その他費用'!$B$3:$J$22"}</definedName>
    <definedName name="ffff" localSheetId="10" hidden="1">{"'その他費用'!$B$3:$J$22"}</definedName>
    <definedName name="ffff" localSheetId="9" hidden="1">{"'その他費用'!$B$3:$J$22"}</definedName>
    <definedName name="ffff" localSheetId="11" hidden="1">{"'その他費用'!$B$3:$J$22"}</definedName>
    <definedName name="ffff" localSheetId="12" hidden="1">{"'その他費用'!$B$3:$J$22"}</definedName>
    <definedName name="ffff" localSheetId="4" hidden="1">{"'その他費用'!$B$3:$J$22"}</definedName>
    <definedName name="ffff" hidden="1">{"'その他費用'!$B$3:$J$22"}</definedName>
    <definedName name="HTML_CodePage" hidden="1">932</definedName>
    <definedName name="HTML_Control" localSheetId="5" hidden="1">{"'その他費用'!$B$3:$J$22"}</definedName>
    <definedName name="HTML_Control" localSheetId="6" hidden="1">{"'その他費用'!$B$3:$J$22"}</definedName>
    <definedName name="HTML_Control" localSheetId="7" hidden="1">{"'その他費用'!$B$3:$J$22"}</definedName>
    <definedName name="HTML_Control" localSheetId="8" hidden="1">{"'その他費用'!$B$3:$J$22"}</definedName>
    <definedName name="HTML_Control" localSheetId="10" hidden="1">{"'その他費用'!$B$3:$J$22"}</definedName>
    <definedName name="HTML_Control" localSheetId="9" hidden="1">{"'その他費用'!$B$3:$J$22"}</definedName>
    <definedName name="HTML_Control" localSheetId="11" hidden="1">{"'その他費用'!$B$3:$J$22"}</definedName>
    <definedName name="HTML_Control" localSheetId="12" hidden="1">{"'その他費用'!$B$3:$J$22"}</definedName>
    <definedName name="HTML_Control" localSheetId="4" hidden="1">{"'その他費用'!$B$3:$J$22"}</definedName>
    <definedName name="HTML_Control" hidden="1">{"'その他費用'!$B$3:$J$22"}</definedName>
    <definedName name="HTML_Control1" localSheetId="5" hidden="1">{"'その他費用'!$B$3:$J$22"}</definedName>
    <definedName name="HTML_Control1" localSheetId="6" hidden="1">{"'その他費用'!$B$3:$J$22"}</definedName>
    <definedName name="HTML_Control1" localSheetId="7" hidden="1">{"'その他費用'!$B$3:$J$22"}</definedName>
    <definedName name="HTML_Control1" localSheetId="8" hidden="1">{"'その他費用'!$B$3:$J$22"}</definedName>
    <definedName name="HTML_Control1" localSheetId="10" hidden="1">{"'その他費用'!$B$3:$J$22"}</definedName>
    <definedName name="HTML_Control1" localSheetId="9" hidden="1">{"'その他費用'!$B$3:$J$22"}</definedName>
    <definedName name="HTML_Control1" localSheetId="11" hidden="1">{"'その他費用'!$B$3:$J$22"}</definedName>
    <definedName name="HTML_Control1" localSheetId="12" hidden="1">{"'その他費用'!$B$3:$J$22"}</definedName>
    <definedName name="HTML_Control1" localSheetId="4" hidden="1">{"'その他費用'!$B$3:$J$22"}</definedName>
    <definedName name="HTML_Control1" hidden="1">{"'その他費用'!$B$3:$J$22"}</definedName>
    <definedName name="HTML_Control2" localSheetId="5" hidden="1">{"'その他費用'!$B$3:$J$22"}</definedName>
    <definedName name="HTML_Control2" localSheetId="6" hidden="1">{"'その他費用'!$B$3:$J$22"}</definedName>
    <definedName name="HTML_Control2" localSheetId="7" hidden="1">{"'その他費用'!$B$3:$J$22"}</definedName>
    <definedName name="HTML_Control2" localSheetId="8" hidden="1">{"'その他費用'!$B$3:$J$22"}</definedName>
    <definedName name="HTML_Control2" localSheetId="10" hidden="1">{"'その他費用'!$B$3:$J$22"}</definedName>
    <definedName name="HTML_Control2" localSheetId="9" hidden="1">{"'その他費用'!$B$3:$J$22"}</definedName>
    <definedName name="HTML_Control2" localSheetId="11" hidden="1">{"'その他費用'!$B$3:$J$22"}</definedName>
    <definedName name="HTML_Control2" localSheetId="12" hidden="1">{"'その他費用'!$B$3:$J$22"}</definedName>
    <definedName name="HTML_Control2" localSheetId="4" hidden="1">{"'その他費用'!$B$3:$J$22"}</definedName>
    <definedName name="HTML_Control2" hidden="1">{"'その他費用'!$B$3:$J$22"}</definedName>
    <definedName name="HTML_Control3" localSheetId="5" hidden="1">{"'その他費用'!$B$3:$J$22"}</definedName>
    <definedName name="HTML_Control3" localSheetId="6" hidden="1">{"'その他費用'!$B$3:$J$22"}</definedName>
    <definedName name="HTML_Control3" localSheetId="7" hidden="1">{"'その他費用'!$B$3:$J$22"}</definedName>
    <definedName name="HTML_Control3" localSheetId="8" hidden="1">{"'その他費用'!$B$3:$J$22"}</definedName>
    <definedName name="HTML_Control3" localSheetId="10" hidden="1">{"'その他費用'!$B$3:$J$22"}</definedName>
    <definedName name="HTML_Control3" localSheetId="9" hidden="1">{"'その他費用'!$B$3:$J$22"}</definedName>
    <definedName name="HTML_Control3" localSheetId="11" hidden="1">{"'その他費用'!$B$3:$J$22"}</definedName>
    <definedName name="HTML_Control3" localSheetId="12" hidden="1">{"'その他費用'!$B$3:$J$22"}</definedName>
    <definedName name="HTML_Control3" localSheetId="4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nterFace" localSheetId="5" hidden="1">{"'その他費用'!$B$3:$J$22"}</definedName>
    <definedName name="InterFace" localSheetId="6" hidden="1">{"'その他費用'!$B$3:$J$22"}</definedName>
    <definedName name="InterFace" localSheetId="7" hidden="1">{"'その他費用'!$B$3:$J$22"}</definedName>
    <definedName name="InterFace" localSheetId="8" hidden="1">{"'その他費用'!$B$3:$J$22"}</definedName>
    <definedName name="InterFace" localSheetId="10" hidden="1">{"'その他費用'!$B$3:$J$22"}</definedName>
    <definedName name="InterFace" localSheetId="9" hidden="1">{"'その他費用'!$B$3:$J$22"}</definedName>
    <definedName name="InterFace" localSheetId="11" hidden="1">{"'その他費用'!$B$3:$J$22"}</definedName>
    <definedName name="InterFace" localSheetId="12" hidden="1">{"'その他費用'!$B$3:$J$22"}</definedName>
    <definedName name="InterFace" localSheetId="4" hidden="1">{"'その他費用'!$B$3:$J$22"}</definedName>
    <definedName name="InterFace" hidden="1">{"'その他費用'!$B$3:$J$22"}</definedName>
    <definedName name="_xlnm.Print_Area" localSheetId="5">'1_加工受注'!$A$2:$CJ$293</definedName>
    <definedName name="_xlnm.Print_Area" localSheetId="6">'2_シート受注'!$A$2:$CJ$315</definedName>
    <definedName name="_xlnm.Print_Area" localSheetId="7">'3_商品購買'!$A$2:$CJ$188</definedName>
    <definedName name="_xlnm.Print_Area" localSheetId="8">'3_商品購買（版型）'!$A$2:$CJ$128</definedName>
    <definedName name="_xlnm.Print_Area" localSheetId="10">'4_商品購買（諸口）'!$A$2:$CJ$188</definedName>
    <definedName name="_xlnm.Print_Area" localSheetId="9">'4_商品購買（有償支給）'!$A$2:$CJ$188</definedName>
    <definedName name="_xlnm.Print_Area" localSheetId="11">'5_原紙（原紙売り）'!$A$2:$CJ$266</definedName>
    <definedName name="_xlnm.Print_Area" localSheetId="12">'5_原紙（輪切り）'!$A$2:$CJ$260</definedName>
    <definedName name="_xlnm.Print_Area" localSheetId="4">補足説明資料_受注画面制御!$A$1:$CT$184</definedName>
    <definedName name="_xlnm.Print_Titles" localSheetId="5">'1_加工受注'!$2:$2</definedName>
    <definedName name="_xlnm.Print_Titles" localSheetId="6">'2_シート受注'!$2:$2</definedName>
    <definedName name="_xlnm.Print_Titles" localSheetId="7">'3_商品購買'!$2:$2</definedName>
    <definedName name="_xlnm.Print_Titles" localSheetId="8">'3_商品購買（版型）'!$2:$2</definedName>
    <definedName name="_xlnm.Print_Titles" localSheetId="10">'4_商品購買（諸口）'!$2:$2</definedName>
    <definedName name="_xlnm.Print_Titles" localSheetId="9">'4_商品購買（有償支給）'!$2:$2</definedName>
    <definedName name="_xlnm.Print_Titles" localSheetId="11">'5_原紙（原紙売り）'!$2:$2</definedName>
    <definedName name="_xlnm.Print_Titles" localSheetId="12">'5_原紙（輪切り）'!$2:$2</definedName>
    <definedName name="_xlnm.Print_Titles" localSheetId="4">補足説明資料_受注画面制御!$1:$4</definedName>
    <definedName name="Revision">#REF!</definedName>
    <definedName name="RR" localSheetId="5" hidden="1">{"'その他費用'!$B$3:$J$22"}</definedName>
    <definedName name="RR" localSheetId="6" hidden="1">{"'その他費用'!$B$3:$J$22"}</definedName>
    <definedName name="RR" localSheetId="7" hidden="1">{"'その他費用'!$B$3:$J$22"}</definedName>
    <definedName name="RR" localSheetId="8" hidden="1">{"'その他費用'!$B$3:$J$22"}</definedName>
    <definedName name="RR" localSheetId="10" hidden="1">{"'その他費用'!$B$3:$J$22"}</definedName>
    <definedName name="RR" localSheetId="9" hidden="1">{"'その他費用'!$B$3:$J$22"}</definedName>
    <definedName name="RR" localSheetId="11" hidden="1">{"'その他費用'!$B$3:$J$22"}</definedName>
    <definedName name="RR" localSheetId="12" hidden="1">{"'その他費用'!$B$3:$J$22"}</definedName>
    <definedName name="RR" localSheetId="4" hidden="1">{"'その他費用'!$B$3:$J$22"}</definedName>
    <definedName name="RR" hidden="1">{"'その他費用'!$B$3:$J$22"}</definedName>
    <definedName name="Version" localSheetId="5">#REF!</definedName>
    <definedName name="Version" localSheetId="6">#REF!</definedName>
    <definedName name="Version" localSheetId="7">#REF!</definedName>
    <definedName name="Version" localSheetId="8">#REF!</definedName>
    <definedName name="Version" localSheetId="10">#REF!</definedName>
    <definedName name="Version" localSheetId="9">#REF!</definedName>
    <definedName name="Version" localSheetId="11">#REF!</definedName>
    <definedName name="Version" localSheetId="12">#REF!</definedName>
    <definedName name="Version">#REF!</definedName>
    <definedName name="weww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1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1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1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eww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5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6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7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8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9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1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1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localSheetId="4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ああ" localSheetId="5" hidden="1">{"'その他費用'!$B$3:$J$22"}</definedName>
    <definedName name="ああ" localSheetId="6" hidden="1">{"'その他費用'!$B$3:$J$22"}</definedName>
    <definedName name="ああ" localSheetId="7" hidden="1">{"'その他費用'!$B$3:$J$22"}</definedName>
    <definedName name="ああ" localSheetId="8" hidden="1">{"'その他費用'!$B$3:$J$22"}</definedName>
    <definedName name="ああ" localSheetId="10" hidden="1">{"'その他費用'!$B$3:$J$22"}</definedName>
    <definedName name="ああ" localSheetId="9" hidden="1">{"'その他費用'!$B$3:$J$22"}</definedName>
    <definedName name="ああ" localSheetId="11" hidden="1">{"'その他費用'!$B$3:$J$22"}</definedName>
    <definedName name="ああ" localSheetId="12" hidden="1">{"'その他費用'!$B$3:$J$22"}</definedName>
    <definedName name="ああ" localSheetId="4" hidden="1">{"'その他費用'!$B$3:$J$22"}</definedName>
    <definedName name="ああ" hidden="1">{"'その他費用'!$B$3:$J$22"}</definedName>
    <definedName name="アドオン" localSheetId="5" hidden="1">{"'その他費用'!$B$3:$J$22"}</definedName>
    <definedName name="アドオン" localSheetId="6" hidden="1">{"'その他費用'!$B$3:$J$22"}</definedName>
    <definedName name="アドオン" localSheetId="7" hidden="1">{"'その他費用'!$B$3:$J$22"}</definedName>
    <definedName name="アドオン" localSheetId="8" hidden="1">{"'その他費用'!$B$3:$J$22"}</definedName>
    <definedName name="アドオン" localSheetId="10" hidden="1">{"'その他費用'!$B$3:$J$22"}</definedName>
    <definedName name="アドオン" localSheetId="9" hidden="1">{"'その他費用'!$B$3:$J$22"}</definedName>
    <definedName name="アドオン" localSheetId="11" hidden="1">{"'その他費用'!$B$3:$J$22"}</definedName>
    <definedName name="アドオン" localSheetId="12" hidden="1">{"'その他費用'!$B$3:$J$22"}</definedName>
    <definedName name="アドオン" localSheetId="4" hidden="1">{"'その他費用'!$B$3:$J$22"}</definedName>
    <definedName name="アドオン" hidden="1">{"'その他費用'!$B$3:$J$22"}</definedName>
    <definedName name="こ" localSheetId="5" hidden="1">{"'その他費用'!$B$3:$J$22"}</definedName>
    <definedName name="こ" localSheetId="6" hidden="1">{"'その他費用'!$B$3:$J$22"}</definedName>
    <definedName name="こ" localSheetId="7" hidden="1">{"'その他費用'!$B$3:$J$22"}</definedName>
    <definedName name="こ" localSheetId="8" hidden="1">{"'その他費用'!$B$3:$J$22"}</definedName>
    <definedName name="こ" localSheetId="10" hidden="1">{"'その他費用'!$B$3:$J$22"}</definedName>
    <definedName name="こ" localSheetId="9" hidden="1">{"'その他費用'!$B$3:$J$22"}</definedName>
    <definedName name="こ" localSheetId="11" hidden="1">{"'その他費用'!$B$3:$J$22"}</definedName>
    <definedName name="こ" localSheetId="12" hidden="1">{"'その他費用'!$B$3:$J$22"}</definedName>
    <definedName name="こ" localSheetId="4" hidden="1">{"'その他費用'!$B$3:$J$22"}</definedName>
    <definedName name="こ" hidden="1">{"'その他費用'!$B$3:$J$22"}</definedName>
    <definedName name="発行日">#REF!</definedName>
    <definedName name="文書番号">#REF!</definedName>
    <definedName name="文書番号_カスタマイズ">'[2]表紙（カスタマイズ）'!$U$20</definedName>
    <definedName name="文書名" localSheetId="5">#REF!</definedName>
    <definedName name="文書名" localSheetId="6">#REF!</definedName>
    <definedName name="文書名" localSheetId="7">#REF!</definedName>
    <definedName name="文書名" localSheetId="8">#REF!</definedName>
    <definedName name="文書名" localSheetId="10">#REF!</definedName>
    <definedName name="文書名" localSheetId="9">#REF!</definedName>
    <definedName name="文書名" localSheetId="11">#REF!</definedName>
    <definedName name="文書名" localSheetId="12">#REF!</definedName>
    <definedName name="文書名">#REF!</definedName>
    <definedName name="文書名_カスタマイズ">'[2]表紙（カスタマイズ）'!$M$10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20" l="1"/>
  <c r="AJ3" i="20"/>
  <c r="O3" i="20"/>
  <c r="CB2" i="20"/>
  <c r="BU2" i="20"/>
  <c r="BL2" i="20"/>
  <c r="AX2" i="20"/>
  <c r="AJ2" i="20"/>
  <c r="AX1" i="20"/>
  <c r="AJ1" i="20"/>
  <c r="A1" i="20"/>
  <c r="N144" i="6" l="1"/>
  <c r="N143" i="6"/>
  <c r="M143" i="6" s="1"/>
  <c r="N142" i="6"/>
  <c r="N147" i="6"/>
  <c r="N146" i="6"/>
  <c r="N145" i="6"/>
  <c r="N141" i="6"/>
  <c r="N140" i="6"/>
  <c r="N139" i="6"/>
  <c r="N138" i="6"/>
  <c r="M138" i="6" s="1"/>
  <c r="N137" i="6"/>
  <c r="N136" i="6"/>
  <c r="N133" i="6"/>
  <c r="N132" i="6"/>
  <c r="N131" i="6"/>
  <c r="N135" i="6"/>
  <c r="N134" i="6"/>
  <c r="N129" i="6"/>
  <c r="M129" i="6" s="1"/>
  <c r="N130" i="6"/>
  <c r="N125" i="6"/>
  <c r="N124" i="6"/>
  <c r="N123" i="6"/>
  <c r="N128" i="6"/>
  <c r="N127" i="6"/>
  <c r="N126" i="6"/>
  <c r="N122" i="6"/>
  <c r="M122" i="6" s="1"/>
  <c r="N121" i="6"/>
  <c r="N118" i="6"/>
  <c r="N117" i="6"/>
  <c r="N116" i="6"/>
  <c r="N120" i="6"/>
  <c r="N119" i="6"/>
  <c r="N115" i="6"/>
  <c r="N114" i="6"/>
  <c r="M114" i="6" s="1"/>
  <c r="N113" i="6"/>
  <c r="N112" i="6"/>
  <c r="N111" i="6"/>
  <c r="N110" i="6"/>
  <c r="N107" i="6"/>
  <c r="N106" i="6"/>
  <c r="N105" i="6"/>
  <c r="N109" i="6"/>
  <c r="M109" i="6" s="1"/>
  <c r="N108" i="6"/>
  <c r="N104" i="6"/>
  <c r="N103" i="6"/>
  <c r="N102" i="6"/>
  <c r="N101" i="6"/>
  <c r="N100" i="6"/>
  <c r="N99" i="6"/>
  <c r="N98" i="6"/>
  <c r="M98" i="6" s="1"/>
  <c r="N97" i="6"/>
  <c r="N96" i="6"/>
  <c r="N95" i="6"/>
  <c r="N94" i="6"/>
  <c r="N93" i="6"/>
  <c r="N92" i="6"/>
  <c r="N91" i="6"/>
  <c r="N88" i="6"/>
  <c r="N90" i="6"/>
  <c r="N89" i="6"/>
  <c r="N87" i="6"/>
  <c r="N86" i="6"/>
  <c r="N83" i="6"/>
  <c r="N85" i="6"/>
  <c r="N84" i="6"/>
  <c r="N82" i="6"/>
  <c r="N81" i="6"/>
  <c r="N80" i="6"/>
  <c r="N79" i="6"/>
  <c r="N78" i="6"/>
  <c r="N77" i="6"/>
  <c r="N76" i="6"/>
  <c r="N75" i="6"/>
  <c r="N74" i="6"/>
  <c r="M74" i="6" s="1"/>
  <c r="N73" i="6"/>
  <c r="N72" i="6"/>
  <c r="N71" i="6"/>
  <c r="N70" i="6"/>
  <c r="N69" i="6"/>
  <c r="N66" i="6"/>
  <c r="N68" i="6"/>
  <c r="N67" i="6"/>
  <c r="N65" i="6"/>
  <c r="N64" i="6"/>
  <c r="N61" i="6"/>
  <c r="N63" i="6"/>
  <c r="N62" i="6"/>
  <c r="N60" i="6"/>
  <c r="N59" i="6"/>
  <c r="N56" i="6"/>
  <c r="N58" i="6"/>
  <c r="N57" i="6"/>
  <c r="N55" i="6"/>
  <c r="N54" i="6"/>
  <c r="N51" i="6"/>
  <c r="N53" i="6"/>
  <c r="N52" i="6"/>
  <c r="N50" i="6"/>
  <c r="M50" i="6" s="1"/>
  <c r="N49" i="6"/>
  <c r="N46" i="6"/>
  <c r="N48" i="6"/>
  <c r="N47" i="6"/>
  <c r="N45" i="6"/>
  <c r="N44" i="6"/>
  <c r="N41" i="6"/>
  <c r="N43" i="6"/>
  <c r="M43" i="6" s="1"/>
  <c r="N42" i="6"/>
  <c r="N40" i="6"/>
  <c r="N39" i="6"/>
  <c r="N38" i="6"/>
  <c r="N37" i="6"/>
  <c r="N36" i="6"/>
  <c r="N35" i="6"/>
  <c r="N34" i="6"/>
  <c r="M34" i="6" s="1"/>
  <c r="N33" i="6"/>
  <c r="N32" i="6"/>
  <c r="N31" i="6"/>
  <c r="N30" i="6"/>
  <c r="N29" i="6"/>
  <c r="N28" i="6"/>
  <c r="N27" i="6"/>
  <c r="N26" i="6"/>
  <c r="M26" i="6" s="1"/>
  <c r="N25" i="6"/>
  <c r="N24" i="6"/>
  <c r="N23" i="6"/>
  <c r="N22" i="6"/>
  <c r="N21" i="6"/>
  <c r="N20" i="6"/>
  <c r="N19" i="6"/>
  <c r="N18" i="6"/>
  <c r="M18" i="6" s="1"/>
  <c r="N17" i="6"/>
  <c r="N16" i="6"/>
  <c r="N15" i="6"/>
  <c r="N14" i="6"/>
  <c r="N13" i="6"/>
  <c r="N12" i="6"/>
  <c r="N11" i="6"/>
  <c r="N10" i="6"/>
  <c r="M10" i="6" s="1"/>
  <c r="N9" i="6"/>
  <c r="N8" i="6"/>
  <c r="N7" i="6"/>
  <c r="N6" i="6"/>
  <c r="N5" i="6"/>
  <c r="N4" i="6"/>
  <c r="N3" i="6"/>
  <c r="M3" i="6" s="1"/>
  <c r="M82" i="6" l="1"/>
  <c r="M56" i="6"/>
  <c r="M46" i="6"/>
  <c r="M88" i="6"/>
  <c r="M16" i="6"/>
  <c r="M32" i="6"/>
  <c r="M72" i="6"/>
  <c r="M8" i="6"/>
  <c r="M24" i="6"/>
  <c r="M40" i="6"/>
  <c r="M57" i="6"/>
  <c r="M64" i="6"/>
  <c r="M67" i="6"/>
  <c r="M80" i="6"/>
  <c r="M89" i="6"/>
  <c r="M96" i="6"/>
  <c r="M104" i="6"/>
  <c r="M112" i="6"/>
  <c r="M118" i="6"/>
  <c r="M125" i="6"/>
  <c r="M136" i="6"/>
  <c r="M147" i="6"/>
  <c r="M11" i="6"/>
  <c r="M19" i="6"/>
  <c r="M27" i="6"/>
  <c r="M7" i="6"/>
  <c r="M15" i="6"/>
  <c r="M23" i="6"/>
  <c r="M31" i="6"/>
  <c r="M39" i="6"/>
  <c r="M48" i="6"/>
  <c r="M55" i="6"/>
  <c r="M61" i="6"/>
  <c r="M71" i="6"/>
  <c r="M79" i="6"/>
  <c r="M87" i="6"/>
  <c r="M95" i="6"/>
  <c r="M103" i="6"/>
  <c r="M111" i="6"/>
  <c r="M117" i="6"/>
  <c r="M124" i="6"/>
  <c r="M133" i="6"/>
  <c r="M146" i="6"/>
  <c r="M9" i="6"/>
  <c r="M17" i="6"/>
  <c r="M25" i="6"/>
  <c r="M33" i="6"/>
  <c r="M42" i="6"/>
  <c r="M49" i="6"/>
  <c r="M58" i="6"/>
  <c r="M65" i="6"/>
  <c r="M73" i="6"/>
  <c r="M81" i="6"/>
  <c r="M90" i="6"/>
  <c r="M97" i="6"/>
  <c r="M108" i="6"/>
  <c r="M113" i="6"/>
  <c r="M121" i="6"/>
  <c r="M130" i="6"/>
  <c r="M137" i="6"/>
  <c r="M142" i="6"/>
  <c r="M35" i="6"/>
  <c r="M41" i="6"/>
  <c r="M52" i="6"/>
  <c r="M59" i="6"/>
  <c r="M68" i="6"/>
  <c r="M75" i="6"/>
  <c r="M84" i="6"/>
  <c r="M91" i="6"/>
  <c r="M99" i="6"/>
  <c r="M105" i="6"/>
  <c r="M115" i="6"/>
  <c r="M126" i="6"/>
  <c r="M134" i="6"/>
  <c r="M139" i="6"/>
  <c r="M144" i="6"/>
  <c r="M6" i="6"/>
  <c r="M14" i="6"/>
  <c r="M22" i="6"/>
  <c r="M30" i="6"/>
  <c r="M38" i="6"/>
  <c r="M47" i="6"/>
  <c r="M54" i="6"/>
  <c r="M63" i="6"/>
  <c r="M70" i="6"/>
  <c r="M78" i="6"/>
  <c r="M86" i="6"/>
  <c r="M94" i="6"/>
  <c r="M102" i="6"/>
  <c r="M110" i="6"/>
  <c r="M116" i="6"/>
  <c r="M123" i="6"/>
  <c r="M132" i="6"/>
  <c r="M145" i="6"/>
  <c r="M4" i="6"/>
  <c r="M12" i="6"/>
  <c r="M20" i="6"/>
  <c r="M28" i="6"/>
  <c r="M36" i="6"/>
  <c r="M44" i="6"/>
  <c r="M53" i="6"/>
  <c r="M60" i="6"/>
  <c r="M66" i="6"/>
  <c r="M76" i="6"/>
  <c r="M85" i="6"/>
  <c r="M92" i="6"/>
  <c r="M100" i="6"/>
  <c r="M106" i="6"/>
  <c r="M119" i="6"/>
  <c r="M127" i="6"/>
  <c r="M135" i="6"/>
  <c r="M140" i="6"/>
  <c r="M5" i="6"/>
  <c r="M13" i="6"/>
  <c r="M21" i="6"/>
  <c r="M29" i="6"/>
  <c r="M37" i="6"/>
  <c r="M45" i="6"/>
  <c r="M51" i="6"/>
  <c r="M62" i="6"/>
  <c r="M69" i="6"/>
  <c r="M77" i="6"/>
  <c r="M83" i="6"/>
  <c r="M93" i="6"/>
  <c r="M101" i="6"/>
  <c r="M107" i="6"/>
  <c r="M120" i="6"/>
  <c r="M128" i="6"/>
  <c r="M131" i="6"/>
  <c r="M141" i="6"/>
  <c r="O2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染山　吉久</author>
  </authors>
  <commentList>
    <comment ref="F2" authorId="0" shapeId="0" xr:uid="{E71FF1D3-C292-46CE-8D83-4FBE118DF28B}">
      <text>
        <r>
          <rPr>
            <b/>
            <sz val="9"/>
            <color indexed="81"/>
            <rFont val="MS P ゴシック"/>
            <family val="3"/>
            <charset val="128"/>
          </rPr>
          <t>B:販売
C:生産
D:購買
E:在庫
G:債権
H:債務
P:原価
K:業務共通
M:マスタ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101" authorId="0" shapeId="0" xr:uid="{A5FE7B2B-1031-400A-99CE-D755476DC4AE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13" authorId="0" shapeId="0" xr:uid="{9985896A-A5CE-4156-BDF2-A82275C88C3A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14" authorId="0" shapeId="0" xr:uid="{225E1B24-7EF7-4B2C-AA80-9A00165A9EF6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3" authorId="0" shapeId="0" xr:uid="{DB7DD509-9A82-473D-9152-B30E34C64094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5" authorId="0" shapeId="0" xr:uid="{3ABDFE90-5194-4CB8-B3E1-5A548826D321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6" authorId="0" shapeId="0" xr:uid="{2113ACA5-463C-4766-B7BC-74439670112A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K152" authorId="0" shapeId="0" xr:uid="{9EB7117E-E0CA-4354-9A63-95A62E62FD8D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64" authorId="0" shapeId="0" xr:uid="{4406ECC9-02EC-4CD0-BC31-92B38F914DFC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65" authorId="0" shapeId="0" xr:uid="{D4E141AC-F5C6-400C-8B6F-614D93A9FF5A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3" authorId="0" shapeId="0" xr:uid="{3B86FE70-0428-4CEB-BE86-AFB3B1E2BA9B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5" authorId="0" shapeId="0" xr:uid="{BA67BF69-DE67-46A4-AE29-4F458F93BBB4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6" authorId="0" shapeId="0" xr:uid="{85751792-2BC6-4111-8E36-6A235BD1DEC3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K154" authorId="0" shapeId="0" xr:uid="{68F7FA0B-5334-41D4-8BAE-48F4DDE8D1FA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66" authorId="0" shapeId="0" xr:uid="{F2767E2A-F1E9-4062-BB8C-57820421CB68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67" authorId="0" shapeId="0" xr:uid="{13BC1671-9205-46E4-B4FA-92E1695B58F4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4" authorId="0" shapeId="0" xr:uid="{991FFA72-4382-4D32-B689-83A97669D8BC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6" authorId="0" shapeId="0" xr:uid="{17705C40-10D1-45C3-8657-5C382D4707C7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7" authorId="0" shapeId="0" xr:uid="{32627733-CE37-461B-9B8E-3DBF33281F1C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3" authorId="0" shapeId="0" xr:uid="{68A3BC79-6204-49C5-9538-84A2F783C693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5" authorId="0" shapeId="0" xr:uid="{44CA7F61-8FFC-4BD5-A349-EF67617012DE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6" authorId="0" shapeId="0" xr:uid="{50CE0230-84F8-4C6E-AB45-DA017BF55622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K154" authorId="0" shapeId="0" xr:uid="{5496117D-AB54-43E9-B772-625166D79ED0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66" authorId="0" shapeId="0" xr:uid="{FDE5A0CE-131C-4D41-A204-A01FD4361466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67" authorId="0" shapeId="0" xr:uid="{CCC8896E-5464-48E4-90DB-C31CEC6EB26B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3" authorId="0" shapeId="0" xr:uid="{4E909F91-C8B7-4AE2-8E99-7CCBD10B1754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5" authorId="0" shapeId="0" xr:uid="{59AAE068-CF77-43CE-8D4A-15D15DFE9135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6" authorId="0" shapeId="0" xr:uid="{560F4DE5-432F-4821-B0CD-459B3F5A2121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K154" authorId="0" shapeId="0" xr:uid="{BBCCAFE7-4F3F-4C5D-8FE4-58804F2E10BC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66" authorId="0" shapeId="0" xr:uid="{E3854941-2B60-4BC4-B3FB-0174E46CF066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67" authorId="0" shapeId="0" xr:uid="{D16B9D3F-63F6-4631-948F-5DB83B14D20A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3" authorId="0" shapeId="0" xr:uid="{EB387B0D-472D-402A-A140-AAF6DA771789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3" authorId="0" shapeId="0" xr:uid="{6DAEB3A1-F3DE-477D-9402-8C36D6C46C89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4" authorId="0" shapeId="0" xr:uid="{523AE8CC-8161-4F3D-ABFC-7B435DEA088A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K152" authorId="0" shapeId="0" xr:uid="{B340E1A0-9B64-42F6-8D1C-D403BEF3BB94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62" authorId="0" shapeId="0" xr:uid="{50E24F2C-2A5A-4E17-A104-117C201891F9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63" authorId="0" shapeId="0" xr:uid="{FB5C8B13-55D1-46C4-A9DE-2DFA54856EB5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HW54</author>
  </authors>
  <commentList>
    <comment ref="K93" authorId="0" shapeId="0" xr:uid="{575993F6-40C4-4A8B-91DF-BBE789B18DDB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03" authorId="0" shapeId="0" xr:uid="{59825F1A-7710-4CB3-AF40-C3255D44B616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04" authorId="0" shapeId="0" xr:uid="{BE9B59C9-EE42-42CE-AAED-3A4387629FA3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K152" authorId="0" shapeId="0" xr:uid="{D63FFB1F-A060-4E2C-BA5E-E4E89C81AA10}">
      <text>
        <r>
          <rPr>
            <sz val="8"/>
            <color indexed="81"/>
            <rFont val="MS P ゴシック"/>
            <family val="3"/>
            <charset val="128"/>
          </rPr>
          <t>予備を「登録」時に指定して更新した後、受注明細が分かれるのは仕方がない認識。
しかし受注画面では一体で表示したい</t>
        </r>
      </text>
    </comment>
    <comment ref="L162" authorId="0" shapeId="0" xr:uid="{075F8FCD-F9FE-4BDF-A254-17F2F2EFF248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  <comment ref="L163" authorId="0" shapeId="0" xr:uid="{F889D245-5DD2-469C-943A-974FFFC7EC89}">
      <text>
        <r>
          <rPr>
            <b/>
            <sz val="9"/>
            <color indexed="81"/>
            <rFont val="MS P ゴシック"/>
            <family val="3"/>
            <charset val="128"/>
          </rPr>
          <t>刃渡りに咥えを足したものをシート寸法
として自動セット</t>
        </r>
      </text>
    </comment>
  </commentList>
</comments>
</file>

<file path=xl/sharedStrings.xml><?xml version="1.0" encoding="utf-8"?>
<sst xmlns="http://schemas.openxmlformats.org/spreadsheetml/2006/main" count="14194" uniqueCount="1274">
  <si>
    <t>MRP</t>
    <phoneticPr fontId="4"/>
  </si>
  <si>
    <t>発注点</t>
    <rPh sb="0" eb="3">
      <t>ハッチュウテン</t>
    </rPh>
    <phoneticPr fontId="4"/>
  </si>
  <si>
    <t>No</t>
    <phoneticPr fontId="4"/>
  </si>
  <si>
    <t>元No</t>
    <rPh sb="0" eb="1">
      <t>モト</t>
    </rPh>
    <phoneticPr fontId="4"/>
  </si>
  <si>
    <t>受注区分</t>
    <rPh sb="0" eb="4">
      <t>ジュチュウクブン</t>
    </rPh>
    <phoneticPr fontId="6"/>
  </si>
  <si>
    <t>受注区分名</t>
    <rPh sb="0" eb="5">
      <t>ジュチュウクブンメイ</t>
    </rPh>
    <phoneticPr fontId="6"/>
  </si>
  <si>
    <t>製品区分大</t>
    <rPh sb="0" eb="4">
      <t>セイヒンクブン</t>
    </rPh>
    <rPh sb="4" eb="5">
      <t>ダイ</t>
    </rPh>
    <phoneticPr fontId="6"/>
  </si>
  <si>
    <t>製品区分大名</t>
    <rPh sb="0" eb="4">
      <t>セイヒンクブン</t>
    </rPh>
    <rPh sb="4" eb="5">
      <t>ダイ</t>
    </rPh>
    <rPh sb="5" eb="6">
      <t>メイ</t>
    </rPh>
    <phoneticPr fontId="6"/>
  </si>
  <si>
    <t>品目区分</t>
    <phoneticPr fontId="6"/>
  </si>
  <si>
    <t>品目区分名</t>
    <phoneticPr fontId="6"/>
  </si>
  <si>
    <t>品目区分詳細ＣＤ</t>
    <phoneticPr fontId="6"/>
  </si>
  <si>
    <t>標準品目区分詳細名</t>
    <phoneticPr fontId="6"/>
  </si>
  <si>
    <t>オーダ区分</t>
    <rPh sb="3" eb="5">
      <t>クブン</t>
    </rPh>
    <phoneticPr fontId="6"/>
  </si>
  <si>
    <t>品目系マスタ登録元</t>
    <rPh sb="0" eb="3">
      <t>ヒンモクケイ</t>
    </rPh>
    <rPh sb="6" eb="9">
      <t>トウロクモト</t>
    </rPh>
    <phoneticPr fontId="6"/>
  </si>
  <si>
    <t>製品受注パタン</t>
    <rPh sb="0" eb="2">
      <t>セイヒン</t>
    </rPh>
    <rPh sb="2" eb="4">
      <t>ジュチュウ</t>
    </rPh>
    <phoneticPr fontId="6"/>
  </si>
  <si>
    <t>受注業務パタン</t>
    <rPh sb="0" eb="2">
      <t>ジュチュウ</t>
    </rPh>
    <rPh sb="2" eb="4">
      <t>ギョウム</t>
    </rPh>
    <phoneticPr fontId="6"/>
  </si>
  <si>
    <t>マスタ登録先</t>
    <rPh sb="3" eb="6">
      <t>トウロクサキ</t>
    </rPh>
    <phoneticPr fontId="4"/>
  </si>
  <si>
    <t>発注先の登録</t>
    <rPh sb="0" eb="3">
      <t>ハッチュウサキ</t>
    </rPh>
    <rPh sb="4" eb="6">
      <t>トウロク</t>
    </rPh>
    <phoneticPr fontId="4"/>
  </si>
  <si>
    <t>単位の登録</t>
    <rPh sb="0" eb="2">
      <t>タンイ</t>
    </rPh>
    <rPh sb="3" eb="5">
      <t>トウロク</t>
    </rPh>
    <phoneticPr fontId="4"/>
  </si>
  <si>
    <t>発注単価の登録先</t>
    <rPh sb="0" eb="2">
      <t>ハッチュウ</t>
    </rPh>
    <rPh sb="2" eb="4">
      <t>タンカ</t>
    </rPh>
    <rPh sb="5" eb="7">
      <t>トウロク</t>
    </rPh>
    <rPh sb="7" eb="8">
      <t>サキ</t>
    </rPh>
    <phoneticPr fontId="4"/>
  </si>
  <si>
    <t>巻きｍの登録先</t>
    <rPh sb="0" eb="1">
      <t>マ</t>
    </rPh>
    <rPh sb="4" eb="7">
      <t>トウロクサキ</t>
    </rPh>
    <phoneticPr fontId="4"/>
  </si>
  <si>
    <t>「注文書の出力」シート参照</t>
    <rPh sb="1" eb="4">
      <t>チュウモンショ</t>
    </rPh>
    <rPh sb="5" eb="7">
      <t>シュツリョク</t>
    </rPh>
    <rPh sb="11" eb="13">
      <t>サンショウ</t>
    </rPh>
    <phoneticPr fontId="4"/>
  </si>
  <si>
    <t>V7.0 　画面制御の追加</t>
    <rPh sb="6" eb="8">
      <t>ガメン</t>
    </rPh>
    <rPh sb="8" eb="10">
      <t>セイギョ</t>
    </rPh>
    <rPh sb="11" eb="13">
      <t>ツイカ</t>
    </rPh>
    <phoneticPr fontId="8"/>
  </si>
  <si>
    <t>品目マスタ（共通）</t>
  </si>
  <si>
    <t>品目マスタ（会社）</t>
  </si>
  <si>
    <t>品目詳細マスタ</t>
  </si>
  <si>
    <t>品目単位マスタ</t>
  </si>
  <si>
    <t>品目格納先マスタ</t>
  </si>
  <si>
    <t>BOMマスタ</t>
  </si>
  <si>
    <t>品目工程マスタ</t>
  </si>
  <si>
    <t>工程工数マスタ</t>
  </si>
  <si>
    <t>得意先販売単価マスタ</t>
  </si>
  <si>
    <t>加工単価マスタ</t>
  </si>
  <si>
    <t>購買単価マスタ</t>
  </si>
  <si>
    <t>（アドオン）原紙マスタ</t>
  </si>
  <si>
    <t>（アドオン）事業所別原紙巾マスタ</t>
  </si>
  <si>
    <t>（アドオン）原紙単価マスタ</t>
  </si>
  <si>
    <t>発注予定発生元</t>
    <rPh sb="0" eb="4">
      <t>ハッチュウヨテイ</t>
    </rPh>
    <rPh sb="4" eb="7">
      <t>ハッセイモト</t>
    </rPh>
    <phoneticPr fontId="4"/>
  </si>
  <si>
    <t>オーダ発生元</t>
    <rPh sb="3" eb="6">
      <t>ハッセイモト</t>
    </rPh>
    <phoneticPr fontId="4"/>
  </si>
  <si>
    <t>品目CD</t>
    <rPh sb="0" eb="2">
      <t>ヒンモク</t>
    </rPh>
    <phoneticPr fontId="4"/>
  </si>
  <si>
    <t>枝番１</t>
    <rPh sb="0" eb="2">
      <t>エダバン</t>
    </rPh>
    <phoneticPr fontId="4"/>
  </si>
  <si>
    <t>枝番２</t>
    <rPh sb="0" eb="2">
      <t>エダバン</t>
    </rPh>
    <phoneticPr fontId="4"/>
  </si>
  <si>
    <t>枝番３</t>
    <rPh sb="0" eb="2">
      <t>エダバン</t>
    </rPh>
    <phoneticPr fontId="4"/>
  </si>
  <si>
    <t>単価単位取得</t>
    <rPh sb="0" eb="4">
      <t>タンカタンイ</t>
    </rPh>
    <rPh sb="4" eb="6">
      <t>シュトク</t>
    </rPh>
    <phoneticPr fontId="4"/>
  </si>
  <si>
    <t>単価取得</t>
    <rPh sb="0" eb="2">
      <t>タンカ</t>
    </rPh>
    <rPh sb="2" eb="4">
      <t>シュトク</t>
    </rPh>
    <phoneticPr fontId="4"/>
  </si>
  <si>
    <t>巻きｍ取得</t>
    <rPh sb="0" eb="1">
      <t>マ</t>
    </rPh>
    <rPh sb="3" eb="5">
      <t>シュトク</t>
    </rPh>
    <phoneticPr fontId="4"/>
  </si>
  <si>
    <t>発注単位取得</t>
    <rPh sb="0" eb="4">
      <t>ハッチュウタンイ</t>
    </rPh>
    <rPh sb="4" eb="6">
      <t>シュトク</t>
    </rPh>
    <phoneticPr fontId="4"/>
  </si>
  <si>
    <t>工程仕様取得</t>
    <rPh sb="0" eb="2">
      <t>コウテイ</t>
    </rPh>
    <rPh sb="2" eb="4">
      <t>シヨウ</t>
    </rPh>
    <rPh sb="4" eb="6">
      <t>シュトク</t>
    </rPh>
    <phoneticPr fontId="4"/>
  </si>
  <si>
    <t>単価算出</t>
    <rPh sb="0" eb="4">
      <t>タンカサンシュツ</t>
    </rPh>
    <phoneticPr fontId="4"/>
  </si>
  <si>
    <t>重量算出</t>
    <rPh sb="0" eb="2">
      <t>ジュウリョウ</t>
    </rPh>
    <rPh sb="2" eb="4">
      <t>サンシュツ</t>
    </rPh>
    <phoneticPr fontId="4"/>
  </si>
  <si>
    <t>出力注文書</t>
    <rPh sb="0" eb="4">
      <t>シュツリョクチュウモン</t>
    </rPh>
    <rPh sb="4" eb="5">
      <t>ショ</t>
    </rPh>
    <phoneticPr fontId="4"/>
  </si>
  <si>
    <t>発注/製造あり</t>
    <rPh sb="0" eb="2">
      <t>ハッチュウ</t>
    </rPh>
    <rPh sb="3" eb="5">
      <t>セイゾウ</t>
    </rPh>
    <phoneticPr fontId="4"/>
  </si>
  <si>
    <t>シート商品</t>
    <rPh sb="3" eb="5">
      <t>ショウヒン</t>
    </rPh>
    <phoneticPr fontId="6"/>
  </si>
  <si>
    <t>シート</t>
  </si>
  <si>
    <t>商品</t>
    <rPh sb="0" eb="2">
      <t>ショウヒン</t>
    </rPh>
    <phoneticPr fontId="1"/>
  </si>
  <si>
    <t>商品シート</t>
    <rPh sb="0" eb="2">
      <t>ショウヒン</t>
    </rPh>
    <phoneticPr fontId="5"/>
  </si>
  <si>
    <t>外注</t>
    <rPh sb="0" eb="2">
      <t>ガイチュウ</t>
    </rPh>
    <phoneticPr fontId="4"/>
  </si>
  <si>
    <t>WEB受注</t>
    <rPh sb="3" eb="5">
      <t>ジュチュウ</t>
    </rPh>
    <phoneticPr fontId="4"/>
  </si>
  <si>
    <t>CPで取り扱いがある（品目登録済）</t>
    <phoneticPr fontId="4"/>
  </si>
  <si>
    <t>シート受注</t>
    <rPh sb="3" eb="5">
      <t>ジュチュウ</t>
    </rPh>
    <phoneticPr fontId="4"/>
  </si>
  <si>
    <t>○</t>
    <phoneticPr fontId="4"/>
  </si>
  <si>
    <t>△</t>
    <phoneticPr fontId="4"/>
  </si>
  <si>
    <t>-</t>
    <phoneticPr fontId="4"/>
  </si>
  <si>
    <t>製品コード(11桁)</t>
    <rPh sb="0" eb="2">
      <t>セイヒン</t>
    </rPh>
    <rPh sb="8" eb="9">
      <t>ケタ</t>
    </rPh>
    <phoneticPr fontId="4"/>
  </si>
  <si>
    <t>連番4桁</t>
    <rPh sb="0" eb="2">
      <t>レンバン</t>
    </rPh>
    <rPh sb="3" eb="4">
      <t>ケタ</t>
    </rPh>
    <phoneticPr fontId="4"/>
  </si>
  <si>
    <t>NULL</t>
    <phoneticPr fontId="4"/>
  </si>
  <si>
    <t>加工単価マスタ</t>
    <rPh sb="0" eb="4">
      <t>カコウタンカ</t>
    </rPh>
    <phoneticPr fontId="4"/>
  </si>
  <si>
    <t>発注予定</t>
    <rPh sb="0" eb="4">
      <t>ハッチュウヨテイ</t>
    </rPh>
    <phoneticPr fontId="4"/>
  </si>
  <si>
    <t>〇</t>
    <phoneticPr fontId="4"/>
  </si>
  <si>
    <t>〇：加工単価より取得</t>
    <rPh sb="2" eb="4">
      <t>カコウ</t>
    </rPh>
    <rPh sb="4" eb="6">
      <t>タンカ</t>
    </rPh>
    <rPh sb="8" eb="10">
      <t>シュトク</t>
    </rPh>
    <phoneticPr fontId="4"/>
  </si>
  <si>
    <t>加工発注書</t>
    <rPh sb="0" eb="2">
      <t>カコウ</t>
    </rPh>
    <rPh sb="2" eb="5">
      <t>ハッチュウショ</t>
    </rPh>
    <phoneticPr fontId="4"/>
  </si>
  <si>
    <t>受注</t>
    <rPh sb="0" eb="2">
      <t>ジュチュウ</t>
    </rPh>
    <phoneticPr fontId="4"/>
  </si>
  <si>
    <t>〇：受注明細より取得</t>
    <rPh sb="2" eb="4">
      <t>ジュチュウ</t>
    </rPh>
    <rPh sb="4" eb="6">
      <t>メイサイ</t>
    </rPh>
    <rPh sb="8" eb="10">
      <t>シュトク</t>
    </rPh>
    <phoneticPr fontId="4"/>
  </si>
  <si>
    <t>購買</t>
    <rPh sb="0" eb="2">
      <t>コウバイ</t>
    </rPh>
    <phoneticPr fontId="4"/>
  </si>
  <si>
    <t>品目マスタ</t>
    <rPh sb="0" eb="2">
      <t>ヒンモク</t>
    </rPh>
    <phoneticPr fontId="4"/>
  </si>
  <si>
    <t>CPで取り扱いが無い（諸口品目）</t>
  </si>
  <si>
    <t>商品購買</t>
    <rPh sb="0" eb="2">
      <t>ショウヒン</t>
    </rPh>
    <rPh sb="2" eb="4">
      <t>コウバイ</t>
    </rPh>
    <phoneticPr fontId="4"/>
  </si>
  <si>
    <t>諸口品目</t>
    <rPh sb="0" eb="4">
      <t>ショクチヒンモク</t>
    </rPh>
    <phoneticPr fontId="4"/>
  </si>
  <si>
    <t>×：仕様が取得できない</t>
    <rPh sb="2" eb="4">
      <t>シヨウ</t>
    </rPh>
    <rPh sb="5" eb="7">
      <t>シュトク</t>
    </rPh>
    <phoneticPr fontId="4"/>
  </si>
  <si>
    <t>×：諸口品のため購買単価マスタがない</t>
    <rPh sb="2" eb="4">
      <t>ショクチ</t>
    </rPh>
    <rPh sb="4" eb="5">
      <t>ヒン</t>
    </rPh>
    <rPh sb="8" eb="10">
      <t>コウバイ</t>
    </rPh>
    <rPh sb="10" eb="12">
      <t>タンカ</t>
    </rPh>
    <phoneticPr fontId="4"/>
  </si>
  <si>
    <t>WG間転送</t>
    <phoneticPr fontId="4"/>
  </si>
  <si>
    <t>加工商品</t>
    <rPh sb="0" eb="4">
      <t>カコウショウヒン</t>
    </rPh>
    <phoneticPr fontId="6"/>
  </si>
  <si>
    <t>加工</t>
  </si>
  <si>
    <t>商品加工</t>
  </si>
  <si>
    <t>製品マスタ</t>
    <rPh sb="0" eb="2">
      <t>セイヒン</t>
    </rPh>
    <phoneticPr fontId="4"/>
  </si>
  <si>
    <t>加工品受注</t>
    <rPh sb="0" eb="5">
      <t>カコウヒンジュチュウ</t>
    </rPh>
    <phoneticPr fontId="4"/>
  </si>
  <si>
    <t>製品マスタ→WEB受注</t>
    <rPh sb="0" eb="2">
      <t>セイヒン</t>
    </rPh>
    <rPh sb="9" eb="11">
      <t>ジュチュウ</t>
    </rPh>
    <phoneticPr fontId="4"/>
  </si>
  <si>
    <t>Ｇプリント</t>
  </si>
  <si>
    <t>商品Ｇプリント</t>
  </si>
  <si>
    <t>加工単価→WEB受注</t>
    <rPh sb="0" eb="4">
      <t>カコウタンカ</t>
    </rPh>
    <rPh sb="8" eb="10">
      <t>ジュチュウ</t>
    </rPh>
    <phoneticPr fontId="4"/>
  </si>
  <si>
    <t>巻ボール</t>
  </si>
  <si>
    <t>商品巻ボール</t>
  </si>
  <si>
    <t>WEB受注</t>
    <phoneticPr fontId="4"/>
  </si>
  <si>
    <t>片面シート</t>
  </si>
  <si>
    <t>商品片面シート</t>
  </si>
  <si>
    <t>片面加工</t>
  </si>
  <si>
    <t>商品片面加工</t>
  </si>
  <si>
    <t>プリフル</t>
  </si>
  <si>
    <t>商品プリフル</t>
  </si>
  <si>
    <t>刷本支給</t>
  </si>
  <si>
    <t>商品刷本支給</t>
  </si>
  <si>
    <t>原紙</t>
    <rPh sb="0" eb="2">
      <t>ゲンシ</t>
    </rPh>
    <phoneticPr fontId="6"/>
  </si>
  <si>
    <t>コートボール</t>
  </si>
  <si>
    <t>商品コートボール</t>
    <phoneticPr fontId="11"/>
  </si>
  <si>
    <t>原紙単価</t>
    <rPh sb="0" eb="2">
      <t>ゲンシ</t>
    </rPh>
    <rPh sb="2" eb="4">
      <t>タンカ</t>
    </rPh>
    <phoneticPr fontId="4"/>
  </si>
  <si>
    <t>×：寸法が取得できない</t>
    <rPh sb="2" eb="4">
      <t>スンポウ</t>
    </rPh>
    <rPh sb="5" eb="7">
      <t>シュトク</t>
    </rPh>
    <phoneticPr fontId="4"/>
  </si>
  <si>
    <t>×：寸法の取得ができない？</t>
    <rPh sb="2" eb="4">
      <t>スンポウ</t>
    </rPh>
    <rPh sb="5" eb="7">
      <t>シュトク</t>
    </rPh>
    <phoneticPr fontId="4"/>
  </si>
  <si>
    <t>×：寸法(巾・流れ)、坪量が取得できない</t>
    <rPh sb="2" eb="4">
      <t>スンポウ</t>
    </rPh>
    <rPh sb="5" eb="6">
      <t>ハバ</t>
    </rPh>
    <rPh sb="7" eb="8">
      <t>ナガ</t>
    </rPh>
    <rPh sb="11" eb="13">
      <t>ツボリョウ</t>
    </rPh>
    <rPh sb="14" eb="16">
      <t>シュトク</t>
    </rPh>
    <phoneticPr fontId="4"/>
  </si>
  <si>
    <t>×：各項目を受注明細より取得するが、単価単位によっては(kgや㎡など)算出不可</t>
    <rPh sb="2" eb="3">
      <t>カク</t>
    </rPh>
    <rPh sb="3" eb="5">
      <t>コウモク</t>
    </rPh>
    <rPh sb="6" eb="8">
      <t>ジュチュウ</t>
    </rPh>
    <rPh sb="8" eb="10">
      <t>メイサイ</t>
    </rPh>
    <rPh sb="12" eb="14">
      <t>シュトク</t>
    </rPh>
    <rPh sb="35" eb="39">
      <t>サンシュツフカ</t>
    </rPh>
    <phoneticPr fontId="4"/>
  </si>
  <si>
    <t>×：諸口品のため加工単価が存在しない</t>
    <rPh sb="2" eb="4">
      <t>ショクチ</t>
    </rPh>
    <rPh sb="4" eb="5">
      <t>ヒン</t>
    </rPh>
    <rPh sb="8" eb="10">
      <t>カコウ</t>
    </rPh>
    <rPh sb="10" eb="12">
      <t>タンカ</t>
    </rPh>
    <rPh sb="13" eb="15">
      <t>ソンザイ</t>
    </rPh>
    <phoneticPr fontId="4"/>
  </si>
  <si>
    <t>生原紙</t>
  </si>
  <si>
    <t>商品原紙</t>
    <rPh sb="0" eb="2">
      <t>ショウヒン</t>
    </rPh>
    <phoneticPr fontId="5"/>
  </si>
  <si>
    <t>単価単位マスタ</t>
    <rPh sb="0" eb="2">
      <t>タンカ</t>
    </rPh>
    <rPh sb="2" eb="4">
      <t>タンイ</t>
    </rPh>
    <phoneticPr fontId="4"/>
  </si>
  <si>
    <t>×：仕様が取得できない</t>
    <phoneticPr fontId="4"/>
  </si>
  <si>
    <t>印刷原紙</t>
  </si>
  <si>
    <t>商品印刷原紙</t>
    <phoneticPr fontId="11"/>
  </si>
  <si>
    <t>品目単位</t>
    <rPh sb="0" eb="4">
      <t>ヒンモクタンイ</t>
    </rPh>
    <phoneticPr fontId="4"/>
  </si>
  <si>
    <t>×：寸法(巾)、坪量が取得できない</t>
    <rPh sb="2" eb="4">
      <t>スンポウ</t>
    </rPh>
    <rPh sb="5" eb="6">
      <t>ハバ</t>
    </rPh>
    <rPh sb="8" eb="10">
      <t>ツボリョウ</t>
    </rPh>
    <rPh sb="11" eb="13">
      <t>シュトク</t>
    </rPh>
    <phoneticPr fontId="4"/>
  </si>
  <si>
    <t>購買品</t>
    <rPh sb="0" eb="3">
      <t>コウバイヒン</t>
    </rPh>
    <phoneticPr fontId="6"/>
  </si>
  <si>
    <t>外装シート</t>
  </si>
  <si>
    <t>151</t>
    <phoneticPr fontId="4"/>
  </si>
  <si>
    <t>外装シート</t>
    <rPh sb="0" eb="2">
      <t>ガイソウ</t>
    </rPh>
    <phoneticPr fontId="1"/>
  </si>
  <si>
    <t>不明(おそらく発注書)</t>
    <rPh sb="0" eb="2">
      <t>フメイ</t>
    </rPh>
    <rPh sb="7" eb="10">
      <t>ハッチュウショ</t>
    </rPh>
    <phoneticPr fontId="4"/>
  </si>
  <si>
    <t>外装ケース</t>
  </si>
  <si>
    <t>152</t>
    <phoneticPr fontId="4"/>
  </si>
  <si>
    <t>外装ケース</t>
    <rPh sb="0" eb="2">
      <t>ガイソウ</t>
    </rPh>
    <phoneticPr fontId="1"/>
  </si>
  <si>
    <t>発注書</t>
    <rPh sb="0" eb="3">
      <t>ハッチュウショ</t>
    </rPh>
    <phoneticPr fontId="4"/>
  </si>
  <si>
    <t>袋</t>
  </si>
  <si>
    <t>171</t>
    <phoneticPr fontId="4"/>
  </si>
  <si>
    <t>袋</t>
    <rPh sb="0" eb="1">
      <t>フクロ</t>
    </rPh>
    <phoneticPr fontId="1"/>
  </si>
  <si>
    <t>80</t>
    <phoneticPr fontId="4"/>
  </si>
  <si>
    <t>モールド</t>
    <phoneticPr fontId="4"/>
  </si>
  <si>
    <t>180</t>
    <phoneticPr fontId="4"/>
  </si>
  <si>
    <t>モールド</t>
  </si>
  <si>
    <t>その他</t>
  </si>
  <si>
    <t>162</t>
    <phoneticPr fontId="4"/>
  </si>
  <si>
    <t>商品その他</t>
    <rPh sb="4" eb="5">
      <t>タ</t>
    </rPh>
    <phoneticPr fontId="1"/>
  </si>
  <si>
    <t>シート製品</t>
    <rPh sb="3" eb="5">
      <t>セイヒン</t>
    </rPh>
    <phoneticPr fontId="6"/>
  </si>
  <si>
    <t>製品</t>
    <rPh sb="0" eb="2">
      <t>セイヒン</t>
    </rPh>
    <phoneticPr fontId="8"/>
  </si>
  <si>
    <t>内製</t>
    <rPh sb="0" eb="2">
      <t>ナイセイ</t>
    </rPh>
    <phoneticPr fontId="4"/>
  </si>
  <si>
    <t>加工製品</t>
    <rPh sb="0" eb="4">
      <t>カコウセイヒン</t>
    </rPh>
    <phoneticPr fontId="6"/>
  </si>
  <si>
    <t>刷本支給</t>
    <rPh sb="2" eb="4">
      <t>シキュウ</t>
    </rPh>
    <phoneticPr fontId="4"/>
  </si>
  <si>
    <t>コートボール製品</t>
    <rPh sb="6" eb="8">
      <t>セイヒン</t>
    </rPh>
    <phoneticPr fontId="5"/>
  </si>
  <si>
    <t>×：坪量が取得できない</t>
    <rPh sb="2" eb="4">
      <t>ツボリョウ</t>
    </rPh>
    <rPh sb="5" eb="7">
      <t>シュトク</t>
    </rPh>
    <phoneticPr fontId="4"/>
  </si>
  <si>
    <t>中間品</t>
    <rPh sb="0" eb="2">
      <t>チュウカン</t>
    </rPh>
    <rPh sb="2" eb="3">
      <t>ヒン</t>
    </rPh>
    <phoneticPr fontId="8"/>
  </si>
  <si>
    <t>仕掛シート</t>
    <phoneticPr fontId="11"/>
  </si>
  <si>
    <t>製品品目CD</t>
    <rPh sb="0" eb="2">
      <t>セイヒン</t>
    </rPh>
    <rPh sb="2" eb="4">
      <t>ヒンモク</t>
    </rPh>
    <phoneticPr fontId="4"/>
  </si>
  <si>
    <t>製品の枝番１</t>
    <rPh sb="0" eb="2">
      <t>セイヒン</t>
    </rPh>
    <rPh sb="3" eb="5">
      <t>エダバン</t>
    </rPh>
    <phoneticPr fontId="4"/>
  </si>
  <si>
    <t>工程CD4桁</t>
    <rPh sb="0" eb="2">
      <t>コウテイ</t>
    </rPh>
    <rPh sb="5" eb="6">
      <t>ケタ</t>
    </rPh>
    <phoneticPr fontId="4"/>
  </si>
  <si>
    <t>コートボール断裁は「コートボール発注書」として出力。断裁前のコートボール手配とコートボール断裁の注文Noが同じであればまとめる</t>
    <rPh sb="6" eb="8">
      <t>ダンサイ</t>
    </rPh>
    <rPh sb="16" eb="19">
      <t>ハッチュウショ</t>
    </rPh>
    <rPh sb="23" eb="25">
      <t>シュツリョク</t>
    </rPh>
    <rPh sb="26" eb="28">
      <t>ダンサイ</t>
    </rPh>
    <rPh sb="28" eb="29">
      <t>マエ</t>
    </rPh>
    <rPh sb="36" eb="38">
      <t>テハイ</t>
    </rPh>
    <rPh sb="45" eb="47">
      <t>ダンサイ</t>
    </rPh>
    <rPh sb="48" eb="50">
      <t>チュウモン</t>
    </rPh>
    <rPh sb="53" eb="54">
      <t>オナ</t>
    </rPh>
    <phoneticPr fontId="4"/>
  </si>
  <si>
    <t>ブランクス</t>
  </si>
  <si>
    <t>連産品(01～99)</t>
    <rPh sb="0" eb="2">
      <t>レンサン</t>
    </rPh>
    <rPh sb="2" eb="3">
      <t>ヒン</t>
    </rPh>
    <phoneticPr fontId="4"/>
  </si>
  <si>
    <t>グルア</t>
  </si>
  <si>
    <t>テーパ</t>
  </si>
  <si>
    <t>パット</t>
  </si>
  <si>
    <t>資材</t>
    <rPh sb="0" eb="2">
      <t>シザイ</t>
    </rPh>
    <phoneticPr fontId="8"/>
  </si>
  <si>
    <t>カートン</t>
  </si>
  <si>
    <t>購買単価マスタ</t>
    <rPh sb="0" eb="4">
      <t>コウバイタンカ</t>
    </rPh>
    <phoneticPr fontId="4"/>
  </si>
  <si>
    <t>発注予定</t>
    <rPh sb="0" eb="2">
      <t>ハッチュウ</t>
    </rPh>
    <rPh sb="2" eb="4">
      <t>ヨテイ</t>
    </rPh>
    <phoneticPr fontId="4"/>
  </si>
  <si>
    <t>〇：購買単価マスタより取得</t>
    <rPh sb="2" eb="4">
      <t>コウバイ</t>
    </rPh>
    <rPh sb="4" eb="6">
      <t>タンカ</t>
    </rPh>
    <rPh sb="11" eb="13">
      <t>シュトク</t>
    </rPh>
    <phoneticPr fontId="4"/>
  </si>
  <si>
    <t>原料</t>
    <rPh sb="0" eb="2">
      <t>ゲンリョウ</t>
    </rPh>
    <phoneticPr fontId="8"/>
  </si>
  <si>
    <t>印刷原紙</t>
    <phoneticPr fontId="1"/>
  </si>
  <si>
    <t>原紙マスタ</t>
    <rPh sb="0" eb="2">
      <t>ゲンシ</t>
    </rPh>
    <phoneticPr fontId="4"/>
  </si>
  <si>
    <t>原紙CD5桁(「G]＋4桁)＋印刷CD4桁＋エンボスCD2桁</t>
    <rPh sb="0" eb="2">
      <t>ゲンシ</t>
    </rPh>
    <rPh sb="5" eb="6">
      <t>ケタ</t>
    </rPh>
    <rPh sb="12" eb="13">
      <t>ケタ</t>
    </rPh>
    <rPh sb="15" eb="17">
      <t>インサツ</t>
    </rPh>
    <rPh sb="20" eb="21">
      <t>ケタ</t>
    </rPh>
    <rPh sb="29" eb="30">
      <t>ケタ</t>
    </rPh>
    <phoneticPr fontId="4"/>
  </si>
  <si>
    <t>坪量</t>
    <rPh sb="0" eb="2">
      <t>ツボリョウ</t>
    </rPh>
    <phoneticPr fontId="4"/>
  </si>
  <si>
    <t>巾</t>
    <rPh sb="0" eb="1">
      <t>ハバ</t>
    </rPh>
    <phoneticPr fontId="4"/>
  </si>
  <si>
    <t>品目単位</t>
    <rPh sb="0" eb="2">
      <t>ヒンモク</t>
    </rPh>
    <rPh sb="2" eb="4">
      <t>タンイ</t>
    </rPh>
    <phoneticPr fontId="4"/>
  </si>
  <si>
    <t>〇：各項目を受注明細より取得し、単価単位により算出</t>
    <rPh sb="2" eb="3">
      <t>カク</t>
    </rPh>
    <rPh sb="3" eb="5">
      <t>コウモク</t>
    </rPh>
    <rPh sb="6" eb="8">
      <t>ジュチュウ</t>
    </rPh>
    <rPh sb="8" eb="10">
      <t>メイサイ</t>
    </rPh>
    <rPh sb="12" eb="14">
      <t>シュトク</t>
    </rPh>
    <rPh sb="16" eb="20">
      <t>タンカタンイ</t>
    </rPh>
    <rPh sb="23" eb="25">
      <t>サンシュツ</t>
    </rPh>
    <phoneticPr fontId="4"/>
  </si>
  <si>
    <t>原紙発注書</t>
    <rPh sb="0" eb="2">
      <t>ゲンシ</t>
    </rPh>
    <rPh sb="2" eb="5">
      <t>ハッチュウショ</t>
    </rPh>
    <phoneticPr fontId="4"/>
  </si>
  <si>
    <t>本支店売買（受発注）</t>
    <phoneticPr fontId="4"/>
  </si>
  <si>
    <t>原紙売り（受発注方式）</t>
    <rPh sb="0" eb="3">
      <t>ゲンシウ</t>
    </rPh>
    <rPh sb="5" eb="10">
      <t>ジュハッチュウホウシキ</t>
    </rPh>
    <phoneticPr fontId="4"/>
  </si>
  <si>
    <t>品目単位マスタ</t>
    <rPh sb="0" eb="4">
      <t>ヒンモクタンイ</t>
    </rPh>
    <phoneticPr fontId="4"/>
  </si>
  <si>
    <t>〇：単価単位により算出</t>
    <phoneticPr fontId="4"/>
  </si>
  <si>
    <t>内製</t>
    <rPh sb="0" eb="1">
      <t>ナイセイ</t>
    </rPh>
    <phoneticPr fontId="4"/>
  </si>
  <si>
    <t>外注</t>
    <rPh sb="0" eb="1">
      <t>ガイチュウ</t>
    </rPh>
    <phoneticPr fontId="4"/>
  </si>
  <si>
    <t>601</t>
    <phoneticPr fontId="8"/>
  </si>
  <si>
    <t>生原紙</t>
    <rPh sb="0" eb="3">
      <t>ナマゲンシ</t>
    </rPh>
    <phoneticPr fontId="1"/>
  </si>
  <si>
    <t>原紙CD5桁(「G]＋4桁)</t>
    <rPh sb="0" eb="2">
      <t>ゲンシ</t>
    </rPh>
    <rPh sb="5" eb="6">
      <t>ケタ</t>
    </rPh>
    <rPh sb="12" eb="13">
      <t>ケタ</t>
    </rPh>
    <phoneticPr fontId="4"/>
  </si>
  <si>
    <t>生原紙</t>
    <rPh sb="0" eb="3">
      <t>ナマゲンシ</t>
    </rPh>
    <phoneticPr fontId="8"/>
  </si>
  <si>
    <t>602</t>
    <phoneticPr fontId="11"/>
  </si>
  <si>
    <t>テスト原紙</t>
    <rPh sb="3" eb="5">
      <t>ゲンシ</t>
    </rPh>
    <phoneticPr fontId="11"/>
  </si>
  <si>
    <t>603</t>
    <phoneticPr fontId="8"/>
  </si>
  <si>
    <t>コートボール発注書</t>
    <rPh sb="6" eb="9">
      <t>ハッチュウショ</t>
    </rPh>
    <phoneticPr fontId="4"/>
  </si>
  <si>
    <t>×：寸法(巾・流れ)が取得できない</t>
    <rPh sb="2" eb="4">
      <t>スンポウ</t>
    </rPh>
    <rPh sb="5" eb="6">
      <t>ハバ</t>
    </rPh>
    <rPh sb="7" eb="8">
      <t>ナガ</t>
    </rPh>
    <rPh sb="11" eb="13">
      <t>シュトク</t>
    </rPh>
    <phoneticPr fontId="4"/>
  </si>
  <si>
    <t>デザイン代</t>
  </si>
  <si>
    <t>その他</t>
    <rPh sb="2" eb="3">
      <t>タ</t>
    </rPh>
    <phoneticPr fontId="13"/>
  </si>
  <si>
    <t>963</t>
    <phoneticPr fontId="4"/>
  </si>
  <si>
    <t>デザイン代</t>
    <rPh sb="4" eb="5">
      <t>ダイ</t>
    </rPh>
    <phoneticPr fontId="1"/>
  </si>
  <si>
    <t>経費受注</t>
    <rPh sb="0" eb="2">
      <t>ケイヒ</t>
    </rPh>
    <rPh sb="2" eb="4">
      <t>ジュチュウ</t>
    </rPh>
    <phoneticPr fontId="4"/>
  </si>
  <si>
    <t>運賃</t>
  </si>
  <si>
    <t>981</t>
    <phoneticPr fontId="4"/>
  </si>
  <si>
    <t>運賃</t>
    <rPh sb="0" eb="2">
      <t>ウンチン</t>
    </rPh>
    <phoneticPr fontId="1"/>
  </si>
  <si>
    <t>資材料</t>
  </si>
  <si>
    <t>991</t>
    <phoneticPr fontId="4"/>
  </si>
  <si>
    <t>前加工料</t>
  </si>
  <si>
    <t>992</t>
    <phoneticPr fontId="4"/>
  </si>
  <si>
    <t>詰加工料</t>
  </si>
  <si>
    <t>入庫料</t>
  </si>
  <si>
    <t>出庫料</t>
  </si>
  <si>
    <t>保管料</t>
  </si>
  <si>
    <t>908</t>
    <phoneticPr fontId="11"/>
  </si>
  <si>
    <t>社内外注費用</t>
    <rPh sb="0" eb="2">
      <t>シャナイ</t>
    </rPh>
    <rPh sb="2" eb="4">
      <t>ガイチュウ</t>
    </rPh>
    <rPh sb="4" eb="6">
      <t>ヒヨウ</t>
    </rPh>
    <phoneticPr fontId="11"/>
  </si>
  <si>
    <t>受注業務パタン</t>
    <rPh sb="0" eb="2">
      <t>ジュチュウ</t>
    </rPh>
    <rPh sb="2" eb="4">
      <t>ギョウム</t>
    </rPh>
    <phoneticPr fontId="8"/>
  </si>
  <si>
    <t>画面項目</t>
    <rPh sb="0" eb="2">
      <t>ガメン</t>
    </rPh>
    <rPh sb="2" eb="4">
      <t>コウモク</t>
    </rPh>
    <phoneticPr fontId="8"/>
  </si>
  <si>
    <t>加工受注</t>
    <rPh sb="0" eb="2">
      <t>カコウ</t>
    </rPh>
    <rPh sb="2" eb="4">
      <t>ジュチュウ</t>
    </rPh>
    <phoneticPr fontId="8"/>
  </si>
  <si>
    <t>シート受注</t>
    <rPh sb="3" eb="5">
      <t>ジュチュウ</t>
    </rPh>
    <phoneticPr fontId="8"/>
  </si>
  <si>
    <t>商品購買</t>
    <phoneticPr fontId="8"/>
  </si>
  <si>
    <t>版型</t>
    <rPh sb="0" eb="1">
      <t>ハン</t>
    </rPh>
    <rPh sb="1" eb="2">
      <t>カタ</t>
    </rPh>
    <phoneticPr fontId="8"/>
  </si>
  <si>
    <t>有償支給</t>
    <phoneticPr fontId="8"/>
  </si>
  <si>
    <t>経費品</t>
    <rPh sb="0" eb="2">
      <t>ケイヒ</t>
    </rPh>
    <rPh sb="2" eb="3">
      <t>ヒン</t>
    </rPh>
    <phoneticPr fontId="8"/>
  </si>
  <si>
    <t>原紙売り（受発注方式）</t>
    <rPh sb="0" eb="3">
      <t>ゲンシウ</t>
    </rPh>
    <rPh sb="5" eb="10">
      <t>ジュハッチュウホウシキ</t>
    </rPh>
    <phoneticPr fontId="8"/>
  </si>
  <si>
    <t>輪切り</t>
    <rPh sb="0" eb="2">
      <t>ワギ</t>
    </rPh>
    <phoneticPr fontId="8"/>
  </si>
  <si>
    <t>第1画面（TOP画面） 基本情報</t>
  </si>
  <si>
    <t>○</t>
    <phoneticPr fontId="8"/>
  </si>
  <si>
    <t>●</t>
    <phoneticPr fontId="8"/>
  </si>
  <si>
    <t>第1画面（TOP画面） 受注明細</t>
  </si>
  <si>
    <t>-</t>
    <phoneticPr fontId="8"/>
  </si>
  <si>
    <t>第2画面（基本情報）基本情報</t>
  </si>
  <si>
    <t>〇</t>
    <phoneticPr fontId="8"/>
  </si>
  <si>
    <t>第2画面（基本情報）構成情報</t>
  </si>
  <si>
    <t>第2画面（基本情報）仕入情報</t>
  </si>
  <si>
    <t>第2画面（基本情報）備考</t>
  </si>
  <si>
    <t>第3画面（工程情報）工程情報</t>
  </si>
  <si>
    <t>ポップアップ（詳細入力画面）基本情報</t>
  </si>
  <si>
    <t>ポップアップ（詳細入力画面）外注情報</t>
  </si>
  <si>
    <t>ポップアップ（詳細入力画面）工程情報</t>
  </si>
  <si>
    <t>ポップアップ（詳細入力画面）作業明細</t>
  </si>
  <si>
    <t>ポップアップ（詳細入力画面）連産品明細</t>
  </si>
  <si>
    <t>第4画面（材料設定）材料明細</t>
  </si>
  <si>
    <t>※注釈</t>
    <rPh sb="1" eb="3">
      <t>チュウシャク</t>
    </rPh>
    <phoneticPr fontId="8"/>
  </si>
  <si>
    <t>〇：編集可能</t>
    <rPh sb="2" eb="6">
      <t>ヘンシュウカノウ</t>
    </rPh>
    <phoneticPr fontId="8"/>
  </si>
  <si>
    <t>●：参照のみ</t>
    <rPh sb="2" eb="4">
      <t>サンショウ</t>
    </rPh>
    <phoneticPr fontId="8"/>
  </si>
  <si>
    <t>-：非表示</t>
    <rPh sb="2" eb="5">
      <t>ヒヒョウジ</t>
    </rPh>
    <phoneticPr fontId="8"/>
  </si>
  <si>
    <t>受注区分、製品区分の組合せがどの受注業務パタンにあたるかは「受発注パタン詳細」シート参照</t>
    <rPh sb="0" eb="2">
      <t>ジュチュウ</t>
    </rPh>
    <rPh sb="2" eb="4">
      <t>クブン</t>
    </rPh>
    <rPh sb="5" eb="9">
      <t>セイヒンクブン</t>
    </rPh>
    <rPh sb="10" eb="12">
      <t>クミアワ</t>
    </rPh>
    <rPh sb="16" eb="20">
      <t>ジュチュウギョウム</t>
    </rPh>
    <rPh sb="30" eb="33">
      <t>ジュハッチュウ</t>
    </rPh>
    <rPh sb="36" eb="38">
      <t>ショウサイ</t>
    </rPh>
    <rPh sb="42" eb="44">
      <t>サンショウ</t>
    </rPh>
    <phoneticPr fontId="8"/>
  </si>
  <si>
    <t>TOP画面</t>
    <rPh sb="3" eb="5">
      <t>ガメン</t>
    </rPh>
    <phoneticPr fontId="8"/>
  </si>
  <si>
    <t>受注区分</t>
    <phoneticPr fontId="8"/>
  </si>
  <si>
    <t>CP品名1</t>
    <phoneticPr fontId="8"/>
  </si>
  <si>
    <t>CP品名2</t>
    <phoneticPr fontId="8"/>
  </si>
  <si>
    <t>単位</t>
    <phoneticPr fontId="8"/>
  </si>
  <si>
    <t>数量</t>
    <phoneticPr fontId="8"/>
  </si>
  <si>
    <t>特値</t>
    <phoneticPr fontId="8"/>
  </si>
  <si>
    <t>個別単価</t>
    <phoneticPr fontId="8"/>
  </si>
  <si>
    <t>ｾｯﾄ単価</t>
    <phoneticPr fontId="8"/>
  </si>
  <si>
    <t>客先納期</t>
    <phoneticPr fontId="8"/>
  </si>
  <si>
    <t>手配区分</t>
    <phoneticPr fontId="8"/>
  </si>
  <si>
    <t>納品先</t>
    <phoneticPr fontId="8"/>
  </si>
  <si>
    <t>納品先名</t>
    <phoneticPr fontId="8"/>
  </si>
  <si>
    <t>物流グループ</t>
    <phoneticPr fontId="8"/>
  </si>
  <si>
    <t>預り売上</t>
    <phoneticPr fontId="8"/>
  </si>
  <si>
    <t>売上理由</t>
    <phoneticPr fontId="8"/>
  </si>
  <si>
    <t>受注№/受注明細№</t>
    <phoneticPr fontId="8"/>
  </si>
  <si>
    <t>TOP画面</t>
    <rPh sb="3" eb="5">
      <t>ガメン</t>
    </rPh>
    <phoneticPr fontId="3"/>
  </si>
  <si>
    <t>基本情報</t>
  </si>
  <si>
    <t>基本情報</t>
    <phoneticPr fontId="3"/>
  </si>
  <si>
    <t>受注明細</t>
    <rPh sb="0" eb="4">
      <t>ジュチュウメイサイ</t>
    </rPh>
    <phoneticPr fontId="3"/>
  </si>
  <si>
    <t>材料明細</t>
    <phoneticPr fontId="3"/>
  </si>
  <si>
    <t>セット品CDの指定</t>
    <rPh sb="3" eb="4">
      <t>ヒン</t>
    </rPh>
    <rPh sb="7" eb="9">
      <t>シテイ</t>
    </rPh>
    <phoneticPr fontId="8"/>
  </si>
  <si>
    <t>構成情報</t>
    <phoneticPr fontId="3"/>
  </si>
  <si>
    <t>仕入情報</t>
    <phoneticPr fontId="3"/>
  </si>
  <si>
    <t>備考</t>
    <phoneticPr fontId="3"/>
  </si>
  <si>
    <t>工程情報</t>
    <phoneticPr fontId="3"/>
  </si>
  <si>
    <t>外注情報</t>
    <phoneticPr fontId="3"/>
  </si>
  <si>
    <t>作業明細</t>
    <phoneticPr fontId="3"/>
  </si>
  <si>
    <t>連産品明細</t>
    <phoneticPr fontId="3"/>
  </si>
  <si>
    <t>製品マスタ</t>
    <rPh sb="0" eb="2">
      <t>セイヒン</t>
    </rPh>
    <phoneticPr fontId="3"/>
  </si>
  <si>
    <t>次画面入力値</t>
    <rPh sb="0" eb="3">
      <t>ジガメン</t>
    </rPh>
    <rPh sb="3" eb="5">
      <t>ニュウリョク</t>
    </rPh>
    <rPh sb="5" eb="6">
      <t>チ</t>
    </rPh>
    <phoneticPr fontId="3"/>
  </si>
  <si>
    <t>受注明細</t>
    <phoneticPr fontId="3"/>
  </si>
  <si>
    <t>第1画面
（TOP画面）</t>
    <phoneticPr fontId="3"/>
  </si>
  <si>
    <t>第2画面
（基本情報）</t>
    <phoneticPr fontId="3"/>
  </si>
  <si>
    <t>第3画面
（工程情報）</t>
    <phoneticPr fontId="3"/>
  </si>
  <si>
    <t>ポップアップ
（詳細入力画面）</t>
    <phoneticPr fontId="3"/>
  </si>
  <si>
    <t>第4画面
（材料設定）</t>
    <phoneticPr fontId="3"/>
  </si>
  <si>
    <t>補足</t>
    <rPh sb="0" eb="2">
      <t>ホソク</t>
    </rPh>
    <phoneticPr fontId="3"/>
  </si>
  <si>
    <t>段ボール受注</t>
    <rPh sb="0" eb="1">
      <t>ダン</t>
    </rPh>
    <rPh sb="4" eb="6">
      <t>ジュチュウ</t>
    </rPh>
    <phoneticPr fontId="3"/>
  </si>
  <si>
    <t>シート受注</t>
  </si>
  <si>
    <t>シート受注</t>
    <rPh sb="3" eb="5">
      <t>ジュチュウ</t>
    </rPh>
    <phoneticPr fontId="3"/>
  </si>
  <si>
    <t>経費受注
（運賃、保管料など）</t>
    <rPh sb="0" eb="2">
      <t>ケイヒ</t>
    </rPh>
    <rPh sb="2" eb="4">
      <t>ジュチュウ</t>
    </rPh>
    <rPh sb="6" eb="8">
      <t>ウンチン</t>
    </rPh>
    <rPh sb="9" eb="12">
      <t>ホカンリョウ</t>
    </rPh>
    <phoneticPr fontId="3"/>
  </si>
  <si>
    <t>通常受注
（経費品以外のMC品目）</t>
    <rPh sb="0" eb="2">
      <t>ツウジョウ</t>
    </rPh>
    <rPh sb="2" eb="4">
      <t>ジュチュウ</t>
    </rPh>
    <rPh sb="6" eb="8">
      <t>ケイヒ</t>
    </rPh>
    <rPh sb="8" eb="9">
      <t>ヒン</t>
    </rPh>
    <rPh sb="9" eb="11">
      <t>イガイ</t>
    </rPh>
    <rPh sb="14" eb="16">
      <t>ヒンモク</t>
    </rPh>
    <phoneticPr fontId="3"/>
  </si>
  <si>
    <t>通常受注
（版型）</t>
    <rPh sb="0" eb="2">
      <t>ツウジョウ</t>
    </rPh>
    <rPh sb="2" eb="4">
      <t>ジュチュウ</t>
    </rPh>
    <rPh sb="6" eb="8">
      <t>ハンカタ</t>
    </rPh>
    <phoneticPr fontId="3"/>
  </si>
  <si>
    <t>通常受注
（生原紙、加工原紙、印刷原紙）</t>
    <rPh sb="0" eb="2">
      <t>ツウジョウ</t>
    </rPh>
    <rPh sb="2" eb="4">
      <t>ジュチュウ</t>
    </rPh>
    <rPh sb="6" eb="7">
      <t>ナマ</t>
    </rPh>
    <rPh sb="7" eb="9">
      <t>ゲンシ</t>
    </rPh>
    <rPh sb="10" eb="12">
      <t>カコウ</t>
    </rPh>
    <rPh sb="12" eb="14">
      <t>ゲンシ</t>
    </rPh>
    <rPh sb="15" eb="17">
      <t>インサツ</t>
    </rPh>
    <rPh sb="17" eb="19">
      <t>ゲンシ</t>
    </rPh>
    <phoneticPr fontId="3"/>
  </si>
  <si>
    <t>商品購買</t>
  </si>
  <si>
    <t>入力不可</t>
    <rPh sb="0" eb="4">
      <t>ニュウリョクフカ</t>
    </rPh>
    <phoneticPr fontId="3"/>
  </si>
  <si>
    <t>基本情報画面</t>
    <phoneticPr fontId="3"/>
  </si>
  <si>
    <t>工程情報画面</t>
    <phoneticPr fontId="3"/>
  </si>
  <si>
    <t>ポップアップ画面（詳細入力）</t>
    <rPh sb="9" eb="11">
      <t>ショウサイ</t>
    </rPh>
    <rPh sb="11" eb="13">
      <t>ニュウリョク</t>
    </rPh>
    <phoneticPr fontId="3"/>
  </si>
  <si>
    <t>材料設定画面</t>
    <phoneticPr fontId="3"/>
  </si>
  <si>
    <t>行別選択するか、セット品に含まれる製品</t>
    <rPh sb="0" eb="1">
      <t>ギョウ</t>
    </rPh>
    <rPh sb="1" eb="2">
      <t>ベツ</t>
    </rPh>
    <rPh sb="2" eb="4">
      <t>センタク</t>
    </rPh>
    <phoneticPr fontId="3"/>
  </si>
  <si>
    <t xml:space="preserve">納入予備 </t>
    <phoneticPr fontId="8"/>
  </si>
  <si>
    <t>営業サンプル</t>
    <phoneticPr fontId="8"/>
  </si>
  <si>
    <t>定数出荷</t>
    <phoneticPr fontId="8"/>
  </si>
  <si>
    <t>全項目</t>
    <rPh sb="0" eb="3">
      <t>ゼンコウモク</t>
    </rPh>
    <phoneticPr fontId="3"/>
  </si>
  <si>
    <t>既存仕様</t>
  </si>
  <si>
    <t>既存仕様</t>
    <rPh sb="0" eb="2">
      <t>キゾン</t>
    </rPh>
    <rPh sb="2" eb="4">
      <t>シヨウ</t>
    </rPh>
    <phoneticPr fontId="3"/>
  </si>
  <si>
    <t>参考</t>
    <rPh sb="0" eb="2">
      <t>サンコウ</t>
    </rPh>
    <phoneticPr fontId="3"/>
  </si>
  <si>
    <t>巻ボール</t>
    <phoneticPr fontId="3"/>
  </si>
  <si>
    <t xml:space="preserve">明細行数
</t>
    <rPh sb="0" eb="2">
      <t>メイサイ</t>
    </rPh>
    <rPh sb="2" eb="4">
      <t>ギョウスウ</t>
    </rPh>
    <phoneticPr fontId="8"/>
  </si>
  <si>
    <t>制限なし</t>
    <rPh sb="0" eb="2">
      <t>セイゲン</t>
    </rPh>
    <phoneticPr fontId="3"/>
  </si>
  <si>
    <t>1行のみ</t>
    <rPh sb="1" eb="2">
      <t>ギョウ</t>
    </rPh>
    <phoneticPr fontId="3"/>
  </si>
  <si>
    <t>製品と同じ</t>
    <rPh sb="0" eb="2">
      <t>セイヒン</t>
    </rPh>
    <rPh sb="3" eb="4">
      <t>オナ</t>
    </rPh>
    <phoneticPr fontId="3"/>
  </si>
  <si>
    <t>保存時採番</t>
    <rPh sb="0" eb="3">
      <t>ホゾンジ</t>
    </rPh>
    <rPh sb="3" eb="5">
      <t>サイバン</t>
    </rPh>
    <phoneticPr fontId="3"/>
  </si>
  <si>
    <t>製品区分</t>
  </si>
  <si>
    <t>製品区分</t>
    <rPh sb="0" eb="2">
      <t>セイヒン</t>
    </rPh>
    <rPh sb="2" eb="4">
      <t>クブン</t>
    </rPh>
    <phoneticPr fontId="3"/>
  </si>
  <si>
    <t>12:加工</t>
  </si>
  <si>
    <t>13:Ｇプリント</t>
  </si>
  <si>
    <t>21:巻ボール</t>
  </si>
  <si>
    <t>23:片面加工</t>
  </si>
  <si>
    <t>31:プリフル</t>
  </si>
  <si>
    <t>32:刷本支給</t>
  </si>
  <si>
    <t>11:シート</t>
  </si>
  <si>
    <t>22:片面シート</t>
  </si>
  <si>
    <t>51:外装シート</t>
  </si>
  <si>
    <t>52:外装ケース</t>
  </si>
  <si>
    <t>62:その他</t>
  </si>
  <si>
    <t>63:デザイン代</t>
  </si>
  <si>
    <t>71:袋</t>
  </si>
  <si>
    <t>81:運賃</t>
  </si>
  <si>
    <t>91:資材料</t>
  </si>
  <si>
    <t>92:前加工料</t>
  </si>
  <si>
    <t>33:コートボール</t>
  </si>
  <si>
    <t>41:生原紙</t>
  </si>
  <si>
    <t>42:印刷原紙</t>
  </si>
  <si>
    <t>80:モールド</t>
    <phoneticPr fontId="4"/>
  </si>
  <si>
    <t>巻取り原紙</t>
  </si>
  <si>
    <t>版・型</t>
  </si>
  <si>
    <t>シート</t>
    <phoneticPr fontId="6"/>
  </si>
  <si>
    <t>段ボール（加工品）</t>
    <rPh sb="0" eb="1">
      <t>ダン</t>
    </rPh>
    <rPh sb="5" eb="8">
      <t>カコウヒン</t>
    </rPh>
    <phoneticPr fontId="6"/>
  </si>
  <si>
    <t>コートボール</t>
    <phoneticPr fontId="6"/>
  </si>
  <si>
    <t>受注品目</t>
    <rPh sb="0" eb="2">
      <t>ジュチュウ</t>
    </rPh>
    <rPh sb="2" eb="4">
      <t>ヒンモク</t>
    </rPh>
    <phoneticPr fontId="6"/>
  </si>
  <si>
    <t>製品</t>
  </si>
  <si>
    <t>製品</t>
    <rPh sb="0" eb="2">
      <t>セイヒン</t>
    </rPh>
    <phoneticPr fontId="6"/>
  </si>
  <si>
    <t>商品</t>
  </si>
  <si>
    <t>商品</t>
    <rPh sb="0" eb="2">
      <t>ショウヒン</t>
    </rPh>
    <phoneticPr fontId="6"/>
  </si>
  <si>
    <t>通常</t>
    <rPh sb="0" eb="2">
      <t>ツウジョウ</t>
    </rPh>
    <phoneticPr fontId="6"/>
  </si>
  <si>
    <t>諸口</t>
    <rPh sb="0" eb="2">
      <t>ショグチ</t>
    </rPh>
    <phoneticPr fontId="6"/>
  </si>
  <si>
    <t>〇</t>
    <phoneticPr fontId="6"/>
  </si>
  <si>
    <t>－</t>
    <phoneticPr fontId="6"/>
  </si>
  <si>
    <t>製品区分
大</t>
    <rPh sb="0" eb="4">
      <t>セイヒンクブン</t>
    </rPh>
    <rPh sb="5" eb="6">
      <t>ダイ</t>
    </rPh>
    <phoneticPr fontId="6"/>
  </si>
  <si>
    <t>製品区分名
大</t>
    <rPh sb="0" eb="4">
      <t>セイヒンクブン</t>
    </rPh>
    <rPh sb="4" eb="5">
      <t>メイ</t>
    </rPh>
    <phoneticPr fontId="6"/>
  </si>
  <si>
    <t>※受注なし</t>
    <rPh sb="1" eb="3">
      <t>ジュチュウ</t>
    </rPh>
    <phoneticPr fontId="6"/>
  </si>
  <si>
    <t>外注</t>
    <rPh sb="0" eb="2">
      <t>ガイチュウ</t>
    </rPh>
    <phoneticPr fontId="6"/>
  </si>
  <si>
    <t>内製</t>
    <rPh sb="0" eb="2">
      <t>ナイセイ</t>
    </rPh>
    <phoneticPr fontId="6"/>
  </si>
  <si>
    <t>ー</t>
    <phoneticPr fontId="6"/>
  </si>
  <si>
    <t>加工商品</t>
  </si>
  <si>
    <t>加工商品</t>
    <rPh sb="0" eb="2">
      <t>カコウ</t>
    </rPh>
    <rPh sb="2" eb="4">
      <t>ショウヒン</t>
    </rPh>
    <phoneticPr fontId="6"/>
  </si>
  <si>
    <t>商品片面シート</t>
    <phoneticPr fontId="5"/>
  </si>
  <si>
    <t>外注</t>
    <rPh sb="0" eb="2">
      <t>ガイチュウ</t>
    </rPh>
    <phoneticPr fontId="11"/>
  </si>
  <si>
    <t>製品マスタ</t>
    <rPh sb="0" eb="2">
      <t>セイヒン</t>
    </rPh>
    <phoneticPr fontId="11"/>
  </si>
  <si>
    <t>CPで取り扱いがある（品目登録済）</t>
    <phoneticPr fontId="11"/>
  </si>
  <si>
    <t>加工品受注</t>
    <rPh sb="0" eb="5">
      <t>カコウヒンジュチュウ</t>
    </rPh>
    <phoneticPr fontId="11"/>
  </si>
  <si>
    <t>WG間転送</t>
    <phoneticPr fontId="11"/>
  </si>
  <si>
    <t>本支店売買</t>
    <rPh sb="0" eb="3">
      <t>ホンシテン</t>
    </rPh>
    <rPh sb="3" eb="5">
      <t>バイバイ</t>
    </rPh>
    <phoneticPr fontId="6"/>
  </si>
  <si>
    <t>受注区分・製品区分の組合せ</t>
    <rPh sb="0" eb="2">
      <t>ジュチュウ</t>
    </rPh>
    <rPh sb="2" eb="4">
      <t>クブン</t>
    </rPh>
    <rPh sb="5" eb="7">
      <t>セイヒン</t>
    </rPh>
    <rPh sb="7" eb="9">
      <t>クブン</t>
    </rPh>
    <rPh sb="10" eb="12">
      <t>クミアワ</t>
    </rPh>
    <phoneticPr fontId="6"/>
  </si>
  <si>
    <t>商品加工</t>
    <phoneticPr fontId="5"/>
  </si>
  <si>
    <t>※発注無し</t>
    <rPh sb="1" eb="4">
      <t>ハッチュウナ</t>
    </rPh>
    <phoneticPr fontId="6"/>
  </si>
  <si>
    <t>62</t>
    <phoneticPr fontId="6"/>
  </si>
  <si>
    <t>製品区分</t>
    <phoneticPr fontId="6"/>
  </si>
  <si>
    <t>&gt;外注&lt;</t>
    <rPh sb="1" eb="3">
      <t>ガイチュウ</t>
    </rPh>
    <phoneticPr fontId="6"/>
  </si>
  <si>
    <t>〇
（MC品目マスタ）</t>
  </si>
  <si>
    <t>〇
（MC品目マスタ）</t>
    <phoneticPr fontId="6"/>
  </si>
  <si>
    <t>経費受注</t>
    <rPh sb="0" eb="2">
      <t>ケイヒ</t>
    </rPh>
    <rPh sb="2" eb="4">
      <t>ジュチュウ</t>
    </rPh>
    <phoneticPr fontId="3"/>
  </si>
  <si>
    <t>〇
（MC品目マスタ、製品マスタ採番済）</t>
    <rPh sb="5" eb="7">
      <t>ヒンモク</t>
    </rPh>
    <rPh sb="11" eb="13">
      <t>セイヒン</t>
    </rPh>
    <rPh sb="16" eb="19">
      <t>サイバンズ</t>
    </rPh>
    <phoneticPr fontId="6"/>
  </si>
  <si>
    <t>〇
（WEB受注画面採番）</t>
    <rPh sb="6" eb="8">
      <t>ジュチュウ</t>
    </rPh>
    <phoneticPr fontId="6"/>
  </si>
  <si>
    <t>〇
（原紙マスタ）</t>
    <phoneticPr fontId="6"/>
  </si>
  <si>
    <t>品目CD</t>
    <phoneticPr fontId="3"/>
  </si>
  <si>
    <t>製品CD</t>
    <phoneticPr fontId="8"/>
  </si>
  <si>
    <t>指定可能品目</t>
    <rPh sb="0" eb="2">
      <t>シテイ</t>
    </rPh>
    <rPh sb="2" eb="4">
      <t>カノウ</t>
    </rPh>
    <rPh sb="4" eb="6">
      <t>ヒンモク</t>
    </rPh>
    <phoneticPr fontId="6"/>
  </si>
  <si>
    <t>基本情報画面</t>
    <rPh sb="0" eb="2">
      <t>キホン</t>
    </rPh>
    <rPh sb="2" eb="4">
      <t>ジョウホウ</t>
    </rPh>
    <rPh sb="4" eb="6">
      <t>ガメン</t>
    </rPh>
    <phoneticPr fontId="8"/>
  </si>
  <si>
    <t>指定する製品の製品区分</t>
    <rPh sb="0" eb="2">
      <t>シテイ</t>
    </rPh>
    <rPh sb="4" eb="6">
      <t>セイヒン</t>
    </rPh>
    <rPh sb="7" eb="9">
      <t>セイヒン</t>
    </rPh>
    <rPh sb="9" eb="11">
      <t>クブン</t>
    </rPh>
    <phoneticPr fontId="8"/>
  </si>
  <si>
    <t>1:商品</t>
    <phoneticPr fontId="8"/>
  </si>
  <si>
    <t>品目区分</t>
    <rPh sb="0" eb="2">
      <t>ヒンモク</t>
    </rPh>
    <rPh sb="2" eb="4">
      <t>クブン</t>
    </rPh>
    <phoneticPr fontId="8"/>
  </si>
  <si>
    <t>品目区分詳細</t>
    <rPh sb="0" eb="2">
      <t>ヒンモク</t>
    </rPh>
    <rPh sb="2" eb="4">
      <t>クブン</t>
    </rPh>
    <rPh sb="4" eb="6">
      <t>ショウサイ</t>
    </rPh>
    <phoneticPr fontId="8"/>
  </si>
  <si>
    <t>112:商品加工</t>
  </si>
  <si>
    <t>113:商品Ｇプリント</t>
  </si>
  <si>
    <t>121:商品巻ボール</t>
  </si>
  <si>
    <t>123:商品片面加工</t>
  </si>
  <si>
    <t>131:商品プリフル</t>
  </si>
  <si>
    <t>132:商品刷本支給</t>
  </si>
  <si>
    <t>指定する品目の品目詳細区分で判断</t>
    <rPh sb="0" eb="2">
      <t>シテイ</t>
    </rPh>
    <rPh sb="4" eb="6">
      <t>ヒンモク</t>
    </rPh>
    <rPh sb="7" eb="9">
      <t>ヒンモク</t>
    </rPh>
    <rPh sb="9" eb="11">
      <t>ショウサイ</t>
    </rPh>
    <rPh sb="11" eb="13">
      <t>クブン</t>
    </rPh>
    <rPh sb="14" eb="16">
      <t>ハンダン</t>
    </rPh>
    <phoneticPr fontId="8"/>
  </si>
  <si>
    <t>※検索条件</t>
    <rPh sb="1" eb="3">
      <t>ケンサク</t>
    </rPh>
    <rPh sb="3" eb="5">
      <t>ジョウケン</t>
    </rPh>
    <phoneticPr fontId="8"/>
  </si>
  <si>
    <t>諸口品ＦＬＧ</t>
  </si>
  <si>
    <t>1:諸口</t>
    <rPh sb="2" eb="4">
      <t>ショグチ</t>
    </rPh>
    <phoneticPr fontId="8"/>
  </si>
  <si>
    <t>画面で採番する</t>
    <rPh sb="0" eb="2">
      <t>ガメン</t>
    </rPh>
    <rPh sb="3" eb="5">
      <t>サイバン</t>
    </rPh>
    <phoneticPr fontId="4"/>
  </si>
  <si>
    <t>111:商品シート</t>
  </si>
  <si>
    <t>122:商品片面シート</t>
  </si>
  <si>
    <t>151:外装シート</t>
  </si>
  <si>
    <t>152:外装ケース</t>
  </si>
  <si>
    <t>162:商品その他</t>
  </si>
  <si>
    <t>171:袋</t>
  </si>
  <si>
    <t>※検索条件①</t>
    <rPh sb="1" eb="3">
      <t>ケンサク</t>
    </rPh>
    <rPh sb="3" eb="5">
      <t>ジョウケン</t>
    </rPh>
    <phoneticPr fontId="8"/>
  </si>
  <si>
    <t>※検索条件②</t>
    <rPh sb="1" eb="3">
      <t>ケンサク</t>
    </rPh>
    <rPh sb="3" eb="5">
      <t>ジョウケン</t>
    </rPh>
    <phoneticPr fontId="8"/>
  </si>
  <si>
    <t>9:その他</t>
  </si>
  <si>
    <t>963:デザイン代</t>
  </si>
  <si>
    <t>981:運賃</t>
  </si>
  <si>
    <t>991:資材料</t>
  </si>
  <si>
    <t>992:前加工料</t>
  </si>
  <si>
    <t>180:モールド</t>
  </si>
  <si>
    <t>80</t>
  </si>
  <si>
    <t>品目マスタ</t>
  </si>
  <si>
    <t>1</t>
  </si>
  <si>
    <t>1:商品</t>
    <rPh sb="2" eb="4">
      <t>ショウヒン</t>
    </rPh>
    <phoneticPr fontId="8"/>
  </si>
  <si>
    <t>133:商品コートボール</t>
  </si>
  <si>
    <t>141:商品原紙</t>
  </si>
  <si>
    <t>142:商品印刷原紙</t>
  </si>
  <si>
    <t>2:製品</t>
    <rPh sb="2" eb="4">
      <t>セイヒン</t>
    </rPh>
    <phoneticPr fontId="8"/>
  </si>
  <si>
    <t>233:コートボール製品</t>
  </si>
  <si>
    <t>※検索条件③</t>
    <rPh sb="1" eb="3">
      <t>ケンサク</t>
    </rPh>
    <rPh sb="3" eb="5">
      <t>ジョウケン</t>
    </rPh>
    <phoneticPr fontId="8"/>
  </si>
  <si>
    <t>6:原料</t>
    <rPh sb="2" eb="4">
      <t>ゲンリョウ</t>
    </rPh>
    <phoneticPr fontId="8"/>
  </si>
  <si>
    <t>601:生原紙</t>
  </si>
  <si>
    <t>602:テスト原紙</t>
  </si>
  <si>
    <t>600:印刷原紙</t>
  </si>
  <si>
    <t>603:コートボール</t>
  </si>
  <si>
    <t>諸口ＦＬＧ＝1</t>
    <rPh sb="0" eb="2">
      <t>ショグチ</t>
    </rPh>
    <phoneticPr fontId="8"/>
  </si>
  <si>
    <t>画面より指定</t>
  </si>
  <si>
    <t>品目マスタ</t>
    <rPh sb="0" eb="2">
      <t>ヒンモク</t>
    </rPh>
    <phoneticPr fontId="8"/>
  </si>
  <si>
    <t>諸口ＦＬＧ＝0</t>
    <phoneticPr fontId="8"/>
  </si>
  <si>
    <t>※諸口ＦＬＧで判断</t>
    <rPh sb="7" eb="9">
      <t>ハンダン</t>
    </rPh>
    <phoneticPr fontId="8"/>
  </si>
  <si>
    <t>品目マスタ（経費品）</t>
    <rPh sb="6" eb="8">
      <t>ケイヒ</t>
    </rPh>
    <rPh sb="8" eb="9">
      <t>ヒン</t>
    </rPh>
    <phoneticPr fontId="8"/>
  </si>
  <si>
    <r>
      <t>　※画面制御は</t>
    </r>
    <r>
      <rPr>
        <u/>
        <sz val="11"/>
        <color theme="1"/>
        <rFont val="Meiryo UI"/>
        <family val="3"/>
        <charset val="128"/>
      </rPr>
      <t>商品購買（諸口）</t>
    </r>
    <r>
      <rPr>
        <sz val="11"/>
        <color theme="1"/>
        <rFont val="Meiryo UI"/>
        <family val="3"/>
        <charset val="128"/>
      </rPr>
      <t>と同じ</t>
    </r>
    <phoneticPr fontId="8"/>
  </si>
  <si>
    <t>242:印刷原紙</t>
    <phoneticPr fontId="8"/>
  </si>
  <si>
    <t>2.シート受注</t>
    <phoneticPr fontId="8"/>
  </si>
  <si>
    <t>3.商品購買</t>
    <rPh sb="2" eb="4">
      <t>ショウヒン</t>
    </rPh>
    <rPh sb="4" eb="6">
      <t>コウバイ</t>
    </rPh>
    <phoneticPr fontId="8"/>
  </si>
  <si>
    <t>加工製品</t>
  </si>
  <si>
    <t>シート製品</t>
  </si>
  <si>
    <t>1</t>
    <phoneticPr fontId="3"/>
  </si>
  <si>
    <t>必須</t>
    <rPh sb="0" eb="2">
      <t>ヒッス</t>
    </rPh>
    <phoneticPr fontId="4"/>
  </si>
  <si>
    <t>一覧に戻る</t>
    <rPh sb="0" eb="2">
      <t>イチラン</t>
    </rPh>
    <rPh sb="3" eb="4">
      <t>モド</t>
    </rPh>
    <phoneticPr fontId="4"/>
  </si>
  <si>
    <t>論理名</t>
    <rPh sb="0" eb="2">
      <t>ロンリ</t>
    </rPh>
    <rPh sb="2" eb="3">
      <t>メイ</t>
    </rPh>
    <phoneticPr fontId="4"/>
  </si>
  <si>
    <t>汎用分類ＣＤ</t>
  </si>
  <si>
    <t>キー１</t>
  </si>
  <si>
    <t>キー２</t>
  </si>
  <si>
    <t>キー３</t>
  </si>
  <si>
    <t>キー４</t>
  </si>
  <si>
    <t>キー５</t>
  </si>
  <si>
    <t>キー６</t>
  </si>
  <si>
    <t>キー７</t>
  </si>
  <si>
    <t>キー８</t>
  </si>
  <si>
    <t>キー９</t>
  </si>
  <si>
    <t>キー１０</t>
  </si>
  <si>
    <t>会社ＣＤ</t>
  </si>
  <si>
    <t>文字列１</t>
  </si>
  <si>
    <t>文字列２</t>
  </si>
  <si>
    <t>文字列３</t>
  </si>
  <si>
    <t>文字列４</t>
  </si>
  <si>
    <t>文字列５</t>
  </si>
  <si>
    <t>文字列６</t>
  </si>
  <si>
    <t>文字列７</t>
  </si>
  <si>
    <t>文字列８</t>
  </si>
  <si>
    <t>文字列９</t>
  </si>
  <si>
    <t>文字列１０</t>
  </si>
  <si>
    <t>文字列１１</t>
  </si>
  <si>
    <t>文字列１２</t>
  </si>
  <si>
    <t>文字列１３</t>
  </si>
  <si>
    <t>文字列１４</t>
  </si>
  <si>
    <t>文字列１５</t>
  </si>
  <si>
    <t>文字列１６</t>
  </si>
  <si>
    <t>文字列１７</t>
  </si>
  <si>
    <t>文字列１８</t>
  </si>
  <si>
    <t>文字列１９</t>
  </si>
  <si>
    <t>文字列２０</t>
  </si>
  <si>
    <t>数値１</t>
  </si>
  <si>
    <t>数値２</t>
  </si>
  <si>
    <t>数値３</t>
  </si>
  <si>
    <t>数値４</t>
  </si>
  <si>
    <t>数値５</t>
  </si>
  <si>
    <t>数値６</t>
  </si>
  <si>
    <t>数値７</t>
  </si>
  <si>
    <t>数値８</t>
  </si>
  <si>
    <t>数値９</t>
  </si>
  <si>
    <t>数値１０</t>
  </si>
  <si>
    <t>日付１</t>
  </si>
  <si>
    <t>日付２</t>
  </si>
  <si>
    <t>日付３</t>
  </si>
  <si>
    <t>日付４</t>
  </si>
  <si>
    <t>日付５</t>
  </si>
  <si>
    <t>日付６</t>
  </si>
  <si>
    <t>日付７</t>
  </si>
  <si>
    <t>日付８</t>
  </si>
  <si>
    <t>日付９</t>
  </si>
  <si>
    <t>日付１０</t>
  </si>
  <si>
    <t>フラグ１</t>
  </si>
  <si>
    <t>フラグ２</t>
  </si>
  <si>
    <t>フラグ３</t>
  </si>
  <si>
    <t>フラグ４</t>
  </si>
  <si>
    <t>フラグ５</t>
  </si>
  <si>
    <t>フラグ６</t>
  </si>
  <si>
    <t>フラグ７</t>
  </si>
  <si>
    <t>フラグ８</t>
  </si>
  <si>
    <t>フラグ９</t>
  </si>
  <si>
    <t>フラグ１０</t>
  </si>
  <si>
    <t>メモ１</t>
  </si>
  <si>
    <t>メモ２</t>
  </si>
  <si>
    <t>メモ３</t>
  </si>
  <si>
    <t>論理削除ＦＬＧ</t>
  </si>
  <si>
    <t>論理削除ユーザＩＤ</t>
  </si>
  <si>
    <t>論理削除ユーザ名</t>
  </si>
  <si>
    <t>論理削除日時</t>
  </si>
  <si>
    <t>登録ユーザＩＤ</t>
  </si>
  <si>
    <t>登録ユーザ名</t>
  </si>
  <si>
    <t>登録日時</t>
  </si>
  <si>
    <t>登録機能ＩＤ</t>
  </si>
  <si>
    <t>更新カウンタ</t>
  </si>
  <si>
    <t>更新ユーザＩＤ</t>
  </si>
  <si>
    <t>更新ユーザ名</t>
  </si>
  <si>
    <t>更新日時</t>
  </si>
  <si>
    <t>更新機能ＩＤ</t>
  </si>
  <si>
    <t>更新リクエストＮＯ</t>
  </si>
  <si>
    <t>型</t>
    <rPh sb="0" eb="1">
      <t>カタ</t>
    </rPh>
    <phoneticPr fontId="4"/>
  </si>
  <si>
    <t>VARCHAR2</t>
  </si>
  <si>
    <t>NUMBER</t>
  </si>
  <si>
    <t>DATE</t>
  </si>
  <si>
    <t>CHAR</t>
  </si>
  <si>
    <t>TIMESTAMP</t>
  </si>
  <si>
    <t>桁数</t>
    <rPh sb="0" eb="2">
      <t>ケタスウ</t>
    </rPh>
    <phoneticPr fontId="4"/>
  </si>
  <si>
    <t>21,8</t>
  </si>
  <si>
    <t>汎用分類</t>
    <rPh sb="0" eb="2">
      <t>ハンヨウ</t>
    </rPh>
    <rPh sb="2" eb="4">
      <t>ブンルイ</t>
    </rPh>
    <phoneticPr fontId="4"/>
  </si>
  <si>
    <t>省略可否</t>
    <rPh sb="0" eb="2">
      <t>ショウリャク</t>
    </rPh>
    <rPh sb="2" eb="4">
      <t>カヒ</t>
    </rPh>
    <phoneticPr fontId="4"/>
  </si>
  <si>
    <t>用途</t>
    <rPh sb="0" eb="2">
      <t>ヨウト</t>
    </rPh>
    <phoneticPr fontId="4"/>
  </si>
  <si>
    <t>GP_GRP_CD</t>
  </si>
  <si>
    <t>KEY1</t>
  </si>
  <si>
    <t>KEY2</t>
  </si>
  <si>
    <t>KEY3</t>
  </si>
  <si>
    <t>KEY4</t>
  </si>
  <si>
    <t>KEY5</t>
  </si>
  <si>
    <t>KEY6</t>
  </si>
  <si>
    <t>KEY7</t>
  </si>
  <si>
    <t>KEY8</t>
  </si>
  <si>
    <t>KEY9</t>
  </si>
  <si>
    <t>KEY10</t>
  </si>
  <si>
    <t>CO_CD</t>
  </si>
  <si>
    <t>CHAR1</t>
  </si>
  <si>
    <t>CHAR2</t>
  </si>
  <si>
    <t>CHAR3</t>
  </si>
  <si>
    <t>CHAR4</t>
  </si>
  <si>
    <t>CHAR5</t>
  </si>
  <si>
    <t>CHAR6</t>
  </si>
  <si>
    <t>CHAR7</t>
  </si>
  <si>
    <t>CHAR8</t>
  </si>
  <si>
    <t>CHAR9</t>
  </si>
  <si>
    <t>CHAR10</t>
  </si>
  <si>
    <t>CHAR11</t>
  </si>
  <si>
    <t>CHAR12</t>
  </si>
  <si>
    <t>CHAR13</t>
  </si>
  <si>
    <t>CHAR14</t>
  </si>
  <si>
    <t>CHAR15</t>
  </si>
  <si>
    <t>CHAR16</t>
  </si>
  <si>
    <t>CHAR17</t>
  </si>
  <si>
    <t>CHAR18</t>
  </si>
  <si>
    <t>CHAR19</t>
  </si>
  <si>
    <t>CHAR20</t>
  </si>
  <si>
    <t>NUM1</t>
  </si>
  <si>
    <t>NUM2</t>
  </si>
  <si>
    <t>NUM3</t>
  </si>
  <si>
    <t>NUM4</t>
  </si>
  <si>
    <t>NUM5</t>
  </si>
  <si>
    <t>NUM6</t>
  </si>
  <si>
    <t>NUM7</t>
  </si>
  <si>
    <t>NUM8</t>
  </si>
  <si>
    <t>NUM9</t>
  </si>
  <si>
    <t>NUM10</t>
  </si>
  <si>
    <t>DT1</t>
  </si>
  <si>
    <t>DT2</t>
  </si>
  <si>
    <t>DT3</t>
  </si>
  <si>
    <t>DT4</t>
  </si>
  <si>
    <t>DT5</t>
  </si>
  <si>
    <t>DT6</t>
  </si>
  <si>
    <t>DT7</t>
  </si>
  <si>
    <t>DT8</t>
  </si>
  <si>
    <t>DT9</t>
  </si>
  <si>
    <t>DT10</t>
  </si>
  <si>
    <t>FLG1</t>
  </si>
  <si>
    <t>FLG2</t>
  </si>
  <si>
    <t>FLG3</t>
  </si>
  <si>
    <t>FLG4</t>
  </si>
  <si>
    <t>FLG5</t>
  </si>
  <si>
    <t>FLG6</t>
  </si>
  <si>
    <t>FLG7</t>
  </si>
  <si>
    <t>FLG8</t>
  </si>
  <si>
    <t>FLG9</t>
  </si>
  <si>
    <t>FLG10</t>
  </si>
  <si>
    <t>MEMO1</t>
  </si>
  <si>
    <t>MEMO2</t>
  </si>
  <si>
    <t>MEMO3</t>
  </si>
  <si>
    <t>DEL_FLG</t>
  </si>
  <si>
    <t>DEL_USR_ID</t>
  </si>
  <si>
    <t>DEL_USR_NM</t>
  </si>
  <si>
    <t>DEL_TS</t>
  </si>
  <si>
    <t>INS_USR_ID</t>
  </si>
  <si>
    <t>INS_USR_NM</t>
  </si>
  <si>
    <t>INS_TS</t>
  </si>
  <si>
    <t>INS_FUNC_ID</t>
  </si>
  <si>
    <t>UPD_CNTR</t>
  </si>
  <si>
    <t>UPD_USR_ID</t>
  </si>
  <si>
    <t>UPD_USR_NM</t>
  </si>
  <si>
    <t>UPD_TS</t>
  </si>
  <si>
    <t>UPD_FUNC_ID</t>
  </si>
  <si>
    <t>UPD_SRV_REQ_NO</t>
  </si>
  <si>
    <t>定義</t>
    <rPh sb="0" eb="2">
      <t>テイギ</t>
    </rPh>
    <phoneticPr fontId="1"/>
  </si>
  <si>
    <t>WEB受注画面制御</t>
    <rPh sb="3" eb="5">
      <t>ジュチュウ</t>
    </rPh>
    <rPh sb="5" eb="7">
      <t>ガメン</t>
    </rPh>
    <rPh sb="7" eb="9">
      <t>セイギョ</t>
    </rPh>
    <phoneticPr fontId="4"/>
  </si>
  <si>
    <t>省略不可。省略時処理エラー。</t>
    <phoneticPr fontId="4"/>
  </si>
  <si>
    <t>M111</t>
    <phoneticPr fontId="4"/>
  </si>
  <si>
    <t>受注区分</t>
    <rPh sb="0" eb="2">
      <t>ジュチュウ</t>
    </rPh>
    <rPh sb="2" eb="4">
      <t>クブン</t>
    </rPh>
    <phoneticPr fontId="4"/>
  </si>
  <si>
    <t>品目区分</t>
    <rPh sb="0" eb="2">
      <t>ヒンモク</t>
    </rPh>
    <rPh sb="2" eb="4">
      <t>クブン</t>
    </rPh>
    <phoneticPr fontId="4"/>
  </si>
  <si>
    <t>品目区分詳細</t>
    <rPh sb="0" eb="2">
      <t>ヒンモク</t>
    </rPh>
    <rPh sb="2" eb="4">
      <t>クブン</t>
    </rPh>
    <rPh sb="4" eb="6">
      <t>ショウサイ</t>
    </rPh>
    <phoneticPr fontId="4"/>
  </si>
  <si>
    <t>諸口ＦＬＧ</t>
    <rPh sb="0" eb="2">
      <t>ショグチ</t>
    </rPh>
    <phoneticPr fontId="4"/>
  </si>
  <si>
    <t>CROWN01</t>
  </si>
  <si>
    <t>製品区分</t>
    <rPh sb="0" eb="2">
      <t>セイヒン</t>
    </rPh>
    <rPh sb="2" eb="4">
      <t>クブン</t>
    </rPh>
    <phoneticPr fontId="4"/>
  </si>
  <si>
    <t>朱</t>
    <rPh sb="0" eb="1">
      <t>シュ</t>
    </rPh>
    <phoneticPr fontId="4"/>
  </si>
  <si>
    <t>1/17</t>
    <phoneticPr fontId="4"/>
  </si>
  <si>
    <t>データ例</t>
    <rPh sb="3" eb="4">
      <t>レイ</t>
    </rPh>
    <phoneticPr fontId="1"/>
  </si>
  <si>
    <t>M111</t>
  </si>
  <si>
    <t>10</t>
  </si>
  <si>
    <t>*</t>
  </si>
  <si>
    <t>1</t>
    <phoneticPr fontId="38"/>
  </si>
  <si>
    <t>J0001</t>
    <phoneticPr fontId="8"/>
  </si>
  <si>
    <t>12</t>
  </si>
  <si>
    <t>加工品受注（新規入力）</t>
    <rPh sb="0" eb="3">
      <t>カコウヒン</t>
    </rPh>
    <rPh sb="3" eb="5">
      <t>ジュチュウ</t>
    </rPh>
    <rPh sb="6" eb="8">
      <t>シンキ</t>
    </rPh>
    <rPh sb="8" eb="10">
      <t>ニュウリョク</t>
    </rPh>
    <phoneticPr fontId="38"/>
  </si>
  <si>
    <t>0</t>
  </si>
  <si>
    <t>2</t>
    <phoneticPr fontId="38"/>
  </si>
  <si>
    <t>13</t>
  </si>
  <si>
    <t>3</t>
    <phoneticPr fontId="38"/>
  </si>
  <si>
    <t>21</t>
  </si>
  <si>
    <t>4</t>
    <phoneticPr fontId="38"/>
  </si>
  <si>
    <t>23</t>
  </si>
  <si>
    <t>5</t>
    <phoneticPr fontId="38"/>
  </si>
  <si>
    <t>31</t>
  </si>
  <si>
    <t>6</t>
    <phoneticPr fontId="38"/>
  </si>
  <si>
    <t>32</t>
  </si>
  <si>
    <t>製品</t>
    <rPh sb="0" eb="2">
      <t>セイヒン</t>
    </rPh>
    <phoneticPr fontId="15"/>
  </si>
  <si>
    <t>J0001</t>
  </si>
  <si>
    <t>0</t>
    <phoneticPr fontId="4"/>
  </si>
  <si>
    <t>刷本支給</t>
    <rPh sb="2" eb="4">
      <t>シキュウ</t>
    </rPh>
    <phoneticPr fontId="20"/>
  </si>
  <si>
    <t>112</t>
  </si>
  <si>
    <t>113</t>
  </si>
  <si>
    <t>M111</t>
    <phoneticPr fontId="38"/>
  </si>
  <si>
    <t>121</t>
  </si>
  <si>
    <t>123</t>
  </si>
  <si>
    <t>131</t>
  </si>
  <si>
    <t>132</t>
  </si>
  <si>
    <t>1</t>
    <phoneticPr fontId="4"/>
  </si>
  <si>
    <t>諸口</t>
    <rPh sb="0" eb="2">
      <t>ショグチ</t>
    </rPh>
    <phoneticPr fontId="4"/>
  </si>
  <si>
    <t>商品購買（諸口）、経費品</t>
    <rPh sb="9" eb="12">
      <t>ケイヒヒン</t>
    </rPh>
    <phoneticPr fontId="38"/>
  </si>
  <si>
    <t>11</t>
    <phoneticPr fontId="38"/>
  </si>
  <si>
    <t>シート</t>
    <phoneticPr fontId="38"/>
  </si>
  <si>
    <t>シート受注（新規入力）</t>
    <phoneticPr fontId="38"/>
  </si>
  <si>
    <t>22</t>
    <phoneticPr fontId="38"/>
  </si>
  <si>
    <t>片面シート</t>
    <phoneticPr fontId="38"/>
  </si>
  <si>
    <t>2</t>
    <phoneticPr fontId="4"/>
  </si>
  <si>
    <t>21</t>
    <phoneticPr fontId="4"/>
  </si>
  <si>
    <t>シート商品</t>
    <rPh sb="3" eb="5">
      <t>ショウヒン</t>
    </rPh>
    <phoneticPr fontId="40"/>
  </si>
  <si>
    <t>商品シート</t>
    <rPh sb="0" eb="2">
      <t>ショウヒン</t>
    </rPh>
    <phoneticPr fontId="39"/>
  </si>
  <si>
    <t>30</t>
  </si>
  <si>
    <t>151</t>
  </si>
  <si>
    <t>0</t>
    <phoneticPr fontId="38"/>
  </si>
  <si>
    <t>購買品</t>
    <rPh sb="0" eb="3">
      <t>コウバイヒン</t>
    </rPh>
    <phoneticPr fontId="40"/>
  </si>
  <si>
    <t>152</t>
  </si>
  <si>
    <t>162</t>
  </si>
  <si>
    <t>171</t>
  </si>
  <si>
    <t>180</t>
  </si>
  <si>
    <t>963</t>
  </si>
  <si>
    <t>その他</t>
    <rPh sb="2" eb="3">
      <t>タ</t>
    </rPh>
    <phoneticPr fontId="38"/>
  </si>
  <si>
    <t>981</t>
  </si>
  <si>
    <t>991</t>
  </si>
  <si>
    <t>992</t>
  </si>
  <si>
    <t>133</t>
  </si>
  <si>
    <t>原紙</t>
    <rPh sb="0" eb="2">
      <t>ゲンシ</t>
    </rPh>
    <phoneticPr fontId="40"/>
  </si>
  <si>
    <t>商品コートボール</t>
  </si>
  <si>
    <t>141</t>
  </si>
  <si>
    <t>商品原紙</t>
  </si>
  <si>
    <t>142</t>
  </si>
  <si>
    <t>商品印刷原紙</t>
  </si>
  <si>
    <t>233</t>
  </si>
  <si>
    <t>コートボール製品</t>
  </si>
  <si>
    <t>242</t>
  </si>
  <si>
    <t>603</t>
  </si>
  <si>
    <t>原料</t>
  </si>
  <si>
    <t>601</t>
  </si>
  <si>
    <t>602</t>
  </si>
  <si>
    <t>テスト原紙</t>
  </si>
  <si>
    <t>600</t>
  </si>
  <si>
    <t>表示順</t>
    <rPh sb="0" eb="3">
      <t>ヒョウジジュン</t>
    </rPh>
    <phoneticPr fontId="4"/>
  </si>
  <si>
    <t>受注区分名
（設定確認要）</t>
    <rPh sb="0" eb="2">
      <t>ジュチュウ</t>
    </rPh>
    <rPh sb="2" eb="4">
      <t>クブン</t>
    </rPh>
    <rPh sb="4" eb="5">
      <t>メイ</t>
    </rPh>
    <rPh sb="7" eb="9">
      <t>セッテイ</t>
    </rPh>
    <rPh sb="9" eb="11">
      <t>カクニン</t>
    </rPh>
    <rPh sb="11" eb="12">
      <t>ヨウ</t>
    </rPh>
    <phoneticPr fontId="4"/>
  </si>
  <si>
    <t>品目区分名
（設定確認要）</t>
    <rPh sb="0" eb="2">
      <t>ヒンモク</t>
    </rPh>
    <rPh sb="2" eb="4">
      <t>クブン</t>
    </rPh>
    <rPh sb="4" eb="5">
      <t>メイ</t>
    </rPh>
    <phoneticPr fontId="4"/>
  </si>
  <si>
    <t>品目区分詳細名
（設定確認要）</t>
    <rPh sb="0" eb="2">
      <t>ヒンモク</t>
    </rPh>
    <rPh sb="2" eb="4">
      <t>クブン</t>
    </rPh>
    <rPh sb="4" eb="6">
      <t>ショウサイ</t>
    </rPh>
    <rPh sb="6" eb="7">
      <t>メイ</t>
    </rPh>
    <phoneticPr fontId="4"/>
  </si>
  <si>
    <t>諸口ＦＬＧ
（設定確認要）</t>
    <rPh sb="0" eb="2">
      <t>ショグチ</t>
    </rPh>
    <phoneticPr fontId="4"/>
  </si>
  <si>
    <t>製品区分名</t>
    <rPh sb="0" eb="2">
      <t>セイヒン</t>
    </rPh>
    <rPh sb="2" eb="4">
      <t>クブン</t>
    </rPh>
    <rPh sb="4" eb="5">
      <t>メイ</t>
    </rPh>
    <phoneticPr fontId="4"/>
  </si>
  <si>
    <t>受注入力パタン名</t>
    <rPh sb="0" eb="2">
      <t>ジュチュウ</t>
    </rPh>
    <rPh sb="2" eb="4">
      <t>ニュウリョク</t>
    </rPh>
    <rPh sb="7" eb="8">
      <t>メイ</t>
    </rPh>
    <phoneticPr fontId="4"/>
  </si>
  <si>
    <t>受注入力パタン</t>
    <rPh sb="0" eb="2">
      <t>ジュチュウ</t>
    </rPh>
    <rPh sb="2" eb="4">
      <t>ニュウリョク</t>
    </rPh>
    <phoneticPr fontId="4"/>
  </si>
  <si>
    <t>2.シート受注</t>
    <phoneticPr fontId="4"/>
  </si>
  <si>
    <t>受注入力パタン</t>
    <rPh sb="0" eb="2">
      <t>ジュチュウ</t>
    </rPh>
    <rPh sb="2" eb="4">
      <t>ニュウリョク</t>
    </rPh>
    <phoneticPr fontId="8"/>
  </si>
  <si>
    <t>画面イメージ</t>
    <rPh sb="0" eb="2">
      <t>ガメン</t>
    </rPh>
    <phoneticPr fontId="8"/>
  </si>
  <si>
    <t>≫凡例</t>
    <rPh sb="1" eb="3">
      <t>ハンレイ</t>
    </rPh>
    <phoneticPr fontId="8"/>
  </si>
  <si>
    <t>・・・</t>
    <phoneticPr fontId="8"/>
  </si>
  <si>
    <t>ボタン</t>
    <phoneticPr fontId="8"/>
  </si>
  <si>
    <t>見積計算書№</t>
    <phoneticPr fontId="8"/>
  </si>
  <si>
    <t>検索項目(検索画面表示選択)</t>
    <rPh sb="0" eb="2">
      <t>ケンサク</t>
    </rPh>
    <rPh sb="2" eb="4">
      <t>コウモク</t>
    </rPh>
    <rPh sb="5" eb="7">
      <t>ケンサク</t>
    </rPh>
    <rPh sb="7" eb="9">
      <t>ガメン</t>
    </rPh>
    <rPh sb="9" eb="11">
      <t>ヒョウジ</t>
    </rPh>
    <rPh sb="11" eb="13">
      <t>センタク</t>
    </rPh>
    <phoneticPr fontId="8"/>
  </si>
  <si>
    <t>品名</t>
    <rPh sb="0" eb="2">
      <t>ヒンメイ</t>
    </rPh>
    <phoneticPr fontId="8"/>
  </si>
  <si>
    <t>入力項目</t>
    <rPh sb="0" eb="2">
      <t>ニュウリョク</t>
    </rPh>
    <rPh sb="2" eb="4">
      <t>コウモク</t>
    </rPh>
    <phoneticPr fontId="8"/>
  </si>
  <si>
    <t>得意先</t>
    <rPh sb="0" eb="3">
      <t>トクイサキ</t>
    </rPh>
    <phoneticPr fontId="8"/>
  </si>
  <si>
    <t>表示項目(得意先名称、原紙名等)</t>
    <rPh sb="0" eb="2">
      <t>ヒョウジ</t>
    </rPh>
    <rPh sb="2" eb="4">
      <t>コウモク</t>
    </rPh>
    <rPh sb="5" eb="8">
      <t>トクイサキ</t>
    </rPh>
    <rPh sb="8" eb="10">
      <t>メイショウ</t>
    </rPh>
    <rPh sb="11" eb="13">
      <t>ゲンシ</t>
    </rPh>
    <rPh sb="13" eb="14">
      <t>メイ</t>
    </rPh>
    <rPh sb="14" eb="15">
      <t>ナド</t>
    </rPh>
    <phoneticPr fontId="8"/>
  </si>
  <si>
    <t>操作種別</t>
    <rPh sb="0" eb="2">
      <t>ソウサ</t>
    </rPh>
    <rPh sb="2" eb="4">
      <t>シュベツ</t>
    </rPh>
    <phoneticPr fontId="8"/>
  </si>
  <si>
    <t>●登録</t>
    <rPh sb="1" eb="3">
      <t>トウロク</t>
    </rPh>
    <phoneticPr fontId="8"/>
  </si>
  <si>
    <t>○訂正</t>
    <rPh sb="1" eb="3">
      <t>テイセイ</t>
    </rPh>
    <phoneticPr fontId="8"/>
  </si>
  <si>
    <t>選択項目(一つのみ選択可能)</t>
    <rPh sb="0" eb="2">
      <t>センタク</t>
    </rPh>
    <rPh sb="2" eb="4">
      <t>コウモク</t>
    </rPh>
    <rPh sb="5" eb="6">
      <t>ヒト</t>
    </rPh>
    <rPh sb="9" eb="11">
      <t>センタク</t>
    </rPh>
    <rPh sb="11" eb="13">
      <t>カノウ</t>
    </rPh>
    <phoneticPr fontId="8"/>
  </si>
  <si>
    <t>受注区分</t>
    <rPh sb="0" eb="2">
      <t>ジュチュウ</t>
    </rPh>
    <rPh sb="2" eb="4">
      <t>クブン</t>
    </rPh>
    <phoneticPr fontId="8"/>
  </si>
  <si>
    <t>作業順</t>
    <rPh sb="0" eb="2">
      <t>サギョウ</t>
    </rPh>
    <rPh sb="2" eb="3">
      <t>ジュン</t>
    </rPh>
    <phoneticPr fontId="8"/>
  </si>
  <si>
    <t>☑AAA</t>
    <phoneticPr fontId="8"/>
  </si>
  <si>
    <t>☑BBB</t>
    <phoneticPr fontId="8"/>
  </si>
  <si>
    <t>選択項目(複数選択可能)</t>
    <rPh sb="0" eb="2">
      <t>センタク</t>
    </rPh>
    <rPh sb="2" eb="4">
      <t>コウモク</t>
    </rPh>
    <rPh sb="5" eb="7">
      <t>フクスウ</t>
    </rPh>
    <rPh sb="7" eb="9">
      <t>センタク</t>
    </rPh>
    <rPh sb="9" eb="11">
      <t>カノウ</t>
    </rPh>
    <phoneticPr fontId="8"/>
  </si>
  <si>
    <t>〇加工品受注初期表示</t>
    <rPh sb="1" eb="4">
      <t>カコウヒン</t>
    </rPh>
    <rPh sb="4" eb="6">
      <t>ジュチュウ</t>
    </rPh>
    <rPh sb="6" eb="10">
      <t>ショキヒョウジ</t>
    </rPh>
    <phoneticPr fontId="6"/>
  </si>
  <si>
    <t>ログイン営業担当の部門が初期設定</t>
    <rPh sb="4" eb="8">
      <t>エイギョウタントウ</t>
    </rPh>
    <rPh sb="9" eb="11">
      <t>ブモン</t>
    </rPh>
    <rPh sb="12" eb="16">
      <t>ショキセッテイ</t>
    </rPh>
    <phoneticPr fontId="6"/>
  </si>
  <si>
    <t>○削除</t>
    <rPh sb="1" eb="3">
      <t>サクジョ</t>
    </rPh>
    <phoneticPr fontId="8"/>
  </si>
  <si>
    <t>○参照</t>
    <rPh sb="1" eb="3">
      <t>サンショウ</t>
    </rPh>
    <phoneticPr fontId="8"/>
  </si>
  <si>
    <t>2022/10/29 落合　記載箇所が不明</t>
    <rPh sb="11" eb="13">
      <t>オチアイ</t>
    </rPh>
    <rPh sb="14" eb="16">
      <t>キサイ</t>
    </rPh>
    <rPh sb="16" eb="18">
      <t>カショ</t>
    </rPh>
    <rPh sb="19" eb="21">
      <t>フメイ</t>
    </rPh>
    <phoneticPr fontId="8"/>
  </si>
  <si>
    <t>MDSOL回答　2022/10/31　手配NOの表示条件に追加しました。　2段表示は難しいとのことです。</t>
    <rPh sb="5" eb="7">
      <t>カイトウ</t>
    </rPh>
    <rPh sb="19" eb="21">
      <t>テハイ</t>
    </rPh>
    <rPh sb="24" eb="28">
      <t>ヒョウジジョウケン</t>
    </rPh>
    <rPh sb="29" eb="31">
      <t>ツイカ</t>
    </rPh>
    <rPh sb="38" eb="39">
      <t>ダン</t>
    </rPh>
    <rPh sb="39" eb="41">
      <t>ヒョウジ</t>
    </rPh>
    <rPh sb="42" eb="43">
      <t>ムズカ</t>
    </rPh>
    <phoneticPr fontId="8"/>
  </si>
  <si>
    <t>2022/11/01 落合　問題なし</t>
    <rPh sb="11" eb="13">
      <t>オチアイ</t>
    </rPh>
    <rPh sb="14" eb="16">
      <t>モンダイ</t>
    </rPh>
    <phoneticPr fontId="8"/>
  </si>
  <si>
    <t>手配NO</t>
    <rPh sb="0" eb="2">
      <t>テハイ</t>
    </rPh>
    <phoneticPr fontId="8"/>
  </si>
  <si>
    <t>←「訂正」「削除」「参照」の時、初期フォーカス</t>
    <rPh sb="2" eb="4">
      <t>テイセイ</t>
    </rPh>
    <rPh sb="6" eb="8">
      <t>サクジョ</t>
    </rPh>
    <rPh sb="10" eb="12">
      <t>サンショウ</t>
    </rPh>
    <rPh sb="14" eb="15">
      <t>トキ</t>
    </rPh>
    <rPh sb="16" eb="18">
      <t>ショキ</t>
    </rPh>
    <phoneticPr fontId="8"/>
  </si>
  <si>
    <t>受注部門</t>
    <rPh sb="0" eb="2">
      <t>ジュチュウ</t>
    </rPh>
    <rPh sb="2" eb="4">
      <t>ブモン</t>
    </rPh>
    <phoneticPr fontId="8"/>
  </si>
  <si>
    <t>XXXXXX</t>
    <phoneticPr fontId="6"/>
  </si>
  <si>
    <t>名古屋営業</t>
    <rPh sb="0" eb="3">
      <t>ナゴヤ</t>
    </rPh>
    <rPh sb="3" eb="5">
      <t>エイギョウ</t>
    </rPh>
    <phoneticPr fontId="6"/>
  </si>
  <si>
    <t>受注日</t>
    <rPh sb="0" eb="2">
      <t>ジュチュウ</t>
    </rPh>
    <rPh sb="2" eb="3">
      <t>ビ</t>
    </rPh>
    <phoneticPr fontId="8"/>
  </si>
  <si>
    <t>客先納期</t>
    <rPh sb="0" eb="4">
      <t>キャクサキノウキ</t>
    </rPh>
    <phoneticPr fontId="8"/>
  </si>
  <si>
    <t>数量</t>
    <rPh sb="0" eb="2">
      <t>スウリョウ</t>
    </rPh>
    <phoneticPr fontId="8"/>
  </si>
  <si>
    <t>MDSOL回答　2022/10/31　WEB受注一覧照会の設計書に追記しました。</t>
    <rPh sb="5" eb="7">
      <t>カイトウ</t>
    </rPh>
    <rPh sb="22" eb="24">
      <t>ジュチュウ</t>
    </rPh>
    <rPh sb="24" eb="26">
      <t>イチラン</t>
    </rPh>
    <rPh sb="26" eb="28">
      <t>ショウカイ</t>
    </rPh>
    <rPh sb="29" eb="32">
      <t>セッケイショ</t>
    </rPh>
    <rPh sb="33" eb="35">
      <t>ツイキ</t>
    </rPh>
    <phoneticPr fontId="8"/>
  </si>
  <si>
    <t>2022/10/29 落合　入力中の受注を除いて既に超えている場合です。</t>
    <rPh sb="11" eb="13">
      <t>オチアイ</t>
    </rPh>
    <rPh sb="14" eb="17">
      <t>ニュウリョクチュウ</t>
    </rPh>
    <rPh sb="18" eb="20">
      <t>ジュチュウ</t>
    </rPh>
    <rPh sb="21" eb="22">
      <t>ノゾ</t>
    </rPh>
    <rPh sb="24" eb="25">
      <t>スデ</t>
    </rPh>
    <rPh sb="26" eb="27">
      <t>コ</t>
    </rPh>
    <rPh sb="31" eb="33">
      <t>バアイ</t>
    </rPh>
    <phoneticPr fontId="8"/>
  </si>
  <si>
    <t>MDSOL回答　2022/10/31　石田　承知しました。処理概要に得意先指定時（TOP画面、基本画面）を記載致しました。</t>
    <rPh sb="5" eb="7">
      <t>カイトウ</t>
    </rPh>
    <rPh sb="19" eb="21">
      <t>イシダ</t>
    </rPh>
    <rPh sb="22" eb="24">
      <t>ショウチ</t>
    </rPh>
    <rPh sb="29" eb="33">
      <t>ショリガイヨウ</t>
    </rPh>
    <rPh sb="53" eb="55">
      <t>キサイ</t>
    </rPh>
    <rPh sb="55" eb="56">
      <t>イタ</t>
    </rPh>
    <phoneticPr fontId="8"/>
  </si>
  <si>
    <t>注文書No</t>
    <rPh sb="0" eb="3">
      <t>チュウモンショ</t>
    </rPh>
    <phoneticPr fontId="8"/>
  </si>
  <si>
    <t>先方担当</t>
    <rPh sb="0" eb="2">
      <t>センポウ</t>
    </rPh>
    <rPh sb="2" eb="4">
      <t>タントウ</t>
    </rPh>
    <phoneticPr fontId="8"/>
  </si>
  <si>
    <t>宛名</t>
    <rPh sb="0" eb="2">
      <t>アテナ</t>
    </rPh>
    <phoneticPr fontId="8"/>
  </si>
  <si>
    <t>様</t>
    <rPh sb="0" eb="1">
      <t>サマ</t>
    </rPh>
    <phoneticPr fontId="8"/>
  </si>
  <si>
    <t>2022/10/29 落合　問題なし</t>
  </si>
  <si>
    <t>運送会社</t>
    <rPh sb="0" eb="4">
      <t>ウンソウガイシャ</t>
    </rPh>
    <phoneticPr fontId="8"/>
  </si>
  <si>
    <t>出荷日時</t>
    <phoneticPr fontId="8"/>
  </si>
  <si>
    <t>売価区分</t>
    <rPh sb="0" eb="2">
      <t>バイカ</t>
    </rPh>
    <rPh sb="2" eb="4">
      <t>クブン</t>
    </rPh>
    <phoneticPr fontId="8"/>
  </si>
  <si>
    <t>受注明細</t>
    <rPh sb="0" eb="2">
      <t>ジュチュウ</t>
    </rPh>
    <rPh sb="2" eb="4">
      <t>メイサイ</t>
    </rPh>
    <phoneticPr fontId="8"/>
  </si>
  <si>
    <t>製品CD</t>
    <rPh sb="0" eb="2">
      <t>セイヒン</t>
    </rPh>
    <phoneticPr fontId="8"/>
  </si>
  <si>
    <t>(件名:オートフィルタ)</t>
    <rPh sb="1" eb="3">
      <t>ケンメイ</t>
    </rPh>
    <phoneticPr fontId="8"/>
  </si>
  <si>
    <t>←　ｾｯﾄ品目指定することで、以下の一覧に部材品目表示</t>
    <rPh sb="5" eb="7">
      <t>ヒンモク</t>
    </rPh>
    <rPh sb="7" eb="9">
      <t>シテイ</t>
    </rPh>
    <rPh sb="15" eb="17">
      <t>イカ</t>
    </rPh>
    <rPh sb="18" eb="20">
      <t>イチラン</t>
    </rPh>
    <rPh sb="21" eb="23">
      <t>ブザイ</t>
    </rPh>
    <rPh sb="23" eb="25">
      <t>ヒンモク</t>
    </rPh>
    <rPh sb="25" eb="27">
      <t>ヒョウジ</t>
    </rPh>
    <phoneticPr fontId="8"/>
  </si>
  <si>
    <t>№</t>
    <phoneticPr fontId="8"/>
  </si>
  <si>
    <t>手配NO1</t>
    <rPh sb="0" eb="2">
      <t>テハイ</t>
    </rPh>
    <phoneticPr fontId="8"/>
  </si>
  <si>
    <t>手配NO2</t>
    <rPh sb="0" eb="2">
      <t>テハイ</t>
    </rPh>
    <phoneticPr fontId="8"/>
  </si>
  <si>
    <t>手配NO3</t>
    <rPh sb="0" eb="2">
      <t>テハイ</t>
    </rPh>
    <phoneticPr fontId="8"/>
  </si>
  <si>
    <t>製品CD/品目CD</t>
    <rPh sb="0" eb="2">
      <t>セイヒン</t>
    </rPh>
    <rPh sb="5" eb="7">
      <t>ヒンモク</t>
    </rPh>
    <phoneticPr fontId="8"/>
  </si>
  <si>
    <t>CP品名1</t>
    <rPh sb="2" eb="4">
      <t>ヒンメイ</t>
    </rPh>
    <phoneticPr fontId="8"/>
  </si>
  <si>
    <t>単位</t>
    <rPh sb="0" eb="2">
      <t>タンイ</t>
    </rPh>
    <phoneticPr fontId="8"/>
  </si>
  <si>
    <t>特値</t>
    <rPh sb="0" eb="2">
      <t>トクネ</t>
    </rPh>
    <phoneticPr fontId="8"/>
  </si>
  <si>
    <t>個別単価</t>
    <rPh sb="0" eb="2">
      <t>コベツ</t>
    </rPh>
    <rPh sb="2" eb="4">
      <t>タンカ</t>
    </rPh>
    <phoneticPr fontId="8"/>
  </si>
  <si>
    <t>ｾｯﾄ単価</t>
    <rPh sb="3" eb="5">
      <t>タンカ</t>
    </rPh>
    <phoneticPr fontId="8"/>
  </si>
  <si>
    <t>客先納期</t>
    <rPh sb="0" eb="2">
      <t>キャクサキ</t>
    </rPh>
    <rPh sb="2" eb="4">
      <t>ノウキ</t>
    </rPh>
    <phoneticPr fontId="8"/>
  </si>
  <si>
    <t>手配区分</t>
    <rPh sb="0" eb="4">
      <t>テハイクブン</t>
    </rPh>
    <phoneticPr fontId="8"/>
  </si>
  <si>
    <t>納品先名</t>
    <rPh sb="3" eb="4">
      <t>メイ</t>
    </rPh>
    <phoneticPr fontId="8"/>
  </si>
  <si>
    <t>物流グループ</t>
    <rPh sb="0" eb="2">
      <t>ブツリュウ</t>
    </rPh>
    <phoneticPr fontId="8"/>
  </si>
  <si>
    <t>預り売上</t>
    <rPh sb="0" eb="1">
      <t>アズカリ</t>
    </rPh>
    <rPh sb="2" eb="4">
      <t>ウリアゲ</t>
    </rPh>
    <phoneticPr fontId="8"/>
  </si>
  <si>
    <t>売上理由</t>
    <rPh sb="0" eb="2">
      <t>ウリアゲ</t>
    </rPh>
    <rPh sb="2" eb="4">
      <t>リユウ</t>
    </rPh>
    <phoneticPr fontId="8"/>
  </si>
  <si>
    <t>受注№/受注明細№</t>
    <rPh sb="4" eb="8">
      <t>ジュチュウメイサイ</t>
    </rPh>
    <phoneticPr fontId="8"/>
  </si>
  <si>
    <t>□</t>
    <phoneticPr fontId="8"/>
  </si>
  <si>
    <t>MDSOL回答　2022/10/31　コピー行追加で納期を変更した場合は、手配NOが同一となるため、まとめ期間内ならまとまります。行追加の場合は分割されます。</t>
    <rPh sb="5" eb="7">
      <t>カイトウ</t>
    </rPh>
    <rPh sb="22" eb="23">
      <t>ギョウ</t>
    </rPh>
    <rPh sb="23" eb="25">
      <t>ツイカ</t>
    </rPh>
    <rPh sb="26" eb="28">
      <t>ノウキ</t>
    </rPh>
    <rPh sb="29" eb="31">
      <t>ヘンコウ</t>
    </rPh>
    <rPh sb="33" eb="35">
      <t>バアイ</t>
    </rPh>
    <rPh sb="37" eb="39">
      <t>テハイ</t>
    </rPh>
    <rPh sb="42" eb="44">
      <t>ドウイツ</t>
    </rPh>
    <rPh sb="53" eb="55">
      <t>キカン</t>
    </rPh>
    <rPh sb="55" eb="56">
      <t>ナイ</t>
    </rPh>
    <rPh sb="65" eb="68">
      <t>ギョウツイカ</t>
    </rPh>
    <rPh sb="69" eb="71">
      <t>バアイ</t>
    </rPh>
    <rPh sb="72" eb="74">
      <t>ブンカツ</t>
    </rPh>
    <phoneticPr fontId="8"/>
  </si>
  <si>
    <t>※メニュー「シート受注入力」を選択した場合は、第２画面からスタート</t>
    <rPh sb="9" eb="11">
      <t>ジュチュウ</t>
    </rPh>
    <rPh sb="11" eb="13">
      <t>ニュウリョク</t>
    </rPh>
    <rPh sb="15" eb="17">
      <t>センタク</t>
    </rPh>
    <rPh sb="19" eb="21">
      <t>バアイ</t>
    </rPh>
    <rPh sb="23" eb="24">
      <t>ダイ</t>
    </rPh>
    <rPh sb="25" eb="27">
      <t>ガメン</t>
    </rPh>
    <phoneticPr fontId="8"/>
  </si>
  <si>
    <t>※メニュー「購買品受注入力」を選択した場合は、第２画面からスタート。　工程情報登録はなし。　入力項目の追加あり。</t>
    <rPh sb="6" eb="9">
      <t>コウバイヒン</t>
    </rPh>
    <rPh sb="9" eb="11">
      <t>ジュチュウ</t>
    </rPh>
    <rPh sb="11" eb="13">
      <t>ニュウリョク</t>
    </rPh>
    <rPh sb="15" eb="17">
      <t>センタク</t>
    </rPh>
    <rPh sb="19" eb="21">
      <t>バアイ</t>
    </rPh>
    <rPh sb="23" eb="24">
      <t>ダイ</t>
    </rPh>
    <rPh sb="25" eb="27">
      <t>ガメン</t>
    </rPh>
    <rPh sb="35" eb="37">
      <t>コウテイ</t>
    </rPh>
    <rPh sb="37" eb="39">
      <t>ジョウホウ</t>
    </rPh>
    <rPh sb="39" eb="41">
      <t>トウロク</t>
    </rPh>
    <rPh sb="46" eb="50">
      <t>ニュウリョクコウモク</t>
    </rPh>
    <rPh sb="51" eb="53">
      <t>ツイカ</t>
    </rPh>
    <phoneticPr fontId="8"/>
  </si>
  <si>
    <t>〇受注基本情報を入力</t>
    <rPh sb="1" eb="3">
      <t>ジュチュウ</t>
    </rPh>
    <rPh sb="3" eb="5">
      <t>キホン</t>
    </rPh>
    <rPh sb="5" eb="7">
      <t>ジョウホウ</t>
    </rPh>
    <rPh sb="8" eb="10">
      <t>ニュウリョク</t>
    </rPh>
    <phoneticPr fontId="6"/>
  </si>
  <si>
    <t>21：加工商品</t>
    <rPh sb="3" eb="7">
      <t>カコウショウヒン</t>
    </rPh>
    <phoneticPr fontId="6"/>
  </si>
  <si>
    <t>XXXXXXX</t>
    <phoneticPr fontId="6"/>
  </si>
  <si>
    <t>得意先A</t>
    <rPh sb="0" eb="3">
      <t>トクイサキ</t>
    </rPh>
    <phoneticPr fontId="6"/>
  </si>
  <si>
    <t>XXXXXXXXXXX</t>
    <phoneticPr fontId="6"/>
  </si>
  <si>
    <t>田中</t>
    <rPh sb="0" eb="2">
      <t>タナカ</t>
    </rPh>
    <phoneticPr fontId="6"/>
  </si>
  <si>
    <t>得意先A　営業部　田中</t>
    <rPh sb="0" eb="3">
      <t>トクイサキ</t>
    </rPh>
    <rPh sb="5" eb="7">
      <t>エイギョウ</t>
    </rPh>
    <rPh sb="7" eb="8">
      <t>ブ</t>
    </rPh>
    <rPh sb="9" eb="11">
      <t>タナカ</t>
    </rPh>
    <phoneticPr fontId="6"/>
  </si>
  <si>
    <t>コダマ名古屋</t>
    <rPh sb="3" eb="6">
      <t>ナゴヤ</t>
    </rPh>
    <phoneticPr fontId="6"/>
  </si>
  <si>
    <t>単品売り</t>
    <rPh sb="0" eb="2">
      <t>タンピン</t>
    </rPh>
    <rPh sb="2" eb="3">
      <t>ウ</t>
    </rPh>
    <phoneticPr fontId="6"/>
  </si>
  <si>
    <t>123456789010000</t>
    <phoneticPr fontId="6"/>
  </si>
  <si>
    <t>セット品</t>
    <rPh sb="3" eb="4">
      <t>ヒン</t>
    </rPh>
    <phoneticPr fontId="6"/>
  </si>
  <si>
    <t>123456789010001</t>
    <phoneticPr fontId="6"/>
  </si>
  <si>
    <t>CP品名　</t>
    <rPh sb="2" eb="4">
      <t>ヒンメイ</t>
    </rPh>
    <phoneticPr fontId="6"/>
  </si>
  <si>
    <t>身</t>
    <rPh sb="0" eb="1">
      <t>ミ</t>
    </rPh>
    <phoneticPr fontId="6"/>
  </si>
  <si>
    <t>個</t>
    <rPh sb="0" eb="1">
      <t>コ</t>
    </rPh>
    <phoneticPr fontId="6"/>
  </si>
  <si>
    <t>購買依頼</t>
    <rPh sb="0" eb="2">
      <t>コウバイ</t>
    </rPh>
    <rPh sb="2" eb="4">
      <t>イライ</t>
    </rPh>
    <phoneticPr fontId="6"/>
  </si>
  <si>
    <t>123456789010002</t>
    <phoneticPr fontId="6"/>
  </si>
  <si>
    <t>蓋</t>
    <rPh sb="0" eb="1">
      <t>フタ</t>
    </rPh>
    <phoneticPr fontId="6"/>
  </si>
  <si>
    <t>123456789010003</t>
    <phoneticPr fontId="6"/>
  </si>
  <si>
    <t>仕切り</t>
    <rPh sb="0" eb="2">
      <t>シキ</t>
    </rPh>
    <phoneticPr fontId="6"/>
  </si>
  <si>
    <t>〇第２画面初期表示</t>
    <rPh sb="1" eb="2">
      <t>ダイ</t>
    </rPh>
    <rPh sb="3" eb="5">
      <t>ガメン</t>
    </rPh>
    <rPh sb="5" eb="9">
      <t>ショキヒョウジ</t>
    </rPh>
    <phoneticPr fontId="6"/>
  </si>
  <si>
    <t>製品マスタと第1画面のインプットから初期表示</t>
    <rPh sb="0" eb="2">
      <t>セイヒン</t>
    </rPh>
    <rPh sb="6" eb="7">
      <t>ダイ</t>
    </rPh>
    <rPh sb="8" eb="10">
      <t>ガメン</t>
    </rPh>
    <rPh sb="18" eb="22">
      <t>ショキヒョウジ</t>
    </rPh>
    <phoneticPr fontId="6"/>
  </si>
  <si>
    <t>第２画面</t>
    <rPh sb="0" eb="1">
      <t>ダイ</t>
    </rPh>
    <rPh sb="2" eb="4">
      <t>ガメン</t>
    </rPh>
    <phoneticPr fontId="8"/>
  </si>
  <si>
    <t>※部材の種類分、第２画面が連続して表示される</t>
    <rPh sb="1" eb="3">
      <t>ブザイ</t>
    </rPh>
    <rPh sb="4" eb="7">
      <t>シュルイブン</t>
    </rPh>
    <rPh sb="8" eb="9">
      <t>ダイ</t>
    </rPh>
    <rPh sb="10" eb="12">
      <t>ガメン</t>
    </rPh>
    <rPh sb="13" eb="15">
      <t>レンゾク</t>
    </rPh>
    <rPh sb="17" eb="19">
      <t>ヒョウジ</t>
    </rPh>
    <phoneticPr fontId="8"/>
  </si>
  <si>
    <t>基本情報</t>
    <rPh sb="0" eb="4">
      <t>キホンジョウホウ</t>
    </rPh>
    <phoneticPr fontId="8"/>
  </si>
  <si>
    <t>預り売上　□</t>
    <phoneticPr fontId="8"/>
  </si>
  <si>
    <t>売上WG</t>
    <rPh sb="0" eb="2">
      <t>ウリアゲ</t>
    </rPh>
    <phoneticPr fontId="8"/>
  </si>
  <si>
    <t>30 名古屋</t>
    <rPh sb="3" eb="6">
      <t>ナゴヤ</t>
    </rPh>
    <phoneticPr fontId="8"/>
  </si>
  <si>
    <t>製品区分</t>
    <rPh sb="0" eb="2">
      <t>セイヒン</t>
    </rPh>
    <rPh sb="2" eb="4">
      <t>クブン</t>
    </rPh>
    <phoneticPr fontId="8"/>
  </si>
  <si>
    <t>大</t>
    <rPh sb="0" eb="1">
      <t>ダイ</t>
    </rPh>
    <phoneticPr fontId="8"/>
  </si>
  <si>
    <t>12</t>
    <phoneticPr fontId="6"/>
  </si>
  <si>
    <t>中</t>
    <rPh sb="0" eb="1">
      <t>チュウ</t>
    </rPh>
    <phoneticPr fontId="8"/>
  </si>
  <si>
    <t>小</t>
    <rPh sb="0" eb="1">
      <t>ショウ</t>
    </rPh>
    <phoneticPr fontId="8"/>
  </si>
  <si>
    <t>案件NO</t>
    <rPh sb="0" eb="2">
      <t>アンケン</t>
    </rPh>
    <phoneticPr fontId="8"/>
  </si>
  <si>
    <t>XXXXXXXXX-XXX</t>
    <phoneticPr fontId="6"/>
  </si>
  <si>
    <t>XXXXXXX</t>
  </si>
  <si>
    <t>123456789010001</t>
  </si>
  <si>
    <t>顧客品名1</t>
    <rPh sb="0" eb="2">
      <t>コキャク</t>
    </rPh>
    <rPh sb="2" eb="4">
      <t>ヒンメイ</t>
    </rPh>
    <phoneticPr fontId="8"/>
  </si>
  <si>
    <t>顧客品名</t>
    <rPh sb="0" eb="4">
      <t>コキャクヒンメイ</t>
    </rPh>
    <phoneticPr fontId="6"/>
  </si>
  <si>
    <t>顧客品名2</t>
    <rPh sb="0" eb="2">
      <t>コキャク</t>
    </rPh>
    <rPh sb="2" eb="4">
      <t>ヒンメイ</t>
    </rPh>
    <phoneticPr fontId="8"/>
  </si>
  <si>
    <t>版型NO</t>
    <rPh sb="0" eb="2">
      <t>ハンガタ</t>
    </rPh>
    <phoneticPr fontId="8"/>
  </si>
  <si>
    <t>CP品名　</t>
    <phoneticPr fontId="6"/>
  </si>
  <si>
    <t>CP品名2</t>
    <rPh sb="2" eb="4">
      <t>ヒンメイ</t>
    </rPh>
    <phoneticPr fontId="8"/>
  </si>
  <si>
    <t>顧客注文№</t>
    <rPh sb="0" eb="2">
      <t>コキャク</t>
    </rPh>
    <rPh sb="2" eb="4">
      <t>チュウモン</t>
    </rPh>
    <phoneticPr fontId="8"/>
  </si>
  <si>
    <t>顧客品番</t>
    <rPh sb="0" eb="2">
      <t>コキャク</t>
    </rPh>
    <rPh sb="2" eb="4">
      <t>ヒンバン</t>
    </rPh>
    <phoneticPr fontId="8"/>
  </si>
  <si>
    <t>FSC製品区分</t>
    <phoneticPr fontId="8"/>
  </si>
  <si>
    <t>食品安全</t>
    <rPh sb="0" eb="2">
      <t>ショクヒン</t>
    </rPh>
    <rPh sb="2" eb="4">
      <t>アンゼン</t>
    </rPh>
    <phoneticPr fontId="8"/>
  </si>
  <si>
    <t>予備</t>
    <rPh sb="0" eb="2">
      <t>ヨビ</t>
    </rPh>
    <phoneticPr fontId="8"/>
  </si>
  <si>
    <t>営業サンプル</t>
    <rPh sb="0" eb="2">
      <t>エイギョウ</t>
    </rPh>
    <phoneticPr fontId="8"/>
  </si>
  <si>
    <t>定数出荷</t>
    <rPh sb="0" eb="4">
      <t>テイスウシュッカ</t>
    </rPh>
    <phoneticPr fontId="8"/>
  </si>
  <si>
    <t>不適合手配NO</t>
    <phoneticPr fontId="8"/>
  </si>
  <si>
    <t>売上可否</t>
    <rPh sb="0" eb="2">
      <t>ウリアゲ</t>
    </rPh>
    <rPh sb="2" eb="4">
      <t>カヒ</t>
    </rPh>
    <phoneticPr fontId="8"/>
  </si>
  <si>
    <t>可</t>
    <rPh sb="0" eb="1">
      <t>カ</t>
    </rPh>
    <phoneticPr fontId="8"/>
  </si>
  <si>
    <t>構成情報</t>
    <rPh sb="0" eb="4">
      <t>コウセイジョウホウ</t>
    </rPh>
    <phoneticPr fontId="8"/>
  </si>
  <si>
    <t>シート 段</t>
    <rPh sb="4" eb="5">
      <t>ダン</t>
    </rPh>
    <phoneticPr fontId="8"/>
  </si>
  <si>
    <t>E</t>
  </si>
  <si>
    <t>原紙</t>
    <rPh sb="0" eb="2">
      <t>ゲンシ</t>
    </rPh>
    <phoneticPr fontId="8"/>
  </si>
  <si>
    <t>印刷</t>
    <rPh sb="0" eb="2">
      <t>インサツ</t>
    </rPh>
    <phoneticPr fontId="8"/>
  </si>
  <si>
    <t>エンボス</t>
    <phoneticPr fontId="8"/>
  </si>
  <si>
    <t>メーカ</t>
    <phoneticPr fontId="8"/>
  </si>
  <si>
    <t>表</t>
    <rPh sb="0" eb="1">
      <t>オモテ</t>
    </rPh>
    <phoneticPr fontId="8"/>
  </si>
  <si>
    <t>ECBAF</t>
    <phoneticPr fontId="8"/>
  </si>
  <si>
    <t>コードボール270（Fﾐｯｸｽ）</t>
  </si>
  <si>
    <t>0000</t>
    <phoneticPr fontId="8"/>
  </si>
  <si>
    <t>00</t>
    <phoneticPr fontId="8"/>
  </si>
  <si>
    <t>中</t>
    <rPh sb="0" eb="1">
      <t>ナカ</t>
    </rPh>
    <phoneticPr fontId="8"/>
  </si>
  <si>
    <t>EOO1R</t>
    <phoneticPr fontId="8"/>
  </si>
  <si>
    <t>中芯（Fリサイクル）</t>
  </si>
  <si>
    <t>裏</t>
    <rPh sb="0" eb="1">
      <t>ウラ</t>
    </rPh>
    <phoneticPr fontId="8"/>
  </si>
  <si>
    <t>E928</t>
    <phoneticPr fontId="8"/>
  </si>
  <si>
    <t>09ｺﾝﾗｲﾅｰ(Fﾐｯｸｽ 撥水（B1）)</t>
  </si>
  <si>
    <t>9507</t>
    <phoneticPr fontId="8"/>
  </si>
  <si>
    <t>FSC受注区分</t>
    <phoneticPr fontId="8"/>
  </si>
  <si>
    <t>枚葉印刷</t>
    <rPh sb="0" eb="2">
      <t>マイヨウ</t>
    </rPh>
    <rPh sb="2" eb="4">
      <t>インサツ</t>
    </rPh>
    <phoneticPr fontId="8"/>
  </si>
  <si>
    <t>オフセット</t>
  </si>
  <si>
    <t>刃渡り（mm)</t>
    <rPh sb="0" eb="2">
      <t>ハワタ</t>
    </rPh>
    <phoneticPr fontId="8"/>
  </si>
  <si>
    <t>巾</t>
    <rPh sb="0" eb="1">
      <t>ハバ</t>
    </rPh>
    <phoneticPr fontId="8"/>
  </si>
  <si>
    <t>流れ</t>
    <rPh sb="0" eb="1">
      <t>ナガ</t>
    </rPh>
    <phoneticPr fontId="8"/>
  </si>
  <si>
    <t>咥え</t>
    <rPh sb="0" eb="1">
      <t>クワ</t>
    </rPh>
    <phoneticPr fontId="8"/>
  </si>
  <si>
    <t>前後</t>
    <rPh sb="0" eb="2">
      <t>ゼンゴ</t>
    </rPh>
    <phoneticPr fontId="8"/>
  </si>
  <si>
    <t>左右</t>
    <rPh sb="0" eb="2">
      <t>サユウ</t>
    </rPh>
    <phoneticPr fontId="8"/>
  </si>
  <si>
    <t>シート寸法</t>
    <rPh sb="3" eb="5">
      <t>スンポウ</t>
    </rPh>
    <phoneticPr fontId="8"/>
  </si>
  <si>
    <t>800</t>
    <phoneticPr fontId="6"/>
  </si>
  <si>
    <t>※(抜き無し見積もり：刃渡り寸法が無いので、シート寸法を入力する。)</t>
    <phoneticPr fontId="8"/>
  </si>
  <si>
    <t>売上巾</t>
    <rPh sb="0" eb="2">
      <t>ウリアゲ</t>
    </rPh>
    <rPh sb="2" eb="3">
      <t>ハバ</t>
    </rPh>
    <phoneticPr fontId="8"/>
  </si>
  <si>
    <t>最終機械工程</t>
    <rPh sb="0" eb="2">
      <t>サイシュウ</t>
    </rPh>
    <rPh sb="2" eb="4">
      <t>キカイ</t>
    </rPh>
    <rPh sb="4" eb="6">
      <t>コウテイ</t>
    </rPh>
    <phoneticPr fontId="8"/>
  </si>
  <si>
    <t>数量単位</t>
    <rPh sb="0" eb="2">
      <t>スウリョウ</t>
    </rPh>
    <rPh sb="2" eb="4">
      <t>タンイ</t>
    </rPh>
    <phoneticPr fontId="8"/>
  </si>
  <si>
    <t>枚</t>
    <rPh sb="0" eb="1">
      <t>マイ</t>
    </rPh>
    <phoneticPr fontId="6"/>
  </si>
  <si>
    <t>単価</t>
    <rPh sb="0" eb="2">
      <t>タンカ</t>
    </rPh>
    <phoneticPr fontId="8"/>
  </si>
  <si>
    <t>セット単価</t>
    <rPh sb="3" eb="5">
      <t>タンカ</t>
    </rPh>
    <phoneticPr fontId="8"/>
  </si>
  <si>
    <t>単価単位</t>
    <rPh sb="0" eb="2">
      <t>タンカ</t>
    </rPh>
    <rPh sb="2" eb="4">
      <t>タンイ</t>
    </rPh>
    <phoneticPr fontId="8"/>
  </si>
  <si>
    <t>特値　□</t>
    <rPh sb="0" eb="2">
      <t>トクネ</t>
    </rPh>
    <phoneticPr fontId="8"/>
  </si>
  <si>
    <t>仕入情報</t>
    <rPh sb="0" eb="2">
      <t>シイレ</t>
    </rPh>
    <rPh sb="2" eb="4">
      <t>ジョウホウ</t>
    </rPh>
    <phoneticPr fontId="8"/>
  </si>
  <si>
    <t>発注先</t>
    <rPh sb="0" eb="2">
      <t>ハッチュウ</t>
    </rPh>
    <phoneticPr fontId="8"/>
  </si>
  <si>
    <t>発注先</t>
    <rPh sb="0" eb="3">
      <t>ハッチュウサキ</t>
    </rPh>
    <phoneticPr fontId="6"/>
  </si>
  <si>
    <t>発注単位</t>
    <rPh sb="0" eb="4">
      <t>ハッチュウタンイ</t>
    </rPh>
    <phoneticPr fontId="8"/>
  </si>
  <si>
    <t>発注単価</t>
    <rPh sb="0" eb="2">
      <t>ハッチュウ</t>
    </rPh>
    <rPh sb="2" eb="4">
      <t>タンカ</t>
    </rPh>
    <phoneticPr fontId="8"/>
  </si>
  <si>
    <t>90</t>
    <phoneticPr fontId="6"/>
  </si>
  <si>
    <t>REV9.0　原紙売りとそれ以外の画面項目制御</t>
    <rPh sb="7" eb="9">
      <t>ゲンシ</t>
    </rPh>
    <rPh sb="9" eb="10">
      <t>ウ</t>
    </rPh>
    <rPh sb="14" eb="16">
      <t>イガイ</t>
    </rPh>
    <rPh sb="17" eb="19">
      <t>ガメン</t>
    </rPh>
    <rPh sb="19" eb="21">
      <t>コウモク</t>
    </rPh>
    <rPh sb="21" eb="23">
      <t>セイギョ</t>
    </rPh>
    <phoneticPr fontId="8"/>
  </si>
  <si>
    <t>備考</t>
    <rPh sb="0" eb="2">
      <t>ビコウ</t>
    </rPh>
    <phoneticPr fontId="8"/>
  </si>
  <si>
    <t>印刷備考</t>
    <rPh sb="0" eb="2">
      <t>インサツ</t>
    </rPh>
    <rPh sb="2" eb="4">
      <t>ビコウ</t>
    </rPh>
    <phoneticPr fontId="8"/>
  </si>
  <si>
    <t>FSC管理NO・1614</t>
  </si>
  <si>
    <t>製造備考</t>
    <rPh sb="0" eb="4">
      <t>セイゾウビコウ</t>
    </rPh>
    <phoneticPr fontId="8"/>
  </si>
  <si>
    <t>ｹﾞ7ｺｰﾄﾞ（文昌堂）支給　ｼｮｳﾜﾄﾞｳﾍ/4</t>
  </si>
  <si>
    <t>納入備考</t>
    <rPh sb="0" eb="2">
      <t>ノウニュウ</t>
    </rPh>
    <rPh sb="2" eb="4">
      <t>ビコウ</t>
    </rPh>
    <phoneticPr fontId="8"/>
  </si>
  <si>
    <t>伝票備考</t>
    <rPh sb="0" eb="2">
      <t>デンピョウ</t>
    </rPh>
    <rPh sb="2" eb="4">
      <t>ビコウ</t>
    </rPh>
    <phoneticPr fontId="8"/>
  </si>
  <si>
    <t>出荷備考１</t>
    <rPh sb="0" eb="2">
      <t>シュッカ</t>
    </rPh>
    <rPh sb="2" eb="4">
      <t>ビコウ</t>
    </rPh>
    <phoneticPr fontId="8"/>
  </si>
  <si>
    <t>FSC.1614　オ＝ト</t>
  </si>
  <si>
    <t>出荷備考２</t>
    <rPh sb="0" eb="2">
      <t>シュッカ</t>
    </rPh>
    <rPh sb="2" eb="4">
      <t>ビコウ</t>
    </rPh>
    <phoneticPr fontId="8"/>
  </si>
  <si>
    <t>ｼｮｳﾜﾄﾞｳ/7 ﾓﾁｺﾐ ｶｰﾄﾝ/11</t>
  </si>
  <si>
    <t>再製造備考</t>
    <rPh sb="0" eb="1">
      <t>サイ</t>
    </rPh>
    <rPh sb="1" eb="5">
      <t>セイゾウビコウ</t>
    </rPh>
    <phoneticPr fontId="8"/>
  </si>
  <si>
    <t>40byte</t>
  </si>
  <si>
    <t>〇第3画面初期表示</t>
    <rPh sb="1" eb="2">
      <t>ダイ</t>
    </rPh>
    <rPh sb="3" eb="5">
      <t>ガメン</t>
    </rPh>
    <rPh sb="5" eb="9">
      <t>ショキヒョウジ</t>
    </rPh>
    <phoneticPr fontId="6"/>
  </si>
  <si>
    <t>３ページ目：工程情報画面</t>
    <rPh sb="4" eb="5">
      <t>メ</t>
    </rPh>
    <rPh sb="6" eb="8">
      <t>コウテイ</t>
    </rPh>
    <rPh sb="8" eb="10">
      <t>ジョウホウ</t>
    </rPh>
    <rPh sb="10" eb="12">
      <t>ガメン</t>
    </rPh>
    <phoneticPr fontId="8"/>
  </si>
  <si>
    <t>参照のみ</t>
    <rPh sb="0" eb="2">
      <t>サンショウ</t>
    </rPh>
    <phoneticPr fontId="6"/>
  </si>
  <si>
    <t>顧客品名</t>
    <rPh sb="0" eb="2">
      <t>コキャク</t>
    </rPh>
    <rPh sb="2" eb="4">
      <t>ヒンメイ</t>
    </rPh>
    <phoneticPr fontId="8"/>
  </si>
  <si>
    <t>出荷日時</t>
    <rPh sb="0" eb="2">
      <t>シュッカ</t>
    </rPh>
    <rPh sb="2" eb="4">
      <t>ニチジ</t>
    </rPh>
    <phoneticPr fontId="8"/>
  </si>
  <si>
    <t>2023/3/7 12:00</t>
    <phoneticPr fontId="8"/>
  </si>
  <si>
    <t>←　　　　　　　　　　　　　　　　　　画面固定　　　　　　　　　　　　→</t>
    <rPh sb="19" eb="21">
      <t>ガメン</t>
    </rPh>
    <rPh sb="21" eb="23">
      <t>コテイ</t>
    </rPh>
    <phoneticPr fontId="8"/>
  </si>
  <si>
    <t>工程</t>
    <rPh sb="0" eb="2">
      <t>コウテイ</t>
    </rPh>
    <phoneticPr fontId="8"/>
  </si>
  <si>
    <t>工程名</t>
    <rPh sb="0" eb="3">
      <t>コウテイメイ</t>
    </rPh>
    <phoneticPr fontId="3"/>
  </si>
  <si>
    <t>作業</t>
    <rPh sb="0" eb="2">
      <t>サギョウ</t>
    </rPh>
    <phoneticPr fontId="8"/>
  </si>
  <si>
    <t>WG</t>
    <phoneticPr fontId="8"/>
  </si>
  <si>
    <t>号機／発注先</t>
    <rPh sb="0" eb="2">
      <t>ゴウキ</t>
    </rPh>
    <rPh sb="3" eb="6">
      <t>ハッチュウサキ</t>
    </rPh>
    <phoneticPr fontId="8"/>
  </si>
  <si>
    <t>号機
変更
不可</t>
    <rPh sb="0" eb="2">
      <t>ゴウキ</t>
    </rPh>
    <rPh sb="3" eb="5">
      <t>ヘンコウ</t>
    </rPh>
    <rPh sb="6" eb="8">
      <t>フカ</t>
    </rPh>
    <phoneticPr fontId="8"/>
  </si>
  <si>
    <t>CP
配送</t>
    <rPh sb="3" eb="5">
      <t>ハイソウ</t>
    </rPh>
    <phoneticPr fontId="8"/>
  </si>
  <si>
    <t>加工予定日</t>
    <phoneticPr fontId="8"/>
  </si>
  <si>
    <t>仕様／工程備考</t>
    <rPh sb="0" eb="2">
      <t>シヨウ</t>
    </rPh>
    <rPh sb="3" eb="7">
      <t>コウテイビコウ</t>
    </rPh>
    <phoneticPr fontId="8"/>
  </si>
  <si>
    <t>版型</t>
    <rPh sb="0" eb="2">
      <t>ハンカタ</t>
    </rPh>
    <phoneticPr fontId="8"/>
  </si>
  <si>
    <t>消耗品</t>
    <rPh sb="0" eb="3">
      <t>ショウモウヒン</t>
    </rPh>
    <phoneticPr fontId="8"/>
  </si>
  <si>
    <t>外注費</t>
    <rPh sb="0" eb="2">
      <t>ガイチュウ</t>
    </rPh>
    <rPh sb="2" eb="3">
      <t>ヒ</t>
    </rPh>
    <phoneticPr fontId="8"/>
  </si>
  <si>
    <t>製造設定</t>
    <rPh sb="0" eb="2">
      <t>セイゾウ</t>
    </rPh>
    <rPh sb="2" eb="4">
      <t>セッテイ</t>
    </rPh>
    <phoneticPr fontId="8"/>
  </si>
  <si>
    <t>△</t>
    <phoneticPr fontId="8"/>
  </si>
  <si>
    <t>仕様1</t>
    <rPh sb="0" eb="2">
      <t>シヨウ</t>
    </rPh>
    <phoneticPr fontId="8"/>
  </si>
  <si>
    <t>仕様2</t>
    <rPh sb="0" eb="2">
      <t>シヨウ</t>
    </rPh>
    <phoneticPr fontId="8"/>
  </si>
  <si>
    <t>仕様3</t>
    <rPh sb="0" eb="2">
      <t>シヨウ</t>
    </rPh>
    <phoneticPr fontId="8"/>
  </si>
  <si>
    <t>仕様4</t>
    <rPh sb="0" eb="2">
      <t>シヨウ</t>
    </rPh>
    <phoneticPr fontId="8"/>
  </si>
  <si>
    <t>仕様5</t>
    <rPh sb="0" eb="2">
      <t>シヨウ</t>
    </rPh>
    <phoneticPr fontId="8"/>
  </si>
  <si>
    <t>仕様6</t>
    <rPh sb="0" eb="2">
      <t>シヨウ</t>
    </rPh>
    <phoneticPr fontId="8"/>
  </si>
  <si>
    <t>仕様7</t>
    <rPh sb="0" eb="2">
      <t>シヨウ</t>
    </rPh>
    <phoneticPr fontId="8"/>
  </si>
  <si>
    <t>版型№</t>
    <rPh sb="0" eb="2">
      <t>ハンカタ</t>
    </rPh>
    <phoneticPr fontId="8"/>
  </si>
  <si>
    <t>消耗品</t>
    <phoneticPr fontId="8"/>
  </si>
  <si>
    <t>仕入単価</t>
    <rPh sb="0" eb="2">
      <t>シイレ</t>
    </rPh>
    <rPh sb="2" eb="4">
      <t>タンカ</t>
    </rPh>
    <phoneticPr fontId="8"/>
  </si>
  <si>
    <t>ﾛｽ率
(%)</t>
    <rPh sb="2" eb="3">
      <t>リツ</t>
    </rPh>
    <phoneticPr fontId="8"/>
  </si>
  <si>
    <t>台数
(枚)</t>
    <rPh sb="0" eb="2">
      <t>ダイスウ</t>
    </rPh>
    <rPh sb="4" eb="5">
      <t>マイ</t>
    </rPh>
    <phoneticPr fontId="8"/>
  </si>
  <si>
    <t>LT
(日)</t>
    <rPh sb="4" eb="5">
      <t>ニチ</t>
    </rPh>
    <phoneticPr fontId="8"/>
  </si>
  <si>
    <t>工程備考１</t>
    <rPh sb="0" eb="2">
      <t>コウテイ</t>
    </rPh>
    <rPh sb="2" eb="4">
      <t>ビコウ</t>
    </rPh>
    <phoneticPr fontId="8"/>
  </si>
  <si>
    <t>工程備考２</t>
    <phoneticPr fontId="8"/>
  </si>
  <si>
    <t>指値(本支店)</t>
    <phoneticPr fontId="8"/>
  </si>
  <si>
    <t>0020</t>
    <phoneticPr fontId="8"/>
  </si>
  <si>
    <t>輪転（グラビア）1</t>
    <phoneticPr fontId="8"/>
  </si>
  <si>
    <t>00201</t>
    <phoneticPr fontId="8"/>
  </si>
  <si>
    <t>（輪転）グラビア1</t>
    <phoneticPr fontId="8"/>
  </si>
  <si>
    <t>名古屋 輪転グラビア1号機</t>
    <rPh sb="0" eb="3">
      <t>ナゴヤ</t>
    </rPh>
    <rPh sb="4" eb="6">
      <t>リンテン</t>
    </rPh>
    <rPh sb="11" eb="13">
      <t>ゴウキ</t>
    </rPh>
    <phoneticPr fontId="8"/>
  </si>
  <si>
    <t>移送</t>
    <rPh sb="0" eb="2">
      <t>イソウ</t>
    </rPh>
    <phoneticPr fontId="8"/>
  </si>
  <si>
    <t>印刷CD</t>
    <rPh sb="0" eb="2">
      <t>インサツ</t>
    </rPh>
    <phoneticPr fontId="3"/>
  </si>
  <si>
    <t>印刷回数</t>
    <rPh sb="0" eb="2">
      <t>インサツ</t>
    </rPh>
    <rPh sb="2" eb="4">
      <t>カイスウ</t>
    </rPh>
    <phoneticPr fontId="3"/>
  </si>
  <si>
    <t>色数</t>
    <rPh sb="0" eb="2">
      <t>イロスウ</t>
    </rPh>
    <phoneticPr fontId="3"/>
  </si>
  <si>
    <t>ﾆｽ区分</t>
    <rPh sb="2" eb="4">
      <t>クブン</t>
    </rPh>
    <phoneticPr fontId="3"/>
  </si>
  <si>
    <t>ﾏｰｸ断裁</t>
    <phoneticPr fontId="8"/>
  </si>
  <si>
    <t>1</t>
    <phoneticPr fontId="8"/>
  </si>
  <si>
    <t>3</t>
    <phoneticPr fontId="8"/>
  </si>
  <si>
    <t>工程備考AAA</t>
    <phoneticPr fontId="8"/>
  </si>
  <si>
    <t>工程備考BBB</t>
    <phoneticPr fontId="8"/>
  </si>
  <si>
    <t>0110</t>
    <phoneticPr fontId="8"/>
  </si>
  <si>
    <t>片面コルゲータ</t>
    <phoneticPr fontId="8"/>
  </si>
  <si>
    <t>01101</t>
    <phoneticPr fontId="8"/>
  </si>
  <si>
    <t>貼合</t>
    <phoneticPr fontId="8"/>
  </si>
  <si>
    <t>小牧工場 片面コルゲータ　</t>
    <phoneticPr fontId="8"/>
  </si>
  <si>
    <t>□</t>
  </si>
  <si>
    <t>全判巾</t>
    <phoneticPr fontId="8"/>
  </si>
  <si>
    <t>全判流れ</t>
    <phoneticPr fontId="8"/>
  </si>
  <si>
    <t>巾変更</t>
    <phoneticPr fontId="8"/>
  </si>
  <si>
    <t>1350</t>
    <phoneticPr fontId="8"/>
  </si>
  <si>
    <t>814</t>
    <phoneticPr fontId="8"/>
  </si>
  <si>
    <t>1:不可</t>
    <phoneticPr fontId="8"/>
  </si>
  <si>
    <t>01102</t>
    <phoneticPr fontId="8"/>
  </si>
  <si>
    <t>コルスリ</t>
    <phoneticPr fontId="8"/>
  </si>
  <si>
    <t>表巾</t>
    <phoneticPr fontId="3"/>
  </si>
  <si>
    <t>ｽﾘｯﾀｰ巾1</t>
    <phoneticPr fontId="8"/>
  </si>
  <si>
    <t>ｽﾘｯﾀｰ流れ1</t>
  </si>
  <si>
    <t>ｽﾘｯﾀｰ巾2</t>
    <phoneticPr fontId="8"/>
  </si>
  <si>
    <t>ｽﾘｯﾀｰ流れ2</t>
    <phoneticPr fontId="8"/>
  </si>
  <si>
    <t>割り数</t>
    <phoneticPr fontId="8"/>
  </si>
  <si>
    <t>644</t>
    <phoneticPr fontId="8"/>
  </si>
  <si>
    <t>3:化粧裁</t>
    <phoneticPr fontId="8"/>
  </si>
  <si>
    <t>2</t>
    <phoneticPr fontId="8"/>
  </si>
  <si>
    <t>0200</t>
    <phoneticPr fontId="8"/>
  </si>
  <si>
    <t>コートボール手配（表）</t>
    <phoneticPr fontId="8"/>
  </si>
  <si>
    <t>02001</t>
    <phoneticPr fontId="8"/>
  </si>
  <si>
    <t>ｺｰﾄﾎﾞｰﾙ手配</t>
    <phoneticPr fontId="8"/>
  </si>
  <si>
    <t>外注：昭和堂</t>
    <phoneticPr fontId="8"/>
  </si>
  <si>
    <t>巾</t>
    <phoneticPr fontId="3"/>
  </si>
  <si>
    <t>流れ</t>
  </si>
  <si>
    <t>目なり</t>
  </si>
  <si>
    <t>連量</t>
  </si>
  <si>
    <t>＠</t>
    <phoneticPr fontId="8"/>
  </si>
  <si>
    <t>特スキ</t>
    <phoneticPr fontId="8"/>
  </si>
  <si>
    <t>650</t>
    <phoneticPr fontId="8"/>
  </si>
  <si>
    <t>950</t>
    <phoneticPr fontId="8"/>
  </si>
  <si>
    <t>1.縦目</t>
  </si>
  <si>
    <t>165</t>
    <phoneticPr fontId="8"/>
  </si>
  <si>
    <t>145</t>
    <phoneticPr fontId="8"/>
  </si>
  <si>
    <t>kg</t>
  </si>
  <si>
    <t>02002</t>
    <phoneticPr fontId="8"/>
  </si>
  <si>
    <t>ｺｰﾄﾎﾞｰﾙ断裁</t>
    <phoneticPr fontId="8"/>
  </si>
  <si>
    <t>820</t>
    <phoneticPr fontId="8"/>
  </si>
  <si>
    <t>0440</t>
    <phoneticPr fontId="8"/>
  </si>
  <si>
    <t>刷版手配(表)</t>
    <phoneticPr fontId="3"/>
  </si>
  <si>
    <t>04401</t>
    <phoneticPr fontId="8"/>
  </si>
  <si>
    <t>外注：昭和堂</t>
    <rPh sb="0" eb="2">
      <t>ガイチュウ</t>
    </rPh>
    <rPh sb="3" eb="5">
      <t>アキカズ</t>
    </rPh>
    <rPh sb="5" eb="6">
      <t>ドウ</t>
    </rPh>
    <phoneticPr fontId="8"/>
  </si>
  <si>
    <t>寸法　　1.K</t>
    <phoneticPr fontId="8"/>
  </si>
  <si>
    <t>版作成</t>
    <phoneticPr fontId="3"/>
  </si>
  <si>
    <t>面付数</t>
  </si>
  <si>
    <t>版数</t>
  </si>
  <si>
    <t>抜きｽﾞﾚ防止ﾏｰｸ</t>
  </si>
  <si>
    <t>面付番号</t>
  </si>
  <si>
    <t>混入防止ﾏｰｸ</t>
  </si>
  <si>
    <t>0:ﾌｨﾙﾑ　　　1:ＣＴＰ</t>
  </si>
  <si>
    <t xml:space="preserve"> </t>
    <phoneticPr fontId="8"/>
  </si>
  <si>
    <t>1.要　2.不可</t>
  </si>
  <si>
    <t>0450</t>
    <phoneticPr fontId="8"/>
  </si>
  <si>
    <t>オフセット印刷1</t>
    <phoneticPr fontId="8"/>
  </si>
  <si>
    <t>04501</t>
    <phoneticPr fontId="8"/>
  </si>
  <si>
    <t>製品情報</t>
    <phoneticPr fontId="8"/>
  </si>
  <si>
    <t>原稿</t>
  </si>
  <si>
    <t>ｸﾚｰﾑ情報</t>
  </si>
  <si>
    <t>ｸﾚｰﾑ対象工程</t>
  </si>
  <si>
    <t>0.ﾅｼ　1.原稿袋　2.図面ｼｽﾃﾑ</t>
  </si>
  <si>
    <t>0.ﾅｼ　1.ｱﾘ</t>
  </si>
  <si>
    <t>1.ＡＬＬ　2.備考欄</t>
  </si>
  <si>
    <t>04502</t>
    <phoneticPr fontId="8"/>
  </si>
  <si>
    <t>オフセット印刷</t>
    <phoneticPr fontId="8"/>
  </si>
  <si>
    <t>色数</t>
  </si>
  <si>
    <t>色数割増</t>
  </si>
  <si>
    <t>特色数</t>
  </si>
  <si>
    <t>ｲﾝｷ区分</t>
  </si>
  <si>
    <t>針先</t>
  </si>
  <si>
    <t>3.ＵＶ</t>
  </si>
  <si>
    <t>1.突</t>
  </si>
  <si>
    <t>04503</t>
    <phoneticPr fontId="8"/>
  </si>
  <si>
    <t>ニス</t>
    <phoneticPr fontId="8"/>
  </si>
  <si>
    <t>壺ﾆｽ　　</t>
  </si>
  <si>
    <t>ｺｰﾀｰﾆｽ</t>
  </si>
  <si>
    <t>ｽﾎﾟｯﾄ</t>
  </si>
  <si>
    <t>5:UVOP</t>
  </si>
  <si>
    <t>4.UVｸﾘｱ</t>
  </si>
  <si>
    <t>2.ｱｸｱｴﾝﾎﾞｽ</t>
  </si>
  <si>
    <t>0550</t>
    <phoneticPr fontId="8"/>
  </si>
  <si>
    <t>合紙</t>
    <phoneticPr fontId="3"/>
  </si>
  <si>
    <t>05501</t>
    <phoneticPr fontId="8"/>
  </si>
  <si>
    <t>九州　合紙G</t>
    <rPh sb="0" eb="2">
      <t>キュウシュウ</t>
    </rPh>
    <rPh sb="3" eb="5">
      <t>ゴウシ</t>
    </rPh>
    <phoneticPr fontId="8"/>
  </si>
  <si>
    <t>貼り方</t>
    <phoneticPr fontId="8"/>
  </si>
  <si>
    <t>糊</t>
    <phoneticPr fontId="3"/>
  </si>
  <si>
    <t>1.片面</t>
  </si>
  <si>
    <t>0.合紙糊</t>
  </si>
  <si>
    <t>0600</t>
    <phoneticPr fontId="8"/>
  </si>
  <si>
    <t>トムソン</t>
    <phoneticPr fontId="8"/>
  </si>
  <si>
    <t>06001</t>
    <phoneticPr fontId="8"/>
  </si>
  <si>
    <t>新版ゴムづけ</t>
    <phoneticPr fontId="8"/>
  </si>
  <si>
    <t>九州　抜き１３</t>
    <phoneticPr fontId="8"/>
  </si>
  <si>
    <t>06002</t>
    <phoneticPr fontId="8"/>
  </si>
  <si>
    <t>附数</t>
    <phoneticPr fontId="8"/>
  </si>
  <si>
    <t>個数</t>
    <phoneticPr fontId="8"/>
  </si>
  <si>
    <t>刃渡1 /　シート巾側</t>
    <phoneticPr fontId="8"/>
  </si>
  <si>
    <t>刃渡2　/　シート流れ側</t>
  </si>
  <si>
    <t>面切</t>
    <phoneticPr fontId="8"/>
  </si>
  <si>
    <t>穴数</t>
  </si>
  <si>
    <t>抜</t>
  </si>
  <si>
    <t>616</t>
    <phoneticPr fontId="8"/>
  </si>
  <si>
    <t>787</t>
    <phoneticPr fontId="8"/>
  </si>
  <si>
    <t>1.アリ</t>
  </si>
  <si>
    <t>2.裏</t>
  </si>
  <si>
    <t>0800</t>
    <phoneticPr fontId="8"/>
  </si>
  <si>
    <t>グルア</t>
    <phoneticPr fontId="3"/>
  </si>
  <si>
    <t>08001</t>
    <phoneticPr fontId="8"/>
  </si>
  <si>
    <t>グルア（1）</t>
    <phoneticPr fontId="3"/>
  </si>
  <si>
    <t>九州　グルア30</t>
    <phoneticPr fontId="8"/>
  </si>
  <si>
    <t>形式</t>
    <phoneticPr fontId="8"/>
  </si>
  <si>
    <t>縦</t>
    <phoneticPr fontId="3"/>
  </si>
  <si>
    <t>横</t>
  </si>
  <si>
    <t>仮折</t>
  </si>
  <si>
    <t>連結数</t>
  </si>
  <si>
    <t>箱の高さ</t>
  </si>
  <si>
    <t>貼り方</t>
  </si>
  <si>
    <t>0</t>
    <phoneticPr fontId="8"/>
  </si>
  <si>
    <t>6.サイド貼り</t>
    <phoneticPr fontId="8"/>
  </si>
  <si>
    <t>1する</t>
  </si>
  <si>
    <t>85</t>
    <phoneticPr fontId="8"/>
  </si>
  <si>
    <t>0940</t>
    <phoneticPr fontId="8"/>
  </si>
  <si>
    <t>カートン手配1</t>
    <phoneticPr fontId="3"/>
  </si>
  <si>
    <t>09401</t>
    <phoneticPr fontId="8"/>
  </si>
  <si>
    <t>ｶｰﾄﾝ手配1</t>
    <phoneticPr fontId="3"/>
  </si>
  <si>
    <t>外注：大栄DB</t>
    <rPh sb="0" eb="2">
      <t>ガイチュウ</t>
    </rPh>
    <rPh sb="3" eb="5">
      <t>ダイエイ</t>
    </rPh>
    <phoneticPr fontId="8"/>
  </si>
  <si>
    <t>縦</t>
    <phoneticPr fontId="8"/>
  </si>
  <si>
    <t>横</t>
    <phoneticPr fontId="3"/>
  </si>
  <si>
    <t>高さ</t>
  </si>
  <si>
    <t>入数</t>
  </si>
  <si>
    <t>1.内寸</t>
  </si>
  <si>
    <t>入れ方向</t>
  </si>
  <si>
    <t>入れ子数</t>
  </si>
  <si>
    <t>793</t>
    <phoneticPr fontId="8"/>
  </si>
  <si>
    <t>285</t>
    <phoneticPr fontId="8"/>
  </si>
  <si>
    <t>270</t>
    <phoneticPr fontId="8"/>
  </si>
  <si>
    <t>200</t>
    <phoneticPr fontId="8"/>
  </si>
  <si>
    <t>0950</t>
    <phoneticPr fontId="8"/>
  </si>
  <si>
    <t>包装1</t>
    <phoneticPr fontId="8"/>
  </si>
  <si>
    <t>09504</t>
    <phoneticPr fontId="8"/>
  </si>
  <si>
    <t>カートン詰め</t>
    <phoneticPr fontId="8"/>
  </si>
  <si>
    <t>包装区分</t>
  </si>
  <si>
    <t>枚数</t>
  </si>
  <si>
    <t>ｶｰﾄﾝﾃｰﾌﾟ</t>
  </si>
  <si>
    <t>ラベル</t>
  </si>
  <si>
    <t>ラベル種№</t>
  </si>
  <si>
    <t>カートン詰め</t>
  </si>
  <si>
    <t>200</t>
  </si>
  <si>
    <t>1.Ｉ　貼</t>
  </si>
  <si>
    <t>1.Facnetﾗﾍﾞﾙ</t>
  </si>
  <si>
    <t>0980</t>
    <phoneticPr fontId="8"/>
  </si>
  <si>
    <t>梱包1</t>
    <phoneticPr fontId="3"/>
  </si>
  <si>
    <t>09801</t>
    <phoneticPr fontId="8"/>
  </si>
  <si>
    <t>売上出荷</t>
    <rPh sb="0" eb="4">
      <t>ウリアゲシュッカ</t>
    </rPh>
    <phoneticPr fontId="8"/>
  </si>
  <si>
    <t>ﾊﾟﾚｯﾄ梱包</t>
    <phoneticPr fontId="8"/>
  </si>
  <si>
    <t>パレット</t>
    <phoneticPr fontId="3"/>
  </si>
  <si>
    <t>積数</t>
  </si>
  <si>
    <t>パレット巾</t>
    <phoneticPr fontId="8"/>
  </si>
  <si>
    <t>パレット流</t>
    <phoneticPr fontId="8"/>
  </si>
  <si>
    <t>積み区分</t>
  </si>
  <si>
    <t>2.ﾗｯﾌﾟ</t>
    <phoneticPr fontId="8"/>
  </si>
  <si>
    <t>6:支給ﾊﾟﾚ</t>
    <phoneticPr fontId="8"/>
  </si>
  <si>
    <t>20/1パレット</t>
    <phoneticPr fontId="8"/>
  </si>
  <si>
    <t>1100</t>
    <phoneticPr fontId="8"/>
  </si>
  <si>
    <t>0.手積み</t>
  </si>
  <si>
    <t>▽</t>
    <phoneticPr fontId="8"/>
  </si>
  <si>
    <t>〇POPUP初期表示</t>
    <rPh sb="6" eb="10">
      <t>ショキヒョウジ</t>
    </rPh>
    <phoneticPr fontId="6"/>
  </si>
  <si>
    <t>4ページ目：POPUP画面</t>
    <rPh sb="4" eb="5">
      <t>メ</t>
    </rPh>
    <rPh sb="11" eb="13">
      <t>ガメン</t>
    </rPh>
    <phoneticPr fontId="8"/>
  </si>
  <si>
    <t>備考は編集可能</t>
    <rPh sb="0" eb="2">
      <t>ビコウ</t>
    </rPh>
    <rPh sb="3" eb="7">
      <t>ヘンシュウカノウ</t>
    </rPh>
    <phoneticPr fontId="6"/>
  </si>
  <si>
    <t>〇材料設定初期表示</t>
    <rPh sb="1" eb="3">
      <t>ザイリョウ</t>
    </rPh>
    <rPh sb="3" eb="5">
      <t>セッテイ</t>
    </rPh>
    <rPh sb="5" eb="9">
      <t>ショキヒョウジ</t>
    </rPh>
    <phoneticPr fontId="6"/>
  </si>
  <si>
    <t>製品マスタの情報を表示。参照のみ。</t>
    <rPh sb="0" eb="2">
      <t>セイヒン</t>
    </rPh>
    <rPh sb="6" eb="8">
      <t>ジョウホウ</t>
    </rPh>
    <rPh sb="9" eb="11">
      <t>ヒョウジ</t>
    </rPh>
    <rPh sb="12" eb="14">
      <t>サンショウ</t>
    </rPh>
    <phoneticPr fontId="6"/>
  </si>
  <si>
    <t>４ページ目：材料情報画面</t>
    <rPh sb="4" eb="5">
      <t>メ</t>
    </rPh>
    <rPh sb="6" eb="8">
      <t>ザイリョウ</t>
    </rPh>
    <rPh sb="8" eb="10">
      <t>ジョウホウ</t>
    </rPh>
    <rPh sb="10" eb="12">
      <t>ガメン</t>
    </rPh>
    <phoneticPr fontId="8"/>
  </si>
  <si>
    <t>0022108801</t>
    <phoneticPr fontId="6"/>
  </si>
  <si>
    <t>095439</t>
    <phoneticPr fontId="8"/>
  </si>
  <si>
    <t>もつ鍋化粧箱（海千様）</t>
  </si>
  <si>
    <t>前工程</t>
    <rPh sb="0" eb="3">
      <t>マエコウテイ</t>
    </rPh>
    <phoneticPr fontId="8"/>
  </si>
  <si>
    <t>材料</t>
    <phoneticPr fontId="8"/>
  </si>
  <si>
    <t>受給区分</t>
    <phoneticPr fontId="8"/>
  </si>
  <si>
    <t>受給単価</t>
    <phoneticPr fontId="8"/>
  </si>
  <si>
    <t>E0928：09ｺﾝﾗｲﾅｰ(Fﾐｯｸｽ 撥水（B1）)</t>
    <phoneticPr fontId="4"/>
  </si>
  <si>
    <t>0040</t>
    <phoneticPr fontId="8"/>
  </si>
  <si>
    <t>エンボス1</t>
    <phoneticPr fontId="3"/>
  </si>
  <si>
    <t>0020：輪転（グラビア）１</t>
    <rPh sb="5" eb="7">
      <t>リンテン</t>
    </rPh>
    <phoneticPr fontId="4"/>
  </si>
  <si>
    <t>0040：エンボス１</t>
    <phoneticPr fontId="4"/>
  </si>
  <si>
    <t>E001R：中芯（Fリサイクル）</t>
    <phoneticPr fontId="4"/>
  </si>
  <si>
    <t>0170</t>
    <phoneticPr fontId="8"/>
  </si>
  <si>
    <t>反転機</t>
    <phoneticPr fontId="3"/>
  </si>
  <si>
    <t>0110：片面コルゲータ</t>
    <rPh sb="5" eb="7">
      <t>カタメン</t>
    </rPh>
    <phoneticPr fontId="4"/>
  </si>
  <si>
    <t>0190</t>
    <phoneticPr fontId="8"/>
  </si>
  <si>
    <t>パイルターナー</t>
    <phoneticPr fontId="3"/>
  </si>
  <si>
    <t>0170：反転機</t>
    <rPh sb="5" eb="8">
      <t>ハンテンキ</t>
    </rPh>
    <phoneticPr fontId="4"/>
  </si>
  <si>
    <t>ECBAF：コートボール270（Fﾐｯｸｽ）</t>
    <phoneticPr fontId="4"/>
  </si>
  <si>
    <t>0440：刷版手配（表）</t>
    <rPh sb="5" eb="7">
      <t>サッパン</t>
    </rPh>
    <rPh sb="7" eb="9">
      <t>テハイ</t>
    </rPh>
    <rPh sb="10" eb="11">
      <t>オモテ</t>
    </rPh>
    <phoneticPr fontId="4"/>
  </si>
  <si>
    <t>0200：コートボール手配（表）</t>
    <phoneticPr fontId="4"/>
  </si>
  <si>
    <t>0490</t>
    <phoneticPr fontId="8"/>
  </si>
  <si>
    <t>表面加工（表）</t>
    <phoneticPr fontId="3"/>
  </si>
  <si>
    <t>0450：オフセット印刷１</t>
    <rPh sb="10" eb="12">
      <t>インサツ</t>
    </rPh>
    <phoneticPr fontId="4"/>
  </si>
  <si>
    <t>0190:パイルターナー</t>
    <phoneticPr fontId="4"/>
  </si>
  <si>
    <t>0490：表面加工（表）</t>
    <rPh sb="5" eb="9">
      <t>ヒョウメンカコウ</t>
    </rPh>
    <rPh sb="10" eb="11">
      <t>オモテ</t>
    </rPh>
    <phoneticPr fontId="4"/>
  </si>
  <si>
    <t>0550：合紙</t>
    <rPh sb="5" eb="6">
      <t>ゴウ</t>
    </rPh>
    <rPh sb="6" eb="7">
      <t>カミ</t>
    </rPh>
    <phoneticPr fontId="4"/>
  </si>
  <si>
    <t>0620</t>
    <phoneticPr fontId="8"/>
  </si>
  <si>
    <t>仮包装</t>
    <phoneticPr fontId="3"/>
  </si>
  <si>
    <t>0600：トムソン</t>
    <phoneticPr fontId="4"/>
  </si>
  <si>
    <t>0940：カートン手配１</t>
    <rPh sb="9" eb="11">
      <t>テハイ</t>
    </rPh>
    <phoneticPr fontId="4"/>
  </si>
  <si>
    <t>0630</t>
    <phoneticPr fontId="8"/>
  </si>
  <si>
    <t>仮梱包1</t>
    <phoneticPr fontId="3"/>
  </si>
  <si>
    <t>0620：仮包装</t>
    <rPh sb="5" eb="8">
      <t>カリホウソウ</t>
    </rPh>
    <phoneticPr fontId="4"/>
  </si>
  <si>
    <t>0660</t>
    <phoneticPr fontId="8"/>
  </si>
  <si>
    <t>検品1</t>
    <phoneticPr fontId="3"/>
  </si>
  <si>
    <t>0630：仮梱包</t>
    <rPh sb="5" eb="8">
      <t>カリコンポウ</t>
    </rPh>
    <phoneticPr fontId="4"/>
  </si>
  <si>
    <t>0760</t>
    <phoneticPr fontId="8"/>
  </si>
  <si>
    <t>タンデム</t>
    <phoneticPr fontId="3"/>
  </si>
  <si>
    <t>0660：検品１</t>
    <rPh sb="5" eb="7">
      <t>ケンピン</t>
    </rPh>
    <phoneticPr fontId="4"/>
  </si>
  <si>
    <t>0760：タンデム</t>
    <phoneticPr fontId="4"/>
  </si>
  <si>
    <t>連産品</t>
    <phoneticPr fontId="8"/>
  </si>
  <si>
    <t>0941</t>
    <phoneticPr fontId="8"/>
  </si>
  <si>
    <t>カートン手配2</t>
    <phoneticPr fontId="3"/>
  </si>
  <si>
    <t>0800：グルア</t>
    <phoneticPr fontId="4"/>
  </si>
  <si>
    <t>0941：カートン手配２</t>
    <rPh sb="9" eb="11">
      <t>テハイ</t>
    </rPh>
    <phoneticPr fontId="4"/>
  </si>
  <si>
    <t>連産品</t>
    <rPh sb="0" eb="3">
      <t>レンサンピン</t>
    </rPh>
    <phoneticPr fontId="8"/>
  </si>
  <si>
    <t>梱包1</t>
    <phoneticPr fontId="8"/>
  </si>
  <si>
    <t>0950：包装１</t>
    <rPh sb="5" eb="7">
      <t>ホウソウ</t>
    </rPh>
    <phoneticPr fontId="4"/>
  </si>
  <si>
    <t>〇シート受注初期表示</t>
    <rPh sb="4" eb="6">
      <t>ジュチュウ</t>
    </rPh>
    <rPh sb="6" eb="10">
      <t>ショキヒョウジ</t>
    </rPh>
    <phoneticPr fontId="6"/>
  </si>
  <si>
    <t>11：シート商品</t>
    <rPh sb="6" eb="8">
      <t>ショウヒン</t>
    </rPh>
    <phoneticPr fontId="6"/>
  </si>
  <si>
    <t>第1画面のインプットから初期表示</t>
    <rPh sb="0" eb="1">
      <t>ダイ</t>
    </rPh>
    <rPh sb="2" eb="4">
      <t>ガメン</t>
    </rPh>
    <rPh sb="12" eb="16">
      <t>ショキヒョウジ</t>
    </rPh>
    <phoneticPr fontId="6"/>
  </si>
  <si>
    <t>11</t>
    <phoneticPr fontId="6"/>
  </si>
  <si>
    <t>〇第２画面インプット</t>
    <rPh sb="1" eb="2">
      <t>ダイ</t>
    </rPh>
    <rPh sb="3" eb="5">
      <t>ガメン</t>
    </rPh>
    <phoneticPr fontId="6"/>
  </si>
  <si>
    <t>行挿入で工程を増やす。</t>
    <rPh sb="0" eb="1">
      <t>ギョウ</t>
    </rPh>
    <rPh sb="1" eb="3">
      <t>ソウニュウ</t>
    </rPh>
    <rPh sb="4" eb="6">
      <t>コウテイ</t>
    </rPh>
    <rPh sb="7" eb="8">
      <t>フ</t>
    </rPh>
    <phoneticPr fontId="6"/>
  </si>
  <si>
    <t>得意先A</t>
    <rPh sb="0" eb="2">
      <t>トクイサキ</t>
    </rPh>
    <phoneticPr fontId="8"/>
  </si>
  <si>
    <t>顧客品名身</t>
    <rPh sb="0" eb="4">
      <t>コキャクヒンメイ</t>
    </rPh>
    <rPh sb="4" eb="5">
      <t>ミ</t>
    </rPh>
    <phoneticPr fontId="6"/>
  </si>
  <si>
    <t>0110:片面コルゲータ</t>
    <phoneticPr fontId="8"/>
  </si>
  <si>
    <t>WG／号機／発注先</t>
    <rPh sb="3" eb="5">
      <t>ゴウキ</t>
    </rPh>
    <rPh sb="6" eb="8">
      <t>ハッチュウ</t>
    </rPh>
    <rPh sb="8" eb="9">
      <t>サキ</t>
    </rPh>
    <phoneticPr fontId="8"/>
  </si>
  <si>
    <t>10</t>
    <phoneticPr fontId="8"/>
  </si>
  <si>
    <t>5362：●●工業</t>
    <phoneticPr fontId="8"/>
  </si>
  <si>
    <t>号機変更不可</t>
    <rPh sb="0" eb="4">
      <t>ゴウキヘンコウ</t>
    </rPh>
    <rPh sb="4" eb="6">
      <t>フカ</t>
    </rPh>
    <phoneticPr fontId="8"/>
  </si>
  <si>
    <t>CP配送区分</t>
    <phoneticPr fontId="8"/>
  </si>
  <si>
    <t>ﾁｪｯｸ</t>
    <phoneticPr fontId="8"/>
  </si>
  <si>
    <t>仕様</t>
    <rPh sb="0" eb="2">
      <t>シヨウ</t>
    </rPh>
    <phoneticPr fontId="8"/>
  </si>
  <si>
    <t>☑</t>
    <phoneticPr fontId="8"/>
  </si>
  <si>
    <t>貼合</t>
    <phoneticPr fontId="3"/>
  </si>
  <si>
    <t>全判巾</t>
    <rPh sb="0" eb="1">
      <t>ゼン</t>
    </rPh>
    <rPh sb="1" eb="2">
      <t>バン</t>
    </rPh>
    <rPh sb="2" eb="3">
      <t>ハバ</t>
    </rPh>
    <phoneticPr fontId="3"/>
  </si>
  <si>
    <t>全判流れ</t>
    <rPh sb="0" eb="2">
      <t>ゼンバン</t>
    </rPh>
    <rPh sb="2" eb="3">
      <t>ナガ</t>
    </rPh>
    <phoneticPr fontId="3"/>
  </si>
  <si>
    <t>コルスリ</t>
    <phoneticPr fontId="3"/>
  </si>
  <si>
    <t>表巾</t>
    <phoneticPr fontId="8"/>
  </si>
  <si>
    <t>ｽﾘｯﾀｰ1巾</t>
    <rPh sb="6" eb="7">
      <t>ハバ</t>
    </rPh>
    <phoneticPr fontId="3"/>
  </si>
  <si>
    <t>ｽﾘｯﾀｰ1流れ</t>
    <rPh sb="6" eb="7">
      <t>ナガ</t>
    </rPh>
    <phoneticPr fontId="3"/>
  </si>
  <si>
    <t>ｽﾘｯﾀｰ2巾</t>
    <rPh sb="6" eb="7">
      <t>ハバ</t>
    </rPh>
    <phoneticPr fontId="3"/>
  </si>
  <si>
    <t>ｽﾘｯﾀｰ2流れ</t>
    <rPh sb="6" eb="7">
      <t>ナガ</t>
    </rPh>
    <phoneticPr fontId="3"/>
  </si>
  <si>
    <t>ｺﾙｽﾘ</t>
    <phoneticPr fontId="3"/>
  </si>
  <si>
    <t>割り数</t>
    <phoneticPr fontId="3"/>
  </si>
  <si>
    <t>工程備考123456</t>
    <phoneticPr fontId="8"/>
  </si>
  <si>
    <t>製造</t>
    <rPh sb="0" eb="2">
      <t>セイゾウ</t>
    </rPh>
    <phoneticPr fontId="8"/>
  </si>
  <si>
    <t>外注</t>
    <rPh sb="0" eb="2">
      <t>ガイチュウ</t>
    </rPh>
    <phoneticPr fontId="8"/>
  </si>
  <si>
    <t>本支店</t>
    <rPh sb="0" eb="3">
      <t>ホンシテン</t>
    </rPh>
    <phoneticPr fontId="8"/>
  </si>
  <si>
    <t>ﾛｽ率(%)</t>
    <rPh sb="2" eb="3">
      <t>リツ</t>
    </rPh>
    <phoneticPr fontId="8"/>
  </si>
  <si>
    <t>台数(枚)</t>
    <rPh sb="0" eb="2">
      <t>ダイスウ</t>
    </rPh>
    <rPh sb="3" eb="4">
      <t>マイ</t>
    </rPh>
    <phoneticPr fontId="8"/>
  </si>
  <si>
    <t>LT(日)</t>
    <rPh sb="2" eb="5">
      <t>ニチ</t>
    </rPh>
    <phoneticPr fontId="8"/>
  </si>
  <si>
    <t>指値</t>
    <rPh sb="0" eb="2">
      <t>サシネ</t>
    </rPh>
    <phoneticPr fontId="8"/>
  </si>
  <si>
    <t>入庫先</t>
    <phoneticPr fontId="8"/>
  </si>
  <si>
    <t>名古屋合紙置き場</t>
    <phoneticPr fontId="8"/>
  </si>
  <si>
    <t>工程からシステム自動設定。一部ユーザーが手修正。</t>
    <rPh sb="0" eb="2">
      <t>コウテイ</t>
    </rPh>
    <rPh sb="8" eb="10">
      <t>ジドウ</t>
    </rPh>
    <rPh sb="10" eb="12">
      <t>セッテイ</t>
    </rPh>
    <rPh sb="13" eb="15">
      <t>イチブ</t>
    </rPh>
    <rPh sb="20" eb="23">
      <t>テシュウセイ</t>
    </rPh>
    <phoneticPr fontId="6"/>
  </si>
  <si>
    <t>0550：合紙</t>
    <rPh sb="5" eb="6">
      <t>ア</t>
    </rPh>
    <rPh sb="6" eb="7">
      <t>シ</t>
    </rPh>
    <phoneticPr fontId="4"/>
  </si>
  <si>
    <t>〇商品購買初期表示</t>
    <rPh sb="1" eb="5">
      <t>ショウヒンコウバイ</t>
    </rPh>
    <rPh sb="5" eb="9">
      <t>ショキヒョウジ</t>
    </rPh>
    <phoneticPr fontId="6"/>
  </si>
  <si>
    <t>30：購買品</t>
    <rPh sb="3" eb="6">
      <t>コウバイヒン</t>
    </rPh>
    <phoneticPr fontId="6"/>
  </si>
  <si>
    <t>30:購買品</t>
    <rPh sb="3" eb="6">
      <t>コウバイヒン</t>
    </rPh>
    <phoneticPr fontId="6"/>
  </si>
  <si>
    <t>51：外装シート</t>
    <rPh sb="2" eb="4">
      <t>ガイソウ</t>
    </rPh>
    <phoneticPr fontId="6"/>
  </si>
  <si>
    <t>〇版型受注表示</t>
    <rPh sb="1" eb="2">
      <t>ハン</t>
    </rPh>
    <rPh sb="2" eb="3">
      <t>ガタ</t>
    </rPh>
    <rPh sb="3" eb="5">
      <t>ジュチュウ</t>
    </rPh>
    <rPh sb="5" eb="7">
      <t>ヒョウジ</t>
    </rPh>
    <phoneticPr fontId="6"/>
  </si>
  <si>
    <t>〇参照モードにして手配NOを入力し検索する</t>
    <rPh sb="1" eb="3">
      <t>サンショウ</t>
    </rPh>
    <rPh sb="9" eb="11">
      <t>テハイ</t>
    </rPh>
    <rPh sb="14" eb="16">
      <t>ニュウリョク</t>
    </rPh>
    <rPh sb="17" eb="19">
      <t>ケンサク</t>
    </rPh>
    <phoneticPr fontId="6"/>
  </si>
  <si>
    <t>○登録</t>
    <rPh sb="1" eb="3">
      <t>トウロク</t>
    </rPh>
    <phoneticPr fontId="8"/>
  </si>
  <si>
    <t>●参照</t>
    <rPh sb="1" eb="3">
      <t>サンショウ</t>
    </rPh>
    <phoneticPr fontId="8"/>
  </si>
  <si>
    <t>XXXXXXXXXX</t>
    <phoneticPr fontId="6"/>
  </si>
  <si>
    <t>30：商品購買</t>
    <rPh sb="3" eb="5">
      <t>ショウヒン</t>
    </rPh>
    <rPh sb="5" eb="7">
      <t>コウバイ</t>
    </rPh>
    <phoneticPr fontId="6"/>
  </si>
  <si>
    <t>61：版型</t>
    <rPh sb="3" eb="4">
      <t>ハン</t>
    </rPh>
    <rPh sb="4" eb="5">
      <t>ガタ</t>
    </rPh>
    <phoneticPr fontId="6"/>
  </si>
  <si>
    <t>H1234567</t>
    <phoneticPr fontId="6"/>
  </si>
  <si>
    <t>個</t>
    <rPh sb="0" eb="1">
      <t>コ</t>
    </rPh>
    <phoneticPr fontId="8"/>
  </si>
  <si>
    <t>〇有償支給初期表示</t>
    <rPh sb="1" eb="5">
      <t>ユウショウシキュウ</t>
    </rPh>
    <rPh sb="5" eb="9">
      <t>ショキヒョウジ</t>
    </rPh>
    <phoneticPr fontId="6"/>
  </si>
  <si>
    <t>在庫引当</t>
    <rPh sb="0" eb="2">
      <t>ザイコ</t>
    </rPh>
    <rPh sb="2" eb="4">
      <t>ヒキアテ</t>
    </rPh>
    <phoneticPr fontId="6"/>
  </si>
  <si>
    <t>62：その他</t>
    <rPh sb="5" eb="6">
      <t>タ</t>
    </rPh>
    <phoneticPr fontId="6"/>
  </si>
  <si>
    <t>XXXXXXXX</t>
    <phoneticPr fontId="6"/>
  </si>
  <si>
    <t>〇経費品初期表示</t>
    <rPh sb="1" eb="4">
      <t>ケイヒヒン</t>
    </rPh>
    <rPh sb="4" eb="8">
      <t>ショキヒョウジ</t>
    </rPh>
    <phoneticPr fontId="6"/>
  </si>
  <si>
    <t>V09 　原紙売りとそれ以外の画面項目制御</t>
    <rPh sb="5" eb="7">
      <t>ゲンシ</t>
    </rPh>
    <rPh sb="7" eb="8">
      <t>ウ</t>
    </rPh>
    <rPh sb="12" eb="14">
      <t>イガイ</t>
    </rPh>
    <rPh sb="15" eb="17">
      <t>ガメン</t>
    </rPh>
    <rPh sb="17" eb="19">
      <t>コウモク</t>
    </rPh>
    <rPh sb="19" eb="21">
      <t>セイギョ</t>
    </rPh>
    <phoneticPr fontId="8"/>
  </si>
  <si>
    <t>〇原紙売り初期表示</t>
    <rPh sb="1" eb="3">
      <t>ゲンシ</t>
    </rPh>
    <rPh sb="3" eb="4">
      <t>ウ</t>
    </rPh>
    <rPh sb="5" eb="9">
      <t>ショキヒョウジ</t>
    </rPh>
    <phoneticPr fontId="6"/>
  </si>
  <si>
    <t>40：原紙</t>
    <rPh sb="3" eb="5">
      <t>ゲンシ</t>
    </rPh>
    <phoneticPr fontId="6"/>
  </si>
  <si>
    <t>40:原紙</t>
    <rPh sb="3" eb="5">
      <t>ゲンシ</t>
    </rPh>
    <phoneticPr fontId="6"/>
  </si>
  <si>
    <t>寸法</t>
    <rPh sb="0" eb="2">
      <t>スンポウ</t>
    </rPh>
    <phoneticPr fontId="8"/>
  </si>
  <si>
    <t>巻きM</t>
    <rPh sb="0" eb="1">
      <t>マ</t>
    </rPh>
    <phoneticPr fontId="8"/>
  </si>
  <si>
    <t>GCBAF</t>
    <phoneticPr fontId="8"/>
  </si>
  <si>
    <t>本</t>
    <rPh sb="0" eb="1">
      <t>ホン</t>
    </rPh>
    <phoneticPr fontId="6"/>
  </si>
  <si>
    <t>M</t>
    <phoneticPr fontId="6"/>
  </si>
  <si>
    <t>0200:片面コルゲータ</t>
    <phoneticPr fontId="8"/>
  </si>
  <si>
    <t>ｺｰﾄﾎﾞｰﾙ手配</t>
    <phoneticPr fontId="3"/>
  </si>
  <si>
    <t>ｺｰﾄﾎﾞｰﾙ断裁</t>
    <phoneticPr fontId="3"/>
  </si>
  <si>
    <t>GCBAF：コートボール270（Fﾐｯｸｽ）</t>
    <phoneticPr fontId="4"/>
  </si>
  <si>
    <t>輪切り</t>
    <rPh sb="0" eb="2">
      <t>ワギ</t>
    </rPh>
    <phoneticPr fontId="6"/>
  </si>
  <si>
    <t>0140</t>
    <phoneticPr fontId="8"/>
  </si>
  <si>
    <t>原紙輪切り</t>
    <rPh sb="0" eb="2">
      <t>ゲンシ</t>
    </rPh>
    <rPh sb="2" eb="4">
      <t>ワギ</t>
    </rPh>
    <phoneticPr fontId="8"/>
  </si>
  <si>
    <t>01401</t>
    <phoneticPr fontId="8"/>
  </si>
  <si>
    <t>原紙輪切り</t>
    <rPh sb="0" eb="4">
      <t>ゲンシワギ</t>
    </rPh>
    <phoneticPr fontId="8"/>
  </si>
  <si>
    <t>名古屋輪切り</t>
    <rPh sb="0" eb="3">
      <t>ナゴヤ</t>
    </rPh>
    <rPh sb="3" eb="5">
      <t>ワギ</t>
    </rPh>
    <phoneticPr fontId="6"/>
  </si>
  <si>
    <t>割り数</t>
    <rPh sb="0" eb="1">
      <t>ワ</t>
    </rPh>
    <rPh sb="2" eb="3">
      <t>スウ</t>
    </rPh>
    <phoneticPr fontId="3"/>
  </si>
  <si>
    <t>巾</t>
    <rPh sb="0" eb="1">
      <t>ハバ</t>
    </rPh>
    <phoneticPr fontId="6"/>
  </si>
  <si>
    <t>流れ</t>
    <rPh sb="0" eb="1">
      <t>ナガ</t>
    </rPh>
    <phoneticPr fontId="6"/>
  </si>
  <si>
    <t>1000</t>
    <phoneticPr fontId="6"/>
  </si>
  <si>
    <t>0140:原紙輪切り</t>
    <rPh sb="5" eb="7">
      <t>ゲンシ</t>
    </rPh>
    <rPh sb="7" eb="9">
      <t>ワギ</t>
    </rPh>
    <phoneticPr fontId="8"/>
  </si>
  <si>
    <t>30</t>
    <phoneticPr fontId="8"/>
  </si>
  <si>
    <t>名古屋輪切り</t>
    <phoneticPr fontId="6"/>
  </si>
  <si>
    <t>原紙輪切り</t>
    <rPh sb="0" eb="2">
      <t>ゲンシ</t>
    </rPh>
    <rPh sb="2" eb="4">
      <t>ワギ</t>
    </rPh>
    <phoneticPr fontId="3"/>
  </si>
  <si>
    <t>名古屋原紙置き場</t>
    <rPh sb="3" eb="5">
      <t>ゲンシ</t>
    </rPh>
    <phoneticPr fontId="8"/>
  </si>
  <si>
    <t>文書名</t>
    <rPh sb="0" eb="2">
      <t>ブンショ</t>
    </rPh>
    <rPh sb="2" eb="3">
      <t>メイ</t>
    </rPh>
    <phoneticPr fontId="8"/>
  </si>
  <si>
    <t>モジュールID</t>
    <phoneticPr fontId="8"/>
  </si>
  <si>
    <t>モジュール名</t>
    <rPh sb="5" eb="6">
      <t>メイ</t>
    </rPh>
    <phoneticPr fontId="8"/>
  </si>
  <si>
    <t>文書番号</t>
    <rPh sb="0" eb="2">
      <t>ブンショ</t>
    </rPh>
    <rPh sb="2" eb="4">
      <t>バンゴウ</t>
    </rPh>
    <phoneticPr fontId="8"/>
  </si>
  <si>
    <t>Version</t>
    <phoneticPr fontId="8"/>
  </si>
  <si>
    <t>Rev.</t>
    <phoneticPr fontId="8"/>
  </si>
  <si>
    <t>サブモジュールID</t>
    <phoneticPr fontId="8"/>
  </si>
  <si>
    <t>サブモジュール名</t>
    <rPh sb="7" eb="8">
      <t>メイ</t>
    </rPh>
    <phoneticPr fontId="8"/>
  </si>
  <si>
    <t>表題</t>
    <rPh sb="0" eb="2">
      <t>ヒョウダイ</t>
    </rPh>
    <phoneticPr fontId="8"/>
  </si>
  <si>
    <t>補足説明</t>
    <rPh sb="0" eb="2">
      <t>ホソク</t>
    </rPh>
    <rPh sb="2" eb="4">
      <t>セツメイ</t>
    </rPh>
    <phoneticPr fontId="8"/>
  </si>
  <si>
    <t>V8.0 　受注画面制御の詳細化</t>
    <rPh sb="6" eb="10">
      <t>ジュチュウガメン</t>
    </rPh>
    <rPh sb="10" eb="12">
      <t>セイギョ</t>
    </rPh>
    <rPh sb="13" eb="16">
      <t>ショウサイカ</t>
    </rPh>
    <phoneticPr fontId="8"/>
  </si>
  <si>
    <t>1.加工受注</t>
    <rPh sb="2" eb="4">
      <t>カコウ</t>
    </rPh>
    <rPh sb="4" eb="6">
      <t>ジュチュウ</t>
    </rPh>
    <phoneticPr fontId="4"/>
  </si>
  <si>
    <t>4.商品購買（有償支給、諸口）</t>
    <rPh sb="7" eb="9">
      <t>ユウショウ</t>
    </rPh>
    <rPh sb="9" eb="11">
      <t>シキュウ</t>
    </rPh>
    <rPh sb="12" eb="14">
      <t>ショグチ</t>
    </rPh>
    <phoneticPr fontId="8"/>
  </si>
  <si>
    <t>3.商品購買（版型）</t>
    <rPh sb="2" eb="4">
      <t>ショウヒン</t>
    </rPh>
    <rPh sb="4" eb="6">
      <t>コウバイ</t>
    </rPh>
    <rPh sb="7" eb="9">
      <t>ハンカタ</t>
    </rPh>
    <phoneticPr fontId="8"/>
  </si>
  <si>
    <t>品目ＣＤ＝版型ＮＯ</t>
    <rPh sb="0" eb="2">
      <t>ヒンモク</t>
    </rPh>
    <rPh sb="5" eb="7">
      <t>ハンカタ</t>
    </rPh>
    <phoneticPr fontId="8"/>
  </si>
  <si>
    <t>5_原紙（原紙売り、輪切り）</t>
    <rPh sb="10" eb="12">
      <t>ワギ</t>
    </rPh>
    <phoneticPr fontId="8"/>
  </si>
  <si>
    <t>品目欄入力なし</t>
    <rPh sb="0" eb="2">
      <t>ヒンモク</t>
    </rPh>
    <rPh sb="2" eb="3">
      <t>ラン</t>
    </rPh>
    <rPh sb="3" eb="5">
      <t>ニュウリョク</t>
    </rPh>
    <phoneticPr fontId="8"/>
  </si>
  <si>
    <t>原紙（表）に原紙を指定</t>
    <rPh sb="0" eb="2">
      <t>ゲンシ</t>
    </rPh>
    <rPh sb="3" eb="4">
      <t>オモテ</t>
    </rPh>
    <rPh sb="6" eb="8">
      <t>ゲンシ</t>
    </rPh>
    <rPh sb="9" eb="11">
      <t>シテイ</t>
    </rPh>
    <phoneticPr fontId="8"/>
  </si>
  <si>
    <t>原紙マスタ.紙種＝0（原紙）の場合</t>
    <rPh sb="0" eb="2">
      <t>ゲンシ</t>
    </rPh>
    <rPh sb="6" eb="7">
      <t>カミ</t>
    </rPh>
    <rPh sb="7" eb="8">
      <t>シュ</t>
    </rPh>
    <rPh sb="11" eb="13">
      <t>ゲンシ</t>
    </rPh>
    <rPh sb="15" eb="17">
      <t>バア</t>
    </rPh>
    <phoneticPr fontId="8"/>
  </si>
  <si>
    <t>巻取り原紙</t>
    <rPh sb="0" eb="2">
      <t>マキト</t>
    </rPh>
    <rPh sb="3" eb="5">
      <t>ゲンシ</t>
    </rPh>
    <phoneticPr fontId="8"/>
  </si>
  <si>
    <t>原紙マスタ.紙種≠0（原紙）の場合</t>
    <rPh sb="0" eb="2">
      <t>ゲンシ</t>
    </rPh>
    <rPh sb="6" eb="7">
      <t>カミ</t>
    </rPh>
    <rPh sb="7" eb="8">
      <t>シュ</t>
    </rPh>
    <rPh sb="11" eb="13">
      <t>ゲンシ</t>
    </rPh>
    <rPh sb="15" eb="17">
      <t>バア</t>
    </rPh>
    <phoneticPr fontId="8"/>
  </si>
  <si>
    <t>参照モード（全画面）</t>
  </si>
  <si>
    <t>E0928</t>
    <phoneticPr fontId="8"/>
  </si>
  <si>
    <t>原紙XXXX</t>
    <rPh sb="0" eb="2">
      <t>ゲンシ</t>
    </rPh>
    <phoneticPr fontId="3"/>
  </si>
  <si>
    <t>43:巻き取り原紙</t>
    <rPh sb="2" eb="3">
      <t>マ</t>
    </rPh>
    <rPh sb="4" eb="5">
      <t>ト</t>
    </rPh>
    <rPh sb="6" eb="8">
      <t>ゲンシ</t>
    </rPh>
    <phoneticPr fontId="6"/>
  </si>
  <si>
    <t>原紙マスタ</t>
    <rPh sb="0" eb="2">
      <t>ゲンシ</t>
    </rPh>
    <phoneticPr fontId="3"/>
  </si>
  <si>
    <t>■シート商品</t>
    <rPh sb="4" eb="6">
      <t>ショウヒン</t>
    </rPh>
    <phoneticPr fontId="3"/>
  </si>
  <si>
    <t>シート加工と同じ動きにする。</t>
    <rPh sb="3" eb="5">
      <t>カコウ</t>
    </rPh>
    <rPh sb="6" eb="7">
      <t>オナ</t>
    </rPh>
    <rPh sb="8" eb="9">
      <t>ウゴ</t>
    </rPh>
    <phoneticPr fontId="3"/>
  </si>
  <si>
    <t>※品目の指定と工程の編集に関する画面の制御が難しいため、客先の結論（なんらか纏めているよう）待ち</t>
    <rPh sb="1" eb="3">
      <t>ヒンモク</t>
    </rPh>
    <rPh sb="4" eb="6">
      <t>シテイ</t>
    </rPh>
    <rPh sb="7" eb="9">
      <t>コウテイ</t>
    </rPh>
    <rPh sb="10" eb="12">
      <t>ヘンシュウ</t>
    </rPh>
    <rPh sb="13" eb="14">
      <t>カン</t>
    </rPh>
    <rPh sb="16" eb="18">
      <t>ガメン</t>
    </rPh>
    <rPh sb="19" eb="21">
      <t>セイギョ</t>
    </rPh>
    <rPh sb="22" eb="23">
      <t>ムズカ</t>
    </rPh>
    <rPh sb="28" eb="30">
      <t>キャクサキ</t>
    </rPh>
    <rPh sb="31" eb="33">
      <t>ケツロン</t>
    </rPh>
    <rPh sb="38" eb="39">
      <t>マト</t>
    </rPh>
    <rPh sb="46" eb="47">
      <t>マ</t>
    </rPh>
    <phoneticPr fontId="3"/>
  </si>
  <si>
    <t>■原紙受注</t>
    <rPh sb="1" eb="3">
      <t>ゲンシ</t>
    </rPh>
    <rPh sb="3" eb="5">
      <t>ジュチュウ</t>
    </rPh>
    <phoneticPr fontId="3"/>
  </si>
  <si>
    <t>・</t>
    <phoneticPr fontId="3"/>
  </si>
  <si>
    <t>・品目ＣＤの発番：原紙ＣＤ＋印刷ＣＤ＋エンボスＣＤ</t>
    <rPh sb="1" eb="3">
      <t>ヒンモク</t>
    </rPh>
    <rPh sb="6" eb="8">
      <t>ハツバン</t>
    </rPh>
    <rPh sb="9" eb="11">
      <t>ゲンシ</t>
    </rPh>
    <rPh sb="14" eb="16">
      <t>インサツ</t>
    </rPh>
    <phoneticPr fontId="3"/>
  </si>
  <si>
    <t>　枝番１～３：*</t>
    <rPh sb="1" eb="3">
      <t>エダバン</t>
    </rPh>
    <phoneticPr fontId="3"/>
  </si>
  <si>
    <t>※マスタ連携時に巾と坪量を決めて、受注明細を更新する。</t>
    <rPh sb="4" eb="7">
      <t>レンケイジ</t>
    </rPh>
    <rPh sb="8" eb="9">
      <t>ハバ</t>
    </rPh>
    <rPh sb="10" eb="12">
      <t>ツボリョウ</t>
    </rPh>
    <rPh sb="13" eb="14">
      <t>キ</t>
    </rPh>
    <rPh sb="17" eb="19">
      <t>ジュチュウ</t>
    </rPh>
    <rPh sb="19" eb="21">
      <t>メイサイ</t>
    </rPh>
    <rPh sb="22" eb="24">
      <t>コウシン</t>
    </rPh>
    <phoneticPr fontId="3"/>
  </si>
  <si>
    <t>巻きMを自由入力する。</t>
    <rPh sb="0" eb="1">
      <t>マ</t>
    </rPh>
    <rPh sb="4" eb="6">
      <t>ジユウ</t>
    </rPh>
    <rPh sb="6" eb="8">
      <t>ニュウリョク</t>
    </rPh>
    <phoneticPr fontId="3"/>
  </si>
  <si>
    <t>※業務上の意味：巻取り原紙（原紙ロール）１本の長さ（M）</t>
    <rPh sb="1" eb="3">
      <t>ギョウム</t>
    </rPh>
    <rPh sb="5" eb="7">
      <t>イミ</t>
    </rPh>
    <rPh sb="8" eb="10">
      <t>マキト</t>
    </rPh>
    <rPh sb="11" eb="13">
      <t>ゲンシ</t>
    </rPh>
    <rPh sb="14" eb="16">
      <t>ゲンシ</t>
    </rPh>
    <rPh sb="21" eb="22">
      <t>ホン</t>
    </rPh>
    <rPh sb="23" eb="24">
      <t>ナガ</t>
    </rPh>
    <phoneticPr fontId="3"/>
  </si>
  <si>
    <t>　巻取り原紙を販売する時に入力される。販売単位：本、受注連携時に、巻きM×数量（本）＝原紙のM数</t>
    <rPh sb="1" eb="3">
      <t>マキト</t>
    </rPh>
    <rPh sb="4" eb="6">
      <t>ゲンシ</t>
    </rPh>
    <rPh sb="7" eb="9">
      <t>ハンバイ</t>
    </rPh>
    <rPh sb="11" eb="12">
      <t>トキ</t>
    </rPh>
    <rPh sb="13" eb="15">
      <t>ニュウリョク</t>
    </rPh>
    <rPh sb="19" eb="21">
      <t>ハンバイ</t>
    </rPh>
    <rPh sb="21" eb="23">
      <t>タンイ</t>
    </rPh>
    <rPh sb="24" eb="25">
      <t>ホン</t>
    </rPh>
    <rPh sb="26" eb="28">
      <t>ジュチュウ</t>
    </rPh>
    <rPh sb="28" eb="30">
      <t>レンケイ</t>
    </rPh>
    <rPh sb="30" eb="31">
      <t>ジ</t>
    </rPh>
    <rPh sb="33" eb="34">
      <t>マ</t>
    </rPh>
    <rPh sb="37" eb="39">
      <t>スウリョウ</t>
    </rPh>
    <rPh sb="40" eb="41">
      <t>ホン</t>
    </rPh>
    <rPh sb="43" eb="45">
      <t>ゲンシ</t>
    </rPh>
    <rPh sb="47" eb="48">
      <t>スウ</t>
    </rPh>
    <phoneticPr fontId="3"/>
  </si>
  <si>
    <t>※ここも詳しい制御は客先に確認してから決める</t>
    <rPh sb="4" eb="5">
      <t>クワ</t>
    </rPh>
    <rPh sb="7" eb="9">
      <t>セイギョ</t>
    </rPh>
    <rPh sb="10" eb="12">
      <t>キャクサキ</t>
    </rPh>
    <rPh sb="13" eb="15">
      <t>カクニン</t>
    </rPh>
    <rPh sb="19" eb="20">
      <t>キ</t>
    </rPh>
    <phoneticPr fontId="3"/>
  </si>
  <si>
    <t>原紙ＣＤ（表）を指定して工程入力が無くても、受注登録を可能にする。</t>
    <rPh sb="0" eb="2">
      <t>ゲンシ</t>
    </rPh>
    <rPh sb="5" eb="6">
      <t>オモテ</t>
    </rPh>
    <rPh sb="8" eb="10">
      <t>シテイ</t>
    </rPh>
    <rPh sb="12" eb="14">
      <t>コウテイ</t>
    </rPh>
    <rPh sb="14" eb="16">
      <t>ニュウリョク</t>
    </rPh>
    <rPh sb="17" eb="18">
      <t>ナ</t>
    </rPh>
    <rPh sb="22" eb="24">
      <t>ジュチュウ</t>
    </rPh>
    <rPh sb="24" eb="26">
      <t>トウロク</t>
    </rPh>
    <rPh sb="27" eb="29">
      <t>カノウ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</si>
</sst>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 "/>
    <numFmt numFmtId="177" formatCode="#,##0_ "/>
    <numFmt numFmtId="178" formatCode="0.0_ "/>
  </numFmts>
  <fonts count="60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sz val="11"/>
      <color rgb="FFFF0000"/>
      <name val="Meiryo UI"/>
      <family val="3"/>
      <charset val="128"/>
    </font>
    <font>
      <sz val="6"/>
      <name val="ＭＳ Ｐゴシック"/>
      <family val="2"/>
      <charset val="128"/>
    </font>
    <font>
      <sz val="8"/>
      <color theme="1"/>
      <name val="Meiryo UI"/>
      <family val="2"/>
      <charset val="128"/>
    </font>
    <font>
      <sz val="9"/>
      <name val="ＭＳ Ｐゴシック"/>
      <family val="3"/>
      <charset val="128"/>
    </font>
    <font>
      <b/>
      <sz val="11"/>
      <color theme="1"/>
      <name val="Meiryo UI"/>
      <family val="3"/>
      <charset val="128"/>
    </font>
    <font>
      <sz val="9"/>
      <name val="Meiryo UI"/>
      <family val="3"/>
      <charset val="128"/>
    </font>
    <font>
      <sz val="11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u/>
      <sz val="11"/>
      <color theme="10"/>
      <name val="Yu Gothic"/>
      <family val="2"/>
      <scheme val="minor"/>
    </font>
    <font>
      <sz val="10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0000FF"/>
      <name val="Meiryo UI"/>
      <family val="3"/>
      <charset val="128"/>
    </font>
    <font>
      <b/>
      <sz val="10"/>
      <color rgb="FFFFFF00"/>
      <name val="Meiryo UI"/>
      <family val="3"/>
      <charset val="128"/>
    </font>
    <font>
      <b/>
      <sz val="8"/>
      <name val="Meiryo UI"/>
      <family val="3"/>
      <charset val="128"/>
    </font>
    <font>
      <sz val="14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sz val="14"/>
      <color theme="1"/>
      <name val="Yu Gothic"/>
      <family val="2"/>
      <charset val="128"/>
      <scheme val="minor"/>
    </font>
    <font>
      <sz val="14"/>
      <name val="Meiryo UI"/>
      <family val="3"/>
      <charset val="128"/>
    </font>
    <font>
      <strike/>
      <sz val="14"/>
      <color theme="1"/>
      <name val="Meiryo UI"/>
      <family val="3"/>
      <charset val="128"/>
    </font>
    <font>
      <b/>
      <sz val="12"/>
      <name val="Meiryo UI"/>
      <family val="3"/>
      <charset val="128"/>
    </font>
    <font>
      <sz val="10"/>
      <color rgb="FF0000FF"/>
      <name val="Meiryo UI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rgb="FFFF00FF"/>
      <name val="Meiryo UI"/>
      <family val="3"/>
      <charset val="128"/>
    </font>
    <font>
      <u/>
      <sz val="11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8"/>
      <color rgb="FF0000FF"/>
      <name val="Meiryo UI"/>
      <family val="3"/>
      <charset val="128"/>
    </font>
    <font>
      <sz val="8"/>
      <color rgb="FFFF0000"/>
      <name val="Meiryo UI"/>
      <family val="3"/>
      <charset val="128"/>
    </font>
    <font>
      <sz val="11"/>
      <color theme="1"/>
      <name val="Yu Gothic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1"/>
      <name val="Meiryo UI"/>
      <family val="3"/>
      <charset val="128"/>
    </font>
    <font>
      <b/>
      <sz val="2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rgb="FF003399"/>
      <name val="Meiryo UI"/>
      <family val="3"/>
      <charset val="128"/>
    </font>
    <font>
      <sz val="9"/>
      <color rgb="FF0000FF"/>
      <name val="Meiryo UI"/>
      <family val="3"/>
      <charset val="128"/>
    </font>
    <font>
      <sz val="9"/>
      <color rgb="FFFFFFFF"/>
      <name val="Meiryo UI"/>
      <family val="3"/>
      <charset val="128"/>
    </font>
    <font>
      <sz val="8"/>
      <color rgb="FFFFFFFF"/>
      <name val="Meiryo UI"/>
      <family val="3"/>
      <charset val="128"/>
    </font>
    <font>
      <strike/>
      <sz val="9"/>
      <color rgb="FF0000FF"/>
      <name val="Meiryo UI"/>
      <family val="3"/>
      <charset val="128"/>
    </font>
    <font>
      <sz val="6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rgb="FFFF0066"/>
      <name val="Meiryo UI"/>
      <family val="3"/>
      <charset val="128"/>
    </font>
    <font>
      <sz val="9"/>
      <color theme="1"/>
      <name val="Meiryo UI"/>
      <family val="3"/>
      <charset val="128"/>
    </font>
    <font>
      <sz val="8"/>
      <color indexed="81"/>
      <name val="MS P ゴシック"/>
      <family val="3"/>
      <charset val="128"/>
    </font>
    <font>
      <sz val="12"/>
      <name val="メイリオ"/>
      <family val="3"/>
      <charset val="128"/>
    </font>
    <font>
      <sz val="11"/>
      <color rgb="FF0000FF"/>
      <name val="Meiryo UI"/>
      <family val="3"/>
      <charset val="128"/>
    </font>
    <font>
      <b/>
      <sz val="9"/>
      <color rgb="FF0000FF"/>
      <name val="Meiryo UI"/>
      <family val="3"/>
      <charset val="128"/>
    </font>
    <font>
      <b/>
      <sz val="11"/>
      <color rgb="FF0000FF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79995117038483843"/>
        <bgColor theme="0"/>
      </patternFill>
    </fill>
    <fill>
      <patternFill patternType="solid">
        <fgColor indexed="65"/>
        <bgColor rgb="FFFFFFFF"/>
      </patternFill>
    </fill>
    <fill>
      <patternFill patternType="solid">
        <fgColor rgb="FFFFCCFF"/>
        <bgColor theme="0"/>
      </patternFill>
    </fill>
    <fill>
      <patternFill patternType="solid">
        <fgColor rgb="FF339966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BFBFBF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DEF0D2"/>
        <bgColor indexed="64"/>
      </patternFill>
    </fill>
    <fill>
      <patternFill patternType="solid">
        <fgColor theme="4" tint="0.79998168889431442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thin">
        <color indexed="64"/>
      </top>
      <bottom style="dotted">
        <color indexed="64"/>
      </bottom>
      <diagonal/>
    </border>
    <border>
      <left/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indexed="64"/>
      </top>
      <bottom style="thin">
        <color indexed="64"/>
      </bottom>
      <diagonal/>
    </border>
    <border>
      <left/>
      <right style="thin">
        <color auto="1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thin">
        <color indexed="64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theme="0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tted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auto="1"/>
      </top>
      <bottom style="thin">
        <color theme="0" tint="-0.499984740745262"/>
      </bottom>
      <diagonal/>
    </border>
    <border>
      <left style="medium">
        <color rgb="FF339966"/>
      </left>
      <right/>
      <top style="medium">
        <color rgb="FF339966"/>
      </top>
      <bottom/>
      <diagonal/>
    </border>
    <border>
      <left/>
      <right style="thin">
        <color theme="0" tint="-0.34998626667073579"/>
      </right>
      <top style="medium">
        <color rgb="FF339966"/>
      </top>
      <bottom/>
      <diagonal/>
    </border>
    <border>
      <left style="thin">
        <color theme="0" tint="-0.34998626667073579"/>
      </left>
      <right/>
      <top style="medium">
        <color rgb="FF339966"/>
      </top>
      <bottom/>
      <diagonal/>
    </border>
    <border>
      <left/>
      <right/>
      <top style="medium">
        <color rgb="FF339966"/>
      </top>
      <bottom/>
      <diagonal/>
    </border>
    <border>
      <left/>
      <right/>
      <top style="medium">
        <color rgb="FF339966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rgb="FF339966"/>
      </top>
      <bottom style="thin">
        <color theme="0" tint="-0.34998626667073579"/>
      </bottom>
      <diagonal/>
    </border>
    <border>
      <left/>
      <right style="medium">
        <color rgb="FF339966"/>
      </right>
      <top style="medium">
        <color rgb="FF339966"/>
      </top>
      <bottom/>
      <diagonal/>
    </border>
    <border>
      <left style="medium">
        <color rgb="FF339966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339966"/>
      </right>
      <top style="thin">
        <color theme="0" tint="-0.34998626667073579"/>
      </top>
      <bottom/>
      <diagonal/>
    </border>
    <border>
      <left style="medium">
        <color rgb="FF339966"/>
      </left>
      <right/>
      <top/>
      <bottom style="medium">
        <color rgb="FF339966"/>
      </bottom>
      <diagonal/>
    </border>
    <border>
      <left/>
      <right style="thin">
        <color theme="0" tint="-0.34998626667073579"/>
      </right>
      <top/>
      <bottom style="medium">
        <color rgb="FF339966"/>
      </bottom>
      <diagonal/>
    </border>
    <border>
      <left style="thin">
        <color theme="0" tint="-0.34998626667073579"/>
      </left>
      <right/>
      <top/>
      <bottom style="medium">
        <color rgb="FF339966"/>
      </bottom>
      <diagonal/>
    </border>
    <border>
      <left/>
      <right/>
      <top/>
      <bottom style="medium">
        <color rgb="FF339966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339966"/>
      </bottom>
      <diagonal/>
    </border>
    <border>
      <left/>
      <right/>
      <top style="thin">
        <color theme="0" tint="-0.34998626667073579"/>
      </top>
      <bottom style="medium">
        <color rgb="FF339966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rgb="FF339966"/>
      </bottom>
      <diagonal/>
    </border>
    <border>
      <left/>
      <right style="medium">
        <color rgb="FF339966"/>
      </right>
      <top/>
      <bottom style="medium">
        <color rgb="FF339966"/>
      </bottom>
      <diagonal/>
    </border>
    <border>
      <left/>
      <right style="thin">
        <color theme="0" tint="-0.34998626667073579"/>
      </right>
      <top style="medium">
        <color rgb="FF339966"/>
      </top>
      <bottom style="thin">
        <color theme="0" tint="-0.34998626667073579"/>
      </bottom>
      <diagonal/>
    </border>
    <border>
      <left/>
      <right style="medium">
        <color rgb="FF339966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499984740745262"/>
      </bottom>
      <diagonal/>
    </border>
    <border>
      <left style="medium">
        <color rgb="FF339966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339966"/>
      </left>
      <right/>
      <top style="thin">
        <color theme="0" tint="-0.34998626667073579"/>
      </top>
      <bottom/>
      <diagonal/>
    </border>
    <border>
      <left/>
      <right style="medium">
        <color rgb="FF339966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339966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medium">
        <color rgb="FF339966"/>
      </bottom>
      <diagonal/>
    </border>
    <border>
      <left/>
      <right/>
      <top style="thin">
        <color theme="0" tint="-0.499984740745262"/>
      </top>
      <bottom style="medium">
        <color rgb="FF339966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medium">
        <color rgb="FF339966"/>
      </bottom>
      <diagonal/>
    </border>
    <border>
      <left/>
      <right style="thin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/>
      <top style="thin">
        <color theme="0" tint="-0.499984740745262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theme="0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4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7" fillId="0" borderId="0"/>
    <xf numFmtId="0" fontId="12" fillId="0" borderId="0">
      <alignment vertical="center"/>
    </xf>
    <xf numFmtId="0" fontId="7" fillId="0" borderId="0"/>
    <xf numFmtId="0" fontId="19" fillId="0" borderId="0" applyNumberFormat="0" applyFill="0" applyBorder="0" applyAlignment="0" applyProtection="0"/>
    <xf numFmtId="0" fontId="1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3" fillId="0" borderId="0"/>
    <xf numFmtId="0" fontId="13" fillId="0" borderId="0"/>
  </cellStyleXfs>
  <cellXfs count="1366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5" fillId="7" borderId="5" xfId="6" applyFont="1" applyFill="1" applyBorder="1" applyAlignment="1">
      <alignment vertical="center"/>
    </xf>
    <xf numFmtId="0" fontId="15" fillId="7" borderId="5" xfId="6" applyFont="1" applyFill="1" applyBorder="1" applyAlignment="1">
      <alignment horizontal="center" vertical="center"/>
    </xf>
    <xf numFmtId="0" fontId="15" fillId="7" borderId="5" xfId="6" applyFont="1" applyFill="1" applyBorder="1" applyAlignment="1">
      <alignment vertical="center" wrapText="1"/>
    </xf>
    <xf numFmtId="0" fontId="15" fillId="7" borderId="0" xfId="6" applyFont="1" applyFill="1" applyAlignment="1">
      <alignment vertical="center"/>
    </xf>
    <xf numFmtId="0" fontId="15" fillId="7" borderId="0" xfId="6" applyFont="1" applyFill="1" applyAlignment="1">
      <alignment horizontal="center" vertical="center"/>
    </xf>
    <xf numFmtId="0" fontId="15" fillId="7" borderId="0" xfId="6" applyFont="1" applyFill="1" applyAlignment="1">
      <alignment vertical="center" wrapText="1"/>
    </xf>
    <xf numFmtId="0" fontId="15" fillId="7" borderId="0" xfId="6" quotePrefix="1" applyFont="1" applyFill="1" applyAlignment="1">
      <alignment vertical="center"/>
    </xf>
    <xf numFmtId="49" fontId="16" fillId="0" borderId="1" xfId="1" applyNumberFormat="1" applyFont="1" applyBorder="1" applyAlignment="1">
      <alignment horizontal="left" vertical="center"/>
    </xf>
    <xf numFmtId="0" fontId="18" fillId="10" borderId="7" xfId="6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10" borderId="1" xfId="6" applyFont="1" applyFill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20" fillId="6" borderId="1" xfId="1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14" borderId="1" xfId="6" applyFont="1" applyFill="1" applyBorder="1" applyAlignment="1">
      <alignment horizontal="center" vertical="center" textRotation="255" wrapText="1"/>
    </xf>
    <xf numFmtId="0" fontId="25" fillId="14" borderId="6" xfId="6" applyFont="1" applyFill="1" applyBorder="1" applyAlignment="1">
      <alignment horizontal="center" vertical="center" wrapText="1"/>
    </xf>
    <xf numFmtId="0" fontId="17" fillId="12" borderId="1" xfId="6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6" fillId="7" borderId="1" xfId="6" applyFont="1" applyFill="1" applyBorder="1" applyAlignment="1">
      <alignment horizontal="center" vertical="center"/>
    </xf>
    <xf numFmtId="0" fontId="16" fillId="7" borderId="0" xfId="6" applyFont="1" applyFill="1" applyAlignment="1">
      <alignment horizontal="center" vertical="center"/>
    </xf>
    <xf numFmtId="0" fontId="16" fillId="7" borderId="1" xfId="6" applyFont="1" applyFill="1" applyBorder="1" applyAlignment="1">
      <alignment horizontal="center" vertical="center" wrapText="1"/>
    </xf>
    <xf numFmtId="0" fontId="16" fillId="8" borderId="6" xfId="6" applyFont="1" applyFill="1" applyBorder="1" applyAlignment="1">
      <alignment horizontal="center" vertical="center"/>
    </xf>
    <xf numFmtId="0" fontId="16" fillId="11" borderId="1" xfId="6" quotePrefix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6" fillId="7" borderId="16" xfId="6" applyFont="1" applyFill="1" applyBorder="1" applyAlignment="1">
      <alignment horizontal="center" vertical="center" wrapText="1"/>
    </xf>
    <xf numFmtId="0" fontId="16" fillId="7" borderId="17" xfId="6" applyFont="1" applyFill="1" applyBorder="1" applyAlignment="1">
      <alignment horizontal="center" vertical="center" wrapText="1"/>
    </xf>
    <xf numFmtId="0" fontId="16" fillId="7" borderId="16" xfId="6" applyFont="1" applyFill="1" applyBorder="1" applyAlignment="1">
      <alignment horizontal="center" vertical="center"/>
    </xf>
    <xf numFmtId="0" fontId="16" fillId="7" borderId="17" xfId="6" applyFont="1" applyFill="1" applyBorder="1" applyAlignment="1">
      <alignment horizontal="center" vertical="center"/>
    </xf>
    <xf numFmtId="0" fontId="16" fillId="7" borderId="18" xfId="6" applyFont="1" applyFill="1" applyBorder="1" applyAlignment="1">
      <alignment horizontal="center" vertical="center"/>
    </xf>
    <xf numFmtId="0" fontId="16" fillId="7" borderId="19" xfId="6" applyFont="1" applyFill="1" applyBorder="1" applyAlignment="1">
      <alignment horizontal="center" vertical="center"/>
    </xf>
    <xf numFmtId="0" fontId="16" fillId="7" borderId="20" xfId="6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16" fillId="7" borderId="22" xfId="6" applyFont="1" applyFill="1" applyBorder="1" applyAlignment="1">
      <alignment horizontal="center" vertical="center" wrapText="1"/>
    </xf>
    <xf numFmtId="0" fontId="16" fillId="7" borderId="22" xfId="6" applyFont="1" applyFill="1" applyBorder="1" applyAlignment="1">
      <alignment horizontal="center" vertical="center"/>
    </xf>
    <xf numFmtId="0" fontId="16" fillId="11" borderId="22" xfId="6" quotePrefix="1" applyFont="1" applyFill="1" applyBorder="1" applyAlignment="1">
      <alignment horizontal="center" vertical="center"/>
    </xf>
    <xf numFmtId="0" fontId="16" fillId="7" borderId="23" xfId="6" applyFont="1" applyFill="1" applyBorder="1" applyAlignment="1">
      <alignment horizontal="center" vertical="center"/>
    </xf>
    <xf numFmtId="0" fontId="16" fillId="11" borderId="17" xfId="6" quotePrefix="1" applyFont="1" applyFill="1" applyBorder="1" applyAlignment="1">
      <alignment horizontal="center" vertical="center"/>
    </xf>
    <xf numFmtId="0" fontId="16" fillId="11" borderId="16" xfId="6" quotePrefix="1" applyFont="1" applyFill="1" applyBorder="1" applyAlignment="1">
      <alignment horizontal="center" vertical="center"/>
    </xf>
    <xf numFmtId="0" fontId="16" fillId="11" borderId="20" xfId="6" quotePrefix="1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25" xfId="1" applyFont="1" applyBorder="1" applyAlignment="1">
      <alignment horizontal="center" vertical="center"/>
    </xf>
    <xf numFmtId="49" fontId="16" fillId="0" borderId="26" xfId="1" applyNumberFormat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49" fontId="16" fillId="0" borderId="19" xfId="1" applyNumberFormat="1" applyFont="1" applyBorder="1" applyAlignment="1">
      <alignment horizontal="left" vertical="center"/>
    </xf>
    <xf numFmtId="0" fontId="2" fillId="0" borderId="26" xfId="1" applyFont="1" applyBorder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26" fillId="0" borderId="0" xfId="1" applyFont="1" applyAlignment="1">
      <alignment vertical="center" wrapText="1"/>
    </xf>
    <xf numFmtId="0" fontId="27" fillId="0" borderId="0" xfId="4" applyFont="1" applyAlignment="1">
      <alignment vertical="center" wrapText="1"/>
    </xf>
    <xf numFmtId="0" fontId="28" fillId="0" borderId="0" xfId="1" applyFont="1" applyAlignment="1">
      <alignment vertical="center" wrapText="1"/>
    </xf>
    <xf numFmtId="0" fontId="26" fillId="0" borderId="1" xfId="1" applyFont="1" applyBorder="1" applyAlignment="1">
      <alignment vertical="center" wrapText="1"/>
    </xf>
    <xf numFmtId="0" fontId="26" fillId="5" borderId="1" xfId="1" applyFont="1" applyFill="1" applyBorder="1" applyAlignment="1">
      <alignment vertical="center" wrapText="1"/>
    </xf>
    <xf numFmtId="0" fontId="26" fillId="2" borderId="1" xfId="1" applyFont="1" applyFill="1" applyBorder="1" applyAlignment="1">
      <alignment horizontal="center" vertical="top" wrapText="1"/>
    </xf>
    <xf numFmtId="0" fontId="26" fillId="3" borderId="1" xfId="1" applyFont="1" applyFill="1" applyBorder="1" applyAlignment="1">
      <alignment vertical="top" wrapText="1"/>
    </xf>
    <xf numFmtId="0" fontId="26" fillId="0" borderId="0" xfId="1" applyFont="1" applyAlignment="1">
      <alignment vertical="top" wrapText="1"/>
    </xf>
    <xf numFmtId="0" fontId="27" fillId="0" borderId="0" xfId="4" applyFont="1" applyAlignment="1">
      <alignment vertical="top" wrapText="1"/>
    </xf>
    <xf numFmtId="0" fontId="28" fillId="0" borderId="0" xfId="1" applyFont="1" applyAlignment="1">
      <alignment vertical="top" wrapText="1"/>
    </xf>
    <xf numFmtId="49" fontId="26" fillId="0" borderId="1" xfId="3" applyNumberFormat="1" applyFont="1" applyBorder="1">
      <alignment vertical="center"/>
    </xf>
    <xf numFmtId="49" fontId="26" fillId="6" borderId="1" xfId="3" applyNumberFormat="1" applyFont="1" applyFill="1" applyBorder="1">
      <alignment vertical="center"/>
    </xf>
    <xf numFmtId="49" fontId="26" fillId="5" borderId="1" xfId="3" applyNumberFormat="1" applyFont="1" applyFill="1" applyBorder="1">
      <alignment vertical="center"/>
    </xf>
    <xf numFmtId="49" fontId="26" fillId="0" borderId="1" xfId="3" applyNumberFormat="1" applyFont="1" applyBorder="1" applyAlignment="1">
      <alignment vertical="center" wrapText="1"/>
    </xf>
    <xf numFmtId="49" fontId="26" fillId="6" borderId="1" xfId="3" applyNumberFormat="1" applyFont="1" applyFill="1" applyBorder="1" applyAlignment="1">
      <alignment vertical="center" wrapText="1"/>
    </xf>
    <xf numFmtId="0" fontId="26" fillId="4" borderId="1" xfId="1" quotePrefix="1" applyFont="1" applyFill="1" applyBorder="1" applyAlignment="1">
      <alignment vertical="center" wrapText="1"/>
    </xf>
    <xf numFmtId="49" fontId="26" fillId="5" borderId="1" xfId="3" applyNumberFormat="1" applyFont="1" applyFill="1" applyBorder="1" applyAlignment="1">
      <alignment vertical="center" wrapText="1"/>
    </xf>
    <xf numFmtId="49" fontId="27" fillId="0" borderId="1" xfId="3" applyNumberFormat="1" applyFont="1" applyBorder="1" applyAlignment="1">
      <alignment vertical="center" wrapText="1"/>
    </xf>
    <xf numFmtId="0" fontId="27" fillId="5" borderId="1" xfId="1" applyFont="1" applyFill="1" applyBorder="1" applyAlignment="1">
      <alignment vertical="center" wrapText="1"/>
    </xf>
    <xf numFmtId="49" fontId="27" fillId="5" borderId="1" xfId="3" applyNumberFormat="1" applyFont="1" applyFill="1" applyBorder="1" applyAlignment="1">
      <alignment vertical="center" wrapText="1"/>
    </xf>
    <xf numFmtId="0" fontId="26" fillId="0" borderId="1" xfId="3" applyFont="1" applyBorder="1" applyAlignment="1">
      <alignment vertical="center" wrapText="1"/>
    </xf>
    <xf numFmtId="0" fontId="26" fillId="5" borderId="1" xfId="3" applyFont="1" applyFill="1" applyBorder="1" applyAlignment="1">
      <alignment vertical="center" wrapText="1"/>
    </xf>
    <xf numFmtId="0" fontId="26" fillId="0" borderId="1" xfId="1" quotePrefix="1" applyFont="1" applyBorder="1">
      <alignment vertical="center"/>
    </xf>
    <xf numFmtId="0" fontId="26" fillId="0" borderId="2" xfId="1" applyFont="1" applyBorder="1" applyAlignment="1">
      <alignment vertical="center" wrapText="1"/>
    </xf>
    <xf numFmtId="0" fontId="26" fillId="0" borderId="1" xfId="1" applyFont="1" applyBorder="1" applyAlignment="1">
      <alignment horizontal="center" vertical="center" wrapText="1"/>
    </xf>
    <xf numFmtId="49" fontId="29" fillId="0" borderId="1" xfId="1" applyNumberFormat="1" applyFont="1" applyBorder="1" applyAlignment="1">
      <alignment vertical="center" wrapText="1"/>
    </xf>
    <xf numFmtId="49" fontId="26" fillId="0" borderId="1" xfId="3" applyNumberFormat="1" applyFont="1" applyBorder="1" applyAlignment="1">
      <alignment horizontal="center" vertical="center" wrapText="1"/>
    </xf>
    <xf numFmtId="49" fontId="26" fillId="16" borderId="1" xfId="3" applyNumberFormat="1" applyFont="1" applyFill="1" applyBorder="1" applyAlignment="1">
      <alignment horizontal="center" vertical="center" wrapText="1"/>
    </xf>
    <xf numFmtId="0" fontId="26" fillId="0" borderId="1" xfId="1" quotePrefix="1" applyFont="1" applyBorder="1" applyAlignment="1">
      <alignment vertical="center" wrapText="1"/>
    </xf>
    <xf numFmtId="0" fontId="26" fillId="4" borderId="1" xfId="1" applyFont="1" applyFill="1" applyBorder="1" applyAlignment="1">
      <alignment vertical="center" wrapText="1"/>
    </xf>
    <xf numFmtId="0" fontId="26" fillId="0" borderId="1" xfId="1" applyFont="1" applyBorder="1" applyAlignment="1">
      <alignment horizontal="right" vertical="center" wrapText="1"/>
    </xf>
    <xf numFmtId="0" fontId="26" fillId="6" borderId="1" xfId="1" applyFont="1" applyFill="1" applyBorder="1" applyAlignment="1">
      <alignment horizontal="center" vertical="center" wrapText="1"/>
    </xf>
    <xf numFmtId="0" fontId="26" fillId="6" borderId="1" xfId="1" applyFont="1" applyFill="1" applyBorder="1" applyAlignment="1">
      <alignment vertical="center" wrapText="1"/>
    </xf>
    <xf numFmtId="0" fontId="26" fillId="6" borderId="1" xfId="1" applyFont="1" applyFill="1" applyBorder="1" applyAlignment="1">
      <alignment horizontal="left" vertical="center" wrapText="1"/>
    </xf>
    <xf numFmtId="49" fontId="29" fillId="6" borderId="1" xfId="1" applyNumberFormat="1" applyFont="1" applyFill="1" applyBorder="1" applyAlignment="1">
      <alignment vertical="center" wrapText="1"/>
    </xf>
    <xf numFmtId="49" fontId="26" fillId="6" borderId="1" xfId="3" applyNumberFormat="1" applyFont="1" applyFill="1" applyBorder="1" applyAlignment="1">
      <alignment horizontal="center" vertical="center" wrapText="1"/>
    </xf>
    <xf numFmtId="0" fontId="26" fillId="16" borderId="1" xfId="1" applyFont="1" applyFill="1" applyBorder="1" applyAlignment="1">
      <alignment horizontal="center" vertical="center" wrapText="1"/>
    </xf>
    <xf numFmtId="49" fontId="29" fillId="6" borderId="1" xfId="1" applyNumberFormat="1" applyFont="1" applyFill="1" applyBorder="1" applyAlignment="1">
      <alignment horizontal="left" vertical="center" wrapText="1"/>
    </xf>
    <xf numFmtId="49" fontId="29" fillId="0" borderId="1" xfId="1" applyNumberFormat="1" applyFont="1" applyBorder="1" applyAlignment="1">
      <alignment horizontal="left" vertical="center" wrapText="1"/>
    </xf>
    <xf numFmtId="0" fontId="27" fillId="0" borderId="1" xfId="1" applyFont="1" applyBorder="1" applyAlignment="1">
      <alignment vertical="center" wrapText="1"/>
    </xf>
    <xf numFmtId="0" fontId="27" fillId="5" borderId="1" xfId="1" applyFont="1" applyFill="1" applyBorder="1" applyAlignment="1">
      <alignment horizontal="center" vertical="center" wrapText="1"/>
    </xf>
    <xf numFmtId="49" fontId="26" fillId="5" borderId="1" xfId="3" applyNumberFormat="1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5" borderId="1" xfId="3" applyFont="1" applyFill="1" applyBorder="1" applyAlignment="1">
      <alignment horizontal="center" vertical="center" wrapText="1"/>
    </xf>
    <xf numFmtId="0" fontId="30" fillId="0" borderId="1" xfId="1" applyFont="1" applyBorder="1" applyAlignment="1">
      <alignment vertical="center" wrapText="1"/>
    </xf>
    <xf numFmtId="0" fontId="26" fillId="5" borderId="1" xfId="1" quotePrefix="1" applyFont="1" applyFill="1" applyBorder="1" applyAlignment="1">
      <alignment vertical="center" wrapText="1"/>
    </xf>
    <xf numFmtId="49" fontId="29" fillId="0" borderId="1" xfId="5" applyNumberFormat="1" applyFont="1" applyBorder="1" applyAlignment="1">
      <alignment vertical="center" wrapText="1"/>
    </xf>
    <xf numFmtId="0" fontId="26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31" fillId="14" borderId="1" xfId="6" applyFont="1" applyFill="1" applyBorder="1" applyAlignment="1">
      <alignment horizontal="center" vertical="center" textRotation="255" wrapText="1"/>
    </xf>
    <xf numFmtId="0" fontId="23" fillId="12" borderId="1" xfId="6" applyFont="1" applyFill="1" applyBorder="1" applyAlignment="1">
      <alignment horizontal="center" vertical="center"/>
    </xf>
    <xf numFmtId="0" fontId="32" fillId="0" borderId="1" xfId="1" applyFont="1" applyBorder="1" applyAlignment="1">
      <alignment horizontal="center" vertical="center" wrapText="1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9" fillId="0" borderId="28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0" fontId="26" fillId="9" borderId="1" xfId="1" applyFont="1" applyFill="1" applyBorder="1" applyAlignment="1">
      <alignment horizontal="center" vertical="center" wrapText="1"/>
    </xf>
    <xf numFmtId="0" fontId="26" fillId="9" borderId="1" xfId="1" applyFont="1" applyFill="1" applyBorder="1" applyAlignment="1">
      <alignment vertical="center" wrapText="1"/>
    </xf>
    <xf numFmtId="49" fontId="29" fillId="9" borderId="1" xfId="1" applyNumberFormat="1" applyFont="1" applyFill="1" applyBorder="1" applyAlignment="1">
      <alignment horizontal="left" vertical="center" wrapText="1"/>
    </xf>
    <xf numFmtId="49" fontId="29" fillId="9" borderId="1" xfId="1" applyNumberFormat="1" applyFont="1" applyFill="1" applyBorder="1" applyAlignment="1">
      <alignment vertical="center" wrapText="1"/>
    </xf>
    <xf numFmtId="49" fontId="26" fillId="9" borderId="1" xfId="3" applyNumberFormat="1" applyFont="1" applyFill="1" applyBorder="1" applyAlignment="1">
      <alignment horizontal="center" vertical="center" wrapText="1"/>
    </xf>
    <xf numFmtId="49" fontId="26" fillId="9" borderId="1" xfId="3" applyNumberFormat="1" applyFont="1" applyFill="1" applyBorder="1" applyAlignment="1">
      <alignment vertical="center" wrapText="1"/>
    </xf>
    <xf numFmtId="0" fontId="26" fillId="9" borderId="1" xfId="3" applyFont="1" applyFill="1" applyBorder="1" applyAlignment="1">
      <alignment horizontal="center" vertical="center" wrapText="1"/>
    </xf>
    <xf numFmtId="0" fontId="26" fillId="9" borderId="1" xfId="3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49" fontId="16" fillId="0" borderId="28" xfId="0" applyNumberFormat="1" applyFont="1" applyBorder="1" applyAlignment="1">
      <alignment horizontal="center" vertical="center"/>
    </xf>
    <xf numFmtId="49" fontId="16" fillId="0" borderId="28" xfId="0" applyNumberFormat="1" applyFont="1" applyBorder="1" applyAlignment="1">
      <alignment vertical="center"/>
    </xf>
    <xf numFmtId="49" fontId="16" fillId="0" borderId="29" xfId="0" applyNumberFormat="1" applyFont="1" applyBorder="1" applyAlignment="1">
      <alignment horizontal="center" vertical="center"/>
    </xf>
    <xf numFmtId="49" fontId="16" fillId="0" borderId="29" xfId="0" applyNumberFormat="1" applyFont="1" applyBorder="1" applyAlignment="1">
      <alignment vertical="center"/>
    </xf>
    <xf numFmtId="49" fontId="16" fillId="0" borderId="32" xfId="0" applyNumberFormat="1" applyFont="1" applyBorder="1" applyAlignment="1">
      <alignment horizontal="center" vertical="center"/>
    </xf>
    <xf numFmtId="49" fontId="16" fillId="0" borderId="32" xfId="0" applyNumberFormat="1" applyFont="1" applyBorder="1" applyAlignment="1">
      <alignment vertical="center"/>
    </xf>
    <xf numFmtId="49" fontId="16" fillId="0" borderId="30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49" fontId="16" fillId="0" borderId="35" xfId="0" applyNumberFormat="1" applyFont="1" applyBorder="1" applyAlignment="1">
      <alignment horizontal="center" vertical="center"/>
    </xf>
    <xf numFmtId="49" fontId="16" fillId="0" borderId="35" xfId="0" applyNumberFormat="1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6" borderId="1" xfId="1" applyFont="1" applyFill="1" applyBorder="1">
      <alignment vertical="center"/>
    </xf>
    <xf numFmtId="0" fontId="2" fillId="0" borderId="26" xfId="1" applyFont="1" applyBorder="1">
      <alignment vertical="center"/>
    </xf>
    <xf numFmtId="49" fontId="16" fillId="0" borderId="27" xfId="1" applyNumberFormat="1" applyFont="1" applyBorder="1">
      <alignment vertical="center"/>
    </xf>
    <xf numFmtId="0" fontId="2" fillId="0" borderId="1" xfId="1" applyFont="1" applyBorder="1">
      <alignment vertical="center"/>
    </xf>
    <xf numFmtId="49" fontId="16" fillId="0" borderId="17" xfId="1" applyNumberFormat="1" applyFont="1" applyBorder="1">
      <alignment vertical="center"/>
    </xf>
    <xf numFmtId="0" fontId="10" fillId="0" borderId="1" xfId="1" applyFont="1" applyBorder="1">
      <alignment vertical="center"/>
    </xf>
    <xf numFmtId="0" fontId="2" fillId="0" borderId="19" xfId="1" applyFont="1" applyBorder="1">
      <alignment vertical="center"/>
    </xf>
    <xf numFmtId="49" fontId="16" fillId="0" borderId="20" xfId="1" applyNumberFormat="1" applyFont="1" applyBorder="1">
      <alignment vertical="center"/>
    </xf>
    <xf numFmtId="49" fontId="16" fillId="0" borderId="1" xfId="5" applyNumberFormat="1" applyFont="1" applyBorder="1">
      <alignment vertical="center"/>
    </xf>
    <xf numFmtId="49" fontId="16" fillId="0" borderId="17" xfId="5" applyNumberFormat="1" applyFont="1" applyBorder="1">
      <alignment vertical="center"/>
    </xf>
    <xf numFmtId="49" fontId="16" fillId="0" borderId="19" xfId="5" applyNumberFormat="1" applyFont="1" applyBorder="1">
      <alignment vertical="center"/>
    </xf>
    <xf numFmtId="49" fontId="16" fillId="0" borderId="20" xfId="5" applyNumberFormat="1" applyFont="1" applyBorder="1">
      <alignment vertical="center"/>
    </xf>
    <xf numFmtId="0" fontId="10" fillId="0" borderId="26" xfId="1" applyFont="1" applyBorder="1">
      <alignment vertical="center"/>
    </xf>
    <xf numFmtId="0" fontId="10" fillId="0" borderId="19" xfId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6" fillId="17" borderId="1" xfId="1" applyFont="1" applyFill="1" applyBorder="1" applyAlignment="1">
      <alignment vertical="center" wrapText="1"/>
    </xf>
    <xf numFmtId="49" fontId="26" fillId="17" borderId="1" xfId="3" applyNumberFormat="1" applyFont="1" applyFill="1" applyBorder="1" applyAlignment="1">
      <alignment vertical="center" wrapText="1"/>
    </xf>
    <xf numFmtId="0" fontId="2" fillId="0" borderId="4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6" fillId="17" borderId="1" xfId="3" applyFont="1" applyFill="1" applyBorder="1" applyAlignment="1">
      <alignment horizontal="center" vertical="center" wrapText="1"/>
    </xf>
    <xf numFmtId="0" fontId="26" fillId="17" borderId="1" xfId="3" applyFont="1" applyFill="1" applyBorder="1" applyAlignment="1">
      <alignment vertical="center" wrapText="1"/>
    </xf>
    <xf numFmtId="0" fontId="33" fillId="0" borderId="0" xfId="0" applyFont="1" applyAlignment="1">
      <alignment vertical="center"/>
    </xf>
    <xf numFmtId="0" fontId="2" fillId="9" borderId="6" xfId="0" applyFont="1" applyFill="1" applyBorder="1" applyAlignment="1">
      <alignment horizontal="centerContinuous" vertical="center"/>
    </xf>
    <xf numFmtId="49" fontId="2" fillId="6" borderId="8" xfId="3" applyNumberFormat="1" applyFont="1" applyFill="1" applyBorder="1" applyAlignment="1">
      <alignment horizontal="centerContinuous" vertical="center" wrapText="1"/>
    </xf>
    <xf numFmtId="0" fontId="2" fillId="9" borderId="36" xfId="0" applyFont="1" applyFill="1" applyBorder="1" applyAlignment="1">
      <alignment horizontal="centerContinuous" vertical="center"/>
    </xf>
    <xf numFmtId="49" fontId="2" fillId="6" borderId="37" xfId="3" applyNumberFormat="1" applyFont="1" applyFill="1" applyBorder="1" applyAlignment="1">
      <alignment horizontal="centerContinuous" vertical="center" wrapText="1"/>
    </xf>
    <xf numFmtId="0" fontId="2" fillId="9" borderId="38" xfId="0" applyFont="1" applyFill="1" applyBorder="1" applyAlignment="1">
      <alignment horizontal="centerContinuous" vertical="center"/>
    </xf>
    <xf numFmtId="49" fontId="2" fillId="6" borderId="39" xfId="3" applyNumberFormat="1" applyFont="1" applyFill="1" applyBorder="1" applyAlignment="1">
      <alignment horizontal="centerContinuous" vertical="center" wrapText="1"/>
    </xf>
    <xf numFmtId="0" fontId="2" fillId="9" borderId="44" xfId="0" applyFont="1" applyFill="1" applyBorder="1" applyAlignment="1">
      <alignment horizontal="centerContinuous" vertical="center"/>
    </xf>
    <xf numFmtId="49" fontId="2" fillId="6" borderId="45" xfId="3" applyNumberFormat="1" applyFont="1" applyFill="1" applyBorder="1" applyAlignment="1">
      <alignment horizontal="centerContinuous" vertical="center" wrapText="1"/>
    </xf>
    <xf numFmtId="0" fontId="2" fillId="9" borderId="40" xfId="0" applyFont="1" applyFill="1" applyBorder="1" applyAlignment="1">
      <alignment horizontal="centerContinuous" vertical="center"/>
    </xf>
    <xf numFmtId="49" fontId="2" fillId="6" borderId="41" xfId="3" applyNumberFormat="1" applyFont="1" applyFill="1" applyBorder="1" applyAlignment="1">
      <alignment horizontal="centerContinuous" vertical="center" wrapText="1"/>
    </xf>
    <xf numFmtId="0" fontId="2" fillId="9" borderId="42" xfId="0" applyFont="1" applyFill="1" applyBorder="1" applyAlignment="1">
      <alignment horizontal="centerContinuous" vertical="center"/>
    </xf>
    <xf numFmtId="49" fontId="2" fillId="6" borderId="43" xfId="3" applyNumberFormat="1" applyFont="1" applyFill="1" applyBorder="1" applyAlignment="1">
      <alignment horizontal="centerContinuous" vertical="center" wrapText="1"/>
    </xf>
    <xf numFmtId="0" fontId="2" fillId="0" borderId="4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49" fontId="34" fillId="0" borderId="28" xfId="3" applyNumberFormat="1" applyFont="1" applyBorder="1" applyAlignment="1">
      <alignment horizontal="center" vertical="center" wrapText="1"/>
    </xf>
    <xf numFmtId="49" fontId="34" fillId="0" borderId="29" xfId="3" applyNumberFormat="1" applyFont="1" applyBorder="1" applyAlignment="1">
      <alignment horizontal="center" vertical="center" wrapText="1"/>
    </xf>
    <xf numFmtId="49" fontId="34" fillId="0" borderId="35" xfId="3" applyNumberFormat="1" applyFont="1" applyBorder="1" applyAlignment="1">
      <alignment horizontal="center" vertical="center" wrapText="1"/>
    </xf>
    <xf numFmtId="49" fontId="34" fillId="0" borderId="32" xfId="3" applyNumberFormat="1" applyFont="1" applyBorder="1" applyAlignment="1">
      <alignment horizontal="center" vertical="center" wrapText="1"/>
    </xf>
    <xf numFmtId="0" fontId="26" fillId="18" borderId="1" xfId="1" applyFont="1" applyFill="1" applyBorder="1" applyAlignment="1">
      <alignment vertical="center" wrapText="1"/>
    </xf>
    <xf numFmtId="49" fontId="26" fillId="18" borderId="1" xfId="3" applyNumberFormat="1" applyFont="1" applyFill="1" applyBorder="1" applyAlignment="1">
      <alignment vertical="center" wrapText="1"/>
    </xf>
    <xf numFmtId="0" fontId="26" fillId="18" borderId="1" xfId="3" applyFont="1" applyFill="1" applyBorder="1" applyAlignment="1">
      <alignment horizontal="center" vertical="center" wrapText="1"/>
    </xf>
    <xf numFmtId="0" fontId="26" fillId="18" borderId="1" xfId="3" applyFont="1" applyFill="1" applyBorder="1" applyAlignment="1">
      <alignment vertical="center" wrapText="1"/>
    </xf>
    <xf numFmtId="49" fontId="26" fillId="19" borderId="1" xfId="3" applyNumberFormat="1" applyFont="1" applyFill="1" applyBorder="1" applyAlignment="1">
      <alignment vertical="center" wrapText="1"/>
    </xf>
    <xf numFmtId="49" fontId="26" fillId="20" borderId="1" xfId="3" applyNumberFormat="1" applyFont="1" applyFill="1" applyBorder="1" applyAlignment="1">
      <alignment vertical="center" wrapText="1"/>
    </xf>
    <xf numFmtId="49" fontId="16" fillId="21" borderId="35" xfId="0" applyNumberFormat="1" applyFont="1" applyFill="1" applyBorder="1" applyAlignment="1">
      <alignment horizontal="center" vertical="center"/>
    </xf>
    <xf numFmtId="49" fontId="16" fillId="21" borderId="35" xfId="0" applyNumberFormat="1" applyFont="1" applyFill="1" applyBorder="1" applyAlignment="1">
      <alignment vertical="center"/>
    </xf>
    <xf numFmtId="0" fontId="2" fillId="21" borderId="32" xfId="0" applyFont="1" applyFill="1" applyBorder="1" applyAlignment="1">
      <alignment horizontal="center" vertical="center"/>
    </xf>
    <xf numFmtId="0" fontId="2" fillId="21" borderId="44" xfId="0" applyFont="1" applyFill="1" applyBorder="1" applyAlignment="1">
      <alignment horizontal="centerContinuous" vertical="center"/>
    </xf>
    <xf numFmtId="49" fontId="2" fillId="21" borderId="45" xfId="3" applyNumberFormat="1" applyFont="1" applyFill="1" applyBorder="1" applyAlignment="1">
      <alignment horizontal="centerContinuous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6" fillId="17" borderId="1" xfId="1" applyFont="1" applyFill="1" applyBorder="1">
      <alignment vertical="center"/>
    </xf>
    <xf numFmtId="0" fontId="26" fillId="18" borderId="1" xfId="1" applyFont="1" applyFill="1" applyBorder="1">
      <alignment vertical="center"/>
    </xf>
    <xf numFmtId="0" fontId="2" fillId="9" borderId="36" xfId="0" applyFont="1" applyFill="1" applyBorder="1" applyAlignment="1">
      <alignment horizontal="centerContinuous" vertical="center" wrapText="1"/>
    </xf>
    <xf numFmtId="0" fontId="2" fillId="9" borderId="38" xfId="0" applyFont="1" applyFill="1" applyBorder="1" applyAlignment="1">
      <alignment horizontal="centerContinuous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9" borderId="44" xfId="0" applyFont="1" applyFill="1" applyBorder="1" applyAlignment="1">
      <alignment horizontal="centerContinuous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49" fontId="26" fillId="9" borderId="1" xfId="3" applyNumberFormat="1" applyFont="1" applyFill="1" applyBorder="1">
      <alignment vertical="center"/>
    </xf>
    <xf numFmtId="0" fontId="2" fillId="0" borderId="0" xfId="0" applyFont="1"/>
    <xf numFmtId="0" fontId="26" fillId="21" borderId="1" xfId="1" applyFont="1" applyFill="1" applyBorder="1">
      <alignment vertical="center"/>
    </xf>
    <xf numFmtId="49" fontId="26" fillId="21" borderId="1" xfId="3" applyNumberFormat="1" applyFont="1" applyFill="1" applyBorder="1">
      <alignment vertical="center"/>
    </xf>
    <xf numFmtId="49" fontId="26" fillId="2" borderId="2" xfId="3" applyNumberFormat="1" applyFont="1" applyFill="1" applyBorder="1">
      <alignment vertical="center"/>
    </xf>
    <xf numFmtId="0" fontId="2" fillId="0" borderId="0" xfId="0" applyFont="1" applyAlignment="1">
      <alignment horizontal="center"/>
    </xf>
    <xf numFmtId="0" fontId="0" fillId="21" borderId="0" xfId="0" applyFill="1"/>
    <xf numFmtId="0" fontId="2" fillId="21" borderId="0" xfId="0" applyFont="1" applyFill="1" applyAlignment="1">
      <alignment horizontal="center"/>
    </xf>
    <xf numFmtId="0" fontId="2" fillId="21" borderId="0" xfId="0" applyFont="1" applyFill="1"/>
    <xf numFmtId="49" fontId="26" fillId="2" borderId="4" xfId="3" applyNumberFormat="1" applyFont="1" applyFill="1" applyBorder="1">
      <alignment vertical="center"/>
    </xf>
    <xf numFmtId="0" fontId="26" fillId="9" borderId="46" xfId="1" applyFont="1" applyFill="1" applyBorder="1" applyAlignment="1">
      <alignment horizontal="center" vertical="center"/>
    </xf>
    <xf numFmtId="0" fontId="26" fillId="9" borderId="47" xfId="1" applyFont="1" applyFill="1" applyBorder="1">
      <alignment vertical="center"/>
    </xf>
    <xf numFmtId="49" fontId="29" fillId="9" borderId="47" xfId="1" applyNumberFormat="1" applyFont="1" applyFill="1" applyBorder="1" applyAlignment="1">
      <alignment horizontal="left" vertical="center"/>
    </xf>
    <xf numFmtId="49" fontId="29" fillId="9" borderId="47" xfId="1" applyNumberFormat="1" applyFont="1" applyFill="1" applyBorder="1">
      <alignment vertical="center"/>
    </xf>
    <xf numFmtId="49" fontId="26" fillId="9" borderId="47" xfId="3" applyNumberFormat="1" applyFont="1" applyFill="1" applyBorder="1" applyAlignment="1">
      <alignment horizontal="center" vertical="center"/>
    </xf>
    <xf numFmtId="49" fontId="26" fillId="9" borderId="47" xfId="3" applyNumberFormat="1" applyFont="1" applyFill="1" applyBorder="1">
      <alignment vertical="center"/>
    </xf>
    <xf numFmtId="49" fontId="26" fillId="9" borderId="48" xfId="3" applyNumberFormat="1" applyFont="1" applyFill="1" applyBorder="1">
      <alignment vertical="center"/>
    </xf>
    <xf numFmtId="0" fontId="26" fillId="21" borderId="49" xfId="1" applyFont="1" applyFill="1" applyBorder="1" applyAlignment="1">
      <alignment horizontal="center" vertical="center"/>
    </xf>
    <xf numFmtId="0" fontId="26" fillId="21" borderId="29" xfId="1" applyFont="1" applyFill="1" applyBorder="1">
      <alignment vertical="center"/>
    </xf>
    <xf numFmtId="49" fontId="29" fillId="21" borderId="29" xfId="1" applyNumberFormat="1" applyFont="1" applyFill="1" applyBorder="1" applyAlignment="1">
      <alignment horizontal="left" vertical="center"/>
    </xf>
    <xf numFmtId="49" fontId="29" fillId="21" borderId="29" xfId="1" applyNumberFormat="1" applyFont="1" applyFill="1" applyBorder="1">
      <alignment vertical="center"/>
    </xf>
    <xf numFmtId="49" fontId="26" fillId="21" borderId="29" xfId="3" applyNumberFormat="1" applyFont="1" applyFill="1" applyBorder="1" applyAlignment="1">
      <alignment horizontal="center" vertical="center"/>
    </xf>
    <xf numFmtId="49" fontId="26" fillId="21" borderId="29" xfId="3" applyNumberFormat="1" applyFont="1" applyFill="1" applyBorder="1">
      <alignment vertical="center"/>
    </xf>
    <xf numFmtId="49" fontId="26" fillId="21" borderId="50" xfId="3" applyNumberFormat="1" applyFont="1" applyFill="1" applyBorder="1">
      <alignment vertical="center"/>
    </xf>
    <xf numFmtId="0" fontId="26" fillId="9" borderId="49" xfId="1" applyFont="1" applyFill="1" applyBorder="1" applyAlignment="1">
      <alignment horizontal="center" vertical="center"/>
    </xf>
    <xf numFmtId="0" fontId="26" fillId="9" borderId="29" xfId="1" applyFont="1" applyFill="1" applyBorder="1">
      <alignment vertical="center"/>
    </xf>
    <xf numFmtId="49" fontId="29" fillId="9" borderId="29" xfId="1" applyNumberFormat="1" applyFont="1" applyFill="1" applyBorder="1" applyAlignment="1">
      <alignment horizontal="left" vertical="center"/>
    </xf>
    <xf numFmtId="49" fontId="29" fillId="9" borderId="29" xfId="1" applyNumberFormat="1" applyFont="1" applyFill="1" applyBorder="1">
      <alignment vertical="center"/>
    </xf>
    <xf numFmtId="49" fontId="26" fillId="9" borderId="29" xfId="3" applyNumberFormat="1" applyFont="1" applyFill="1" applyBorder="1" applyAlignment="1">
      <alignment horizontal="center" vertical="center"/>
    </xf>
    <xf numFmtId="49" fontId="26" fillId="9" borderId="29" xfId="3" applyNumberFormat="1" applyFont="1" applyFill="1" applyBorder="1">
      <alignment vertical="center"/>
    </xf>
    <xf numFmtId="49" fontId="26" fillId="9" borderId="50" xfId="3" applyNumberFormat="1" applyFont="1" applyFill="1" applyBorder="1">
      <alignment vertical="center"/>
    </xf>
    <xf numFmtId="0" fontId="26" fillId="9" borderId="29" xfId="3" applyFont="1" applyFill="1" applyBorder="1" applyAlignment="1">
      <alignment horizontal="center" vertical="center"/>
    </xf>
    <xf numFmtId="0" fontId="26" fillId="9" borderId="29" xfId="3" applyFont="1" applyFill="1" applyBorder="1">
      <alignment vertical="center"/>
    </xf>
    <xf numFmtId="0" fontId="26" fillId="21" borderId="29" xfId="3" applyFont="1" applyFill="1" applyBorder="1" applyAlignment="1">
      <alignment horizontal="center" vertical="center"/>
    </xf>
    <xf numFmtId="0" fontId="26" fillId="21" borderId="29" xfId="3" applyFont="1" applyFill="1" applyBorder="1">
      <alignment vertical="center"/>
    </xf>
    <xf numFmtId="0" fontId="26" fillId="6" borderId="49" xfId="1" applyFont="1" applyFill="1" applyBorder="1" applyAlignment="1">
      <alignment horizontal="center" vertical="center"/>
    </xf>
    <xf numFmtId="0" fontId="26" fillId="6" borderId="29" xfId="1" applyFont="1" applyFill="1" applyBorder="1">
      <alignment vertical="center"/>
    </xf>
    <xf numFmtId="0" fontId="26" fillId="6" borderId="29" xfId="1" applyFont="1" applyFill="1" applyBorder="1" applyAlignment="1">
      <alignment horizontal="left" vertical="center"/>
    </xf>
    <xf numFmtId="49" fontId="29" fillId="6" borderId="29" xfId="1" applyNumberFormat="1" applyFont="1" applyFill="1" applyBorder="1">
      <alignment vertical="center"/>
    </xf>
    <xf numFmtId="49" fontId="26" fillId="6" borderId="29" xfId="3" applyNumberFormat="1" applyFont="1" applyFill="1" applyBorder="1" applyAlignment="1">
      <alignment horizontal="center" vertical="center"/>
    </xf>
    <xf numFmtId="49" fontId="26" fillId="6" borderId="29" xfId="3" applyNumberFormat="1" applyFont="1" applyFill="1" applyBorder="1">
      <alignment vertical="center"/>
    </xf>
    <xf numFmtId="49" fontId="26" fillId="6" borderId="50" xfId="3" applyNumberFormat="1" applyFont="1" applyFill="1" applyBorder="1">
      <alignment vertical="center"/>
    </xf>
    <xf numFmtId="0" fontId="26" fillId="21" borderId="29" xfId="1" applyFont="1" applyFill="1" applyBorder="1" applyAlignment="1">
      <alignment horizontal="left" vertical="center"/>
    </xf>
    <xf numFmtId="49" fontId="27" fillId="5" borderId="29" xfId="3" applyNumberFormat="1" applyFont="1" applyFill="1" applyBorder="1">
      <alignment vertical="center"/>
    </xf>
    <xf numFmtId="0" fontId="27" fillId="5" borderId="29" xfId="1" applyFont="1" applyFill="1" applyBorder="1">
      <alignment vertical="center"/>
    </xf>
    <xf numFmtId="49" fontId="27" fillId="5" borderId="50" xfId="3" applyNumberFormat="1" applyFont="1" applyFill="1" applyBorder="1">
      <alignment vertical="center"/>
    </xf>
    <xf numFmtId="49" fontId="27" fillId="21" borderId="29" xfId="3" applyNumberFormat="1" applyFont="1" applyFill="1" applyBorder="1">
      <alignment vertical="center"/>
    </xf>
    <xf numFmtId="0" fontId="27" fillId="21" borderId="29" xfId="1" applyFont="1" applyFill="1" applyBorder="1">
      <alignment vertical="center"/>
    </xf>
    <xf numFmtId="49" fontId="27" fillId="21" borderId="50" xfId="3" applyNumberFormat="1" applyFont="1" applyFill="1" applyBorder="1">
      <alignment vertical="center"/>
    </xf>
    <xf numFmtId="49" fontId="29" fillId="6" borderId="29" xfId="1" applyNumberFormat="1" applyFont="1" applyFill="1" applyBorder="1" applyAlignment="1">
      <alignment horizontal="left" vertical="center"/>
    </xf>
    <xf numFmtId="49" fontId="26" fillId="19" borderId="29" xfId="3" applyNumberFormat="1" applyFont="1" applyFill="1" applyBorder="1">
      <alignment vertical="center"/>
    </xf>
    <xf numFmtId="0" fontId="26" fillId="0" borderId="49" xfId="1" applyFont="1" applyBorder="1" applyAlignment="1">
      <alignment horizontal="center" vertical="center"/>
    </xf>
    <xf numFmtId="0" fontId="26" fillId="0" borderId="29" xfId="1" applyFont="1" applyBorder="1">
      <alignment vertical="center"/>
    </xf>
    <xf numFmtId="49" fontId="29" fillId="0" borderId="29" xfId="5" applyNumberFormat="1" applyFont="1" applyBorder="1">
      <alignment vertical="center"/>
    </xf>
    <xf numFmtId="0" fontId="26" fillId="0" borderId="29" xfId="3" applyFont="1" applyBorder="1" applyAlignment="1">
      <alignment horizontal="center" vertical="center"/>
    </xf>
    <xf numFmtId="0" fontId="26" fillId="0" borderId="29" xfId="3" applyFont="1" applyBorder="1">
      <alignment vertical="center"/>
    </xf>
    <xf numFmtId="49" fontId="27" fillId="0" borderId="29" xfId="3" applyNumberFormat="1" applyFont="1" applyBorder="1">
      <alignment vertical="center"/>
    </xf>
    <xf numFmtId="0" fontId="27" fillId="0" borderId="29" xfId="1" applyFont="1" applyBorder="1">
      <alignment vertical="center"/>
    </xf>
    <xf numFmtId="49" fontId="29" fillId="0" borderId="29" xfId="1" applyNumberFormat="1" applyFont="1" applyBorder="1" applyAlignment="1">
      <alignment horizontal="left" vertical="center"/>
    </xf>
    <xf numFmtId="49" fontId="29" fillId="0" borderId="29" xfId="1" applyNumberFormat="1" applyFont="1" applyBorder="1">
      <alignment vertical="center"/>
    </xf>
    <xf numFmtId="49" fontId="26" fillId="0" borderId="29" xfId="3" applyNumberFormat="1" applyFont="1" applyBorder="1">
      <alignment vertical="center"/>
    </xf>
    <xf numFmtId="49" fontId="26" fillId="0" borderId="50" xfId="3" applyNumberFormat="1" applyFont="1" applyBorder="1">
      <alignment vertical="center"/>
    </xf>
    <xf numFmtId="0" fontId="26" fillId="17" borderId="29" xfId="3" applyFont="1" applyFill="1" applyBorder="1" applyAlignment="1">
      <alignment horizontal="center" vertical="center"/>
    </xf>
    <xf numFmtId="0" fontId="26" fillId="17" borderId="29" xfId="3" applyFont="1" applyFill="1" applyBorder="1">
      <alignment vertical="center"/>
    </xf>
    <xf numFmtId="49" fontId="26" fillId="20" borderId="29" xfId="3" applyNumberFormat="1" applyFont="1" applyFill="1" applyBorder="1">
      <alignment vertical="center"/>
    </xf>
    <xf numFmtId="49" fontId="26" fillId="17" borderId="29" xfId="3" applyNumberFormat="1" applyFont="1" applyFill="1" applyBorder="1">
      <alignment vertical="center"/>
    </xf>
    <xf numFmtId="49" fontId="26" fillId="17" borderId="50" xfId="3" applyNumberFormat="1" applyFont="1" applyFill="1" applyBorder="1">
      <alignment vertical="center"/>
    </xf>
    <xf numFmtId="0" fontId="26" fillId="18" borderId="29" xfId="3" applyFont="1" applyFill="1" applyBorder="1" applyAlignment="1">
      <alignment horizontal="center" vertical="center"/>
    </xf>
    <xf numFmtId="0" fontId="26" fillId="18" borderId="29" xfId="3" applyFont="1" applyFill="1" applyBorder="1">
      <alignment vertical="center"/>
    </xf>
    <xf numFmtId="49" fontId="26" fillId="18" borderId="29" xfId="3" applyNumberFormat="1" applyFont="1" applyFill="1" applyBorder="1">
      <alignment vertical="center"/>
    </xf>
    <xf numFmtId="0" fontId="26" fillId="18" borderId="50" xfId="1" applyFont="1" applyFill="1" applyBorder="1">
      <alignment vertical="center"/>
    </xf>
    <xf numFmtId="0" fontId="26" fillId="21" borderId="50" xfId="1" applyFont="1" applyFill="1" applyBorder="1">
      <alignment vertical="center"/>
    </xf>
    <xf numFmtId="0" fontId="26" fillId="21" borderId="51" xfId="1" applyFont="1" applyFill="1" applyBorder="1" applyAlignment="1">
      <alignment horizontal="center" vertical="center"/>
    </xf>
    <xf numFmtId="0" fontId="27" fillId="21" borderId="52" xfId="1" applyFont="1" applyFill="1" applyBorder="1">
      <alignment vertical="center"/>
    </xf>
    <xf numFmtId="49" fontId="29" fillId="21" borderId="52" xfId="1" applyNumberFormat="1" applyFont="1" applyFill="1" applyBorder="1" applyAlignment="1">
      <alignment horizontal="left" vertical="center"/>
    </xf>
    <xf numFmtId="49" fontId="29" fillId="21" borderId="52" xfId="1" applyNumberFormat="1" applyFont="1" applyFill="1" applyBorder="1">
      <alignment vertical="center"/>
    </xf>
    <xf numFmtId="0" fontId="26" fillId="21" borderId="52" xfId="3" applyFont="1" applyFill="1" applyBorder="1" applyAlignment="1">
      <alignment horizontal="center" vertical="center"/>
    </xf>
    <xf numFmtId="0" fontId="26" fillId="21" borderId="52" xfId="3" applyFont="1" applyFill="1" applyBorder="1">
      <alignment vertical="center"/>
    </xf>
    <xf numFmtId="49" fontId="26" fillId="21" borderId="52" xfId="3" applyNumberFormat="1" applyFont="1" applyFill="1" applyBorder="1">
      <alignment vertical="center"/>
    </xf>
    <xf numFmtId="0" fontId="26" fillId="21" borderId="52" xfId="1" applyFont="1" applyFill="1" applyBorder="1">
      <alignment vertical="center"/>
    </xf>
    <xf numFmtId="49" fontId="26" fillId="21" borderId="53" xfId="3" applyNumberFormat="1" applyFont="1" applyFill="1" applyBorder="1">
      <alignment vertical="center"/>
    </xf>
    <xf numFmtId="0" fontId="26" fillId="6" borderId="46" xfId="1" applyFont="1" applyFill="1" applyBorder="1" applyAlignment="1">
      <alignment horizontal="center" vertical="center"/>
    </xf>
    <xf numFmtId="0" fontId="26" fillId="6" borderId="47" xfId="1" applyFont="1" applyFill="1" applyBorder="1">
      <alignment vertical="center"/>
    </xf>
    <xf numFmtId="0" fontId="26" fillId="6" borderId="47" xfId="1" applyFont="1" applyFill="1" applyBorder="1" applyAlignment="1">
      <alignment horizontal="left" vertical="center"/>
    </xf>
    <xf numFmtId="49" fontId="29" fillId="6" borderId="47" xfId="1" applyNumberFormat="1" applyFont="1" applyFill="1" applyBorder="1">
      <alignment vertical="center"/>
    </xf>
    <xf numFmtId="49" fontId="26" fillId="6" borderId="47" xfId="3" applyNumberFormat="1" applyFont="1" applyFill="1" applyBorder="1" applyAlignment="1">
      <alignment horizontal="center" vertical="center"/>
    </xf>
    <xf numFmtId="49" fontId="26" fillId="6" borderId="47" xfId="3" applyNumberFormat="1" applyFont="1" applyFill="1" applyBorder="1">
      <alignment vertical="center"/>
    </xf>
    <xf numFmtId="49" fontId="26" fillId="6" borderId="48" xfId="3" applyNumberFormat="1" applyFont="1" applyFill="1" applyBorder="1">
      <alignment vertical="center"/>
    </xf>
    <xf numFmtId="49" fontId="26" fillId="19" borderId="47" xfId="3" applyNumberFormat="1" applyFont="1" applyFill="1" applyBorder="1">
      <alignment vertical="center"/>
    </xf>
    <xf numFmtId="49" fontId="29" fillId="6" borderId="47" xfId="1" applyNumberFormat="1" applyFont="1" applyFill="1" applyBorder="1" applyAlignment="1">
      <alignment horizontal="left" vertical="center"/>
    </xf>
    <xf numFmtId="49" fontId="27" fillId="5" borderId="47" xfId="3" applyNumberFormat="1" applyFont="1" applyFill="1" applyBorder="1">
      <alignment vertical="center"/>
    </xf>
    <xf numFmtId="0" fontId="27" fillId="5" borderId="47" xfId="1" applyFont="1" applyFill="1" applyBorder="1">
      <alignment vertical="center"/>
    </xf>
    <xf numFmtId="49" fontId="27" fillId="5" borderId="48" xfId="3" applyNumberFormat="1" applyFont="1" applyFill="1" applyBorder="1">
      <alignment vertical="center"/>
    </xf>
    <xf numFmtId="49" fontId="26" fillId="21" borderId="52" xfId="3" applyNumberFormat="1" applyFont="1" applyFill="1" applyBorder="1" applyAlignment="1">
      <alignment horizontal="center" vertical="center"/>
    </xf>
    <xf numFmtId="49" fontId="27" fillId="21" borderId="52" xfId="3" applyNumberFormat="1" applyFont="1" applyFill="1" applyBorder="1">
      <alignment vertical="center"/>
    </xf>
    <xf numFmtId="49" fontId="27" fillId="21" borderId="53" xfId="3" applyNumberFormat="1" applyFont="1" applyFill="1" applyBorder="1">
      <alignment vertical="center"/>
    </xf>
    <xf numFmtId="0" fontId="26" fillId="21" borderId="52" xfId="1" applyFont="1" applyFill="1" applyBorder="1" applyAlignment="1">
      <alignment horizontal="left" vertical="center"/>
    </xf>
    <xf numFmtId="0" fontId="0" fillId="0" borderId="14" xfId="0" applyBorder="1"/>
    <xf numFmtId="0" fontId="18" fillId="0" borderId="1" xfId="6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0" fontId="2" fillId="0" borderId="33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34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1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4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31" xfId="0" applyFont="1" applyFill="1" applyBorder="1" applyAlignment="1">
      <alignment vertical="center"/>
    </xf>
    <xf numFmtId="0" fontId="2" fillId="5" borderId="33" xfId="0" applyFont="1" applyFill="1" applyBorder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5" borderId="33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vertical="center"/>
    </xf>
    <xf numFmtId="0" fontId="2" fillId="5" borderId="34" xfId="0" applyFont="1" applyFill="1" applyBorder="1" applyAlignment="1">
      <alignment vertical="center"/>
    </xf>
    <xf numFmtId="0" fontId="2" fillId="5" borderId="34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8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58" xfId="0" applyFont="1" applyBorder="1" applyAlignment="1">
      <alignment horizontal="left" vertical="center"/>
    </xf>
    <xf numFmtId="0" fontId="2" fillId="0" borderId="58" xfId="0" applyFont="1" applyBorder="1" applyAlignment="1">
      <alignment horizontal="center" vertical="center"/>
    </xf>
    <xf numFmtId="0" fontId="2" fillId="5" borderId="58" xfId="0" applyFont="1" applyFill="1" applyBorder="1" applyAlignment="1">
      <alignment horizontal="left" vertical="center"/>
    </xf>
    <xf numFmtId="0" fontId="2" fillId="5" borderId="58" xfId="0" applyFont="1" applyFill="1" applyBorder="1" applyAlignment="1">
      <alignment vertical="center"/>
    </xf>
    <xf numFmtId="0" fontId="2" fillId="5" borderId="59" xfId="0" applyFont="1" applyFill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5" borderId="59" xfId="0" applyFont="1" applyFill="1" applyBorder="1" applyAlignment="1">
      <alignment horizontal="left" vertical="center"/>
    </xf>
    <xf numFmtId="0" fontId="2" fillId="5" borderId="57" xfId="0" applyFont="1" applyFill="1" applyBorder="1" applyAlignment="1">
      <alignment vertical="center"/>
    </xf>
    <xf numFmtId="0" fontId="2" fillId="5" borderId="60" xfId="0" applyFont="1" applyFill="1" applyBorder="1" applyAlignment="1">
      <alignment vertical="center"/>
    </xf>
    <xf numFmtId="0" fontId="2" fillId="5" borderId="41" xfId="0" applyFont="1" applyFill="1" applyBorder="1" applyAlignment="1">
      <alignment vertical="center"/>
    </xf>
    <xf numFmtId="0" fontId="2" fillId="5" borderId="40" xfId="0" applyFont="1" applyFill="1" applyBorder="1" applyAlignment="1">
      <alignment vertical="center"/>
    </xf>
    <xf numFmtId="0" fontId="2" fillId="5" borderId="61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left" vertical="center"/>
    </xf>
    <xf numFmtId="0" fontId="2" fillId="5" borderId="62" xfId="0" applyFont="1" applyFill="1" applyBorder="1" applyAlignment="1">
      <alignment vertical="center"/>
    </xf>
    <xf numFmtId="0" fontId="2" fillId="5" borderId="43" xfId="0" applyFont="1" applyFill="1" applyBorder="1" applyAlignment="1">
      <alignment vertical="center"/>
    </xf>
    <xf numFmtId="0" fontId="2" fillId="5" borderId="42" xfId="0" applyFont="1" applyFill="1" applyBorder="1" applyAlignment="1">
      <alignment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left" vertical="center"/>
    </xf>
    <xf numFmtId="0" fontId="2" fillId="0" borderId="6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0" borderId="63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2" fillId="0" borderId="63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16" fillId="9" borderId="6" xfId="6" applyFont="1" applyFill="1" applyBorder="1" applyAlignment="1">
      <alignment horizontal="center" vertical="center"/>
    </xf>
    <xf numFmtId="0" fontId="16" fillId="9" borderId="6" xfId="6" applyFont="1" applyFill="1" applyBorder="1" applyAlignment="1">
      <alignment horizontal="center" vertical="center" wrapText="1" shrinkToFit="1"/>
    </xf>
    <xf numFmtId="0" fontId="16" fillId="0" borderId="16" xfId="6" applyFont="1" applyBorder="1" applyAlignment="1">
      <alignment horizontal="center" vertical="center" wrapText="1"/>
    </xf>
    <xf numFmtId="0" fontId="16" fillId="0" borderId="17" xfId="6" applyFont="1" applyBorder="1" applyAlignment="1">
      <alignment horizontal="center" vertical="center" wrapText="1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4" borderId="17" xfId="6" quotePrefix="1" applyFont="1" applyFill="1" applyBorder="1" applyAlignment="1">
      <alignment horizontal="center" vertical="center"/>
    </xf>
    <xf numFmtId="0" fontId="16" fillId="4" borderId="20" xfId="6" quotePrefix="1" applyFont="1" applyFill="1" applyBorder="1" applyAlignment="1">
      <alignment horizontal="center" vertical="center"/>
    </xf>
    <xf numFmtId="0" fontId="2" fillId="0" borderId="63" xfId="0" applyFont="1" applyBorder="1" applyAlignment="1">
      <alignment horizontal="left" vertical="center"/>
    </xf>
    <xf numFmtId="0" fontId="2" fillId="0" borderId="62" xfId="0" applyFont="1" applyBorder="1" applyAlignment="1">
      <alignment horizontal="left" vertical="center"/>
    </xf>
    <xf numFmtId="0" fontId="2" fillId="0" borderId="41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vertical="center" wrapText="1"/>
    </xf>
    <xf numFmtId="49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7" applyAlignment="1">
      <alignment vertical="center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 wrapText="1"/>
    </xf>
    <xf numFmtId="49" fontId="37" fillId="22" borderId="64" xfId="0" applyNumberFormat="1" applyFont="1" applyFill="1" applyBorder="1" applyAlignment="1">
      <alignment horizontal="center" vertical="center"/>
    </xf>
    <xf numFmtId="49" fontId="37" fillId="22" borderId="65" xfId="0" applyNumberFormat="1" applyFont="1" applyFill="1" applyBorder="1" applyAlignment="1">
      <alignment horizontal="center" vertical="center"/>
    </xf>
    <xf numFmtId="49" fontId="37" fillId="23" borderId="65" xfId="0" applyNumberFormat="1" applyFont="1" applyFill="1" applyBorder="1" applyAlignment="1">
      <alignment horizontal="center" vertical="center"/>
    </xf>
    <xf numFmtId="49" fontId="37" fillId="23" borderId="66" xfId="0" applyNumberFormat="1" applyFont="1" applyFill="1" applyBorder="1" applyAlignment="1">
      <alignment horizontal="center" vertical="center"/>
    </xf>
    <xf numFmtId="49" fontId="36" fillId="22" borderId="67" xfId="0" applyNumberFormat="1" applyFont="1" applyFill="1" applyBorder="1" applyAlignment="1">
      <alignment horizontal="center" vertical="center"/>
    </xf>
    <xf numFmtId="49" fontId="36" fillId="22" borderId="68" xfId="0" applyNumberFormat="1" applyFont="1" applyFill="1" applyBorder="1" applyAlignment="1">
      <alignment horizontal="center" vertical="center"/>
    </xf>
    <xf numFmtId="49" fontId="36" fillId="23" borderId="68" xfId="0" applyNumberFormat="1" applyFont="1" applyFill="1" applyBorder="1" applyAlignment="1">
      <alignment horizontal="center" vertical="center"/>
    </xf>
    <xf numFmtId="49" fontId="36" fillId="23" borderId="69" xfId="0" applyNumberFormat="1" applyFont="1" applyFill="1" applyBorder="1" applyAlignment="1">
      <alignment horizontal="center" vertical="center"/>
    </xf>
    <xf numFmtId="49" fontId="36" fillId="22" borderId="70" xfId="0" applyNumberFormat="1" applyFont="1" applyFill="1" applyBorder="1" applyAlignment="1">
      <alignment horizontal="center" vertical="center"/>
    </xf>
    <xf numFmtId="49" fontId="36" fillId="22" borderId="71" xfId="0" applyNumberFormat="1" applyFont="1" applyFill="1" applyBorder="1" applyAlignment="1">
      <alignment horizontal="center" vertical="center"/>
    </xf>
    <xf numFmtId="49" fontId="36" fillId="23" borderId="71" xfId="0" applyNumberFormat="1" applyFont="1" applyFill="1" applyBorder="1" applyAlignment="1">
      <alignment horizontal="center" vertical="center"/>
    </xf>
    <xf numFmtId="49" fontId="36" fillId="23" borderId="72" xfId="0" applyNumberFormat="1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 wrapText="1"/>
    </xf>
    <xf numFmtId="49" fontId="36" fillId="2" borderId="73" xfId="0" applyNumberFormat="1" applyFont="1" applyFill="1" applyBorder="1" applyAlignment="1">
      <alignment horizontal="center" vertical="center"/>
    </xf>
    <xf numFmtId="49" fontId="36" fillId="2" borderId="55" xfId="0" applyNumberFormat="1" applyFont="1" applyFill="1" applyBorder="1" applyAlignment="1">
      <alignment horizontal="center" vertical="center"/>
    </xf>
    <xf numFmtId="0" fontId="36" fillId="2" borderId="55" xfId="0" applyFont="1" applyFill="1" applyBorder="1" applyAlignment="1">
      <alignment horizontal="center" vertical="center"/>
    </xf>
    <xf numFmtId="49" fontId="36" fillId="2" borderId="56" xfId="0" applyNumberFormat="1" applyFont="1" applyFill="1" applyBorder="1" applyAlignment="1">
      <alignment horizontal="center" vertical="center"/>
    </xf>
    <xf numFmtId="38" fontId="9" fillId="24" borderId="0" xfId="2" applyFont="1" applyFill="1" applyAlignment="1">
      <alignment vertical="center" wrapText="1"/>
    </xf>
    <xf numFmtId="38" fontId="9" fillId="24" borderId="22" xfId="2" applyFont="1" applyFill="1" applyBorder="1" applyAlignment="1">
      <alignment vertical="center" wrapText="1"/>
    </xf>
    <xf numFmtId="0" fontId="9" fillId="24" borderId="22" xfId="0" applyFont="1" applyFill="1" applyBorder="1" applyAlignment="1">
      <alignment vertical="center" wrapText="1"/>
    </xf>
    <xf numFmtId="38" fontId="9" fillId="24" borderId="8" xfId="2" applyFont="1" applyFill="1" applyBorder="1" applyAlignment="1">
      <alignment vertical="center" wrapText="1"/>
    </xf>
    <xf numFmtId="38" fontId="9" fillId="25" borderId="1" xfId="2" applyFont="1" applyFill="1" applyBorder="1" applyAlignment="1">
      <alignment horizontal="center" vertical="center" wrapText="1"/>
    </xf>
    <xf numFmtId="38" fontId="9" fillId="24" borderId="1" xfId="2" applyFont="1" applyFill="1" applyBorder="1" applyAlignment="1">
      <alignment vertical="center" wrapText="1"/>
    </xf>
    <xf numFmtId="38" fontId="9" fillId="25" borderId="1" xfId="2" applyFont="1" applyFill="1" applyBorder="1" applyAlignment="1">
      <alignment vertical="center" wrapText="1"/>
    </xf>
    <xf numFmtId="38" fontId="9" fillId="24" borderId="1" xfId="2" applyFont="1" applyFill="1" applyBorder="1" applyAlignment="1">
      <alignment horizontal="center" vertical="center" wrapText="1"/>
    </xf>
    <xf numFmtId="38" fontId="9" fillId="24" borderId="17" xfId="2" applyFont="1" applyFill="1" applyBorder="1" applyAlignment="1">
      <alignment vertical="center" wrapText="1"/>
    </xf>
    <xf numFmtId="38" fontId="9" fillId="0" borderId="0" xfId="2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74" xfId="0" applyFont="1" applyBorder="1" applyAlignment="1">
      <alignment vertical="center" wrapText="1"/>
    </xf>
    <xf numFmtId="49" fontId="9" fillId="0" borderId="75" xfId="0" applyNumberFormat="1" applyFont="1" applyBorder="1" applyAlignment="1">
      <alignment vertical="center"/>
    </xf>
    <xf numFmtId="49" fontId="39" fillId="0" borderId="28" xfId="0" applyNumberFormat="1" applyFont="1" applyBorder="1" applyAlignment="1">
      <alignment vertical="center" wrapText="1"/>
    </xf>
    <xf numFmtId="49" fontId="9" fillId="0" borderId="28" xfId="0" applyNumberFormat="1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49" fontId="9" fillId="0" borderId="76" xfId="0" applyNumberFormat="1" applyFont="1" applyBorder="1" applyAlignment="1">
      <alignment vertical="center"/>
    </xf>
    <xf numFmtId="0" fontId="9" fillId="0" borderId="0" xfId="8" applyFont="1">
      <alignment vertical="center"/>
    </xf>
    <xf numFmtId="49" fontId="9" fillId="0" borderId="49" xfId="0" applyNumberFormat="1" applyFont="1" applyBorder="1" applyAlignment="1">
      <alignment vertical="center"/>
    </xf>
    <xf numFmtId="49" fontId="39" fillId="0" borderId="29" xfId="0" applyNumberFormat="1" applyFont="1" applyBorder="1" applyAlignment="1">
      <alignment vertical="center" wrapText="1"/>
    </xf>
    <xf numFmtId="49" fontId="9" fillId="0" borderId="29" xfId="0" applyNumberFormat="1" applyFont="1" applyBorder="1" applyAlignment="1">
      <alignment vertical="center" wrapText="1"/>
    </xf>
    <xf numFmtId="0" fontId="9" fillId="0" borderId="29" xfId="0" applyFont="1" applyBorder="1" applyAlignment="1">
      <alignment vertical="center"/>
    </xf>
    <xf numFmtId="49" fontId="9" fillId="0" borderId="50" xfId="0" applyNumberFormat="1" applyFont="1" applyBorder="1" applyAlignment="1">
      <alignment vertical="center"/>
    </xf>
    <xf numFmtId="49" fontId="9" fillId="0" borderId="52" xfId="0" applyNumberFormat="1" applyFont="1" applyBorder="1" applyAlignment="1">
      <alignment vertical="center"/>
    </xf>
    <xf numFmtId="49" fontId="39" fillId="0" borderId="52" xfId="0" applyNumberFormat="1" applyFont="1" applyBorder="1" applyAlignment="1">
      <alignment vertical="center" wrapText="1"/>
    </xf>
    <xf numFmtId="49" fontId="9" fillId="0" borderId="54" xfId="0" applyNumberFormat="1" applyFont="1" applyBorder="1" applyAlignment="1">
      <alignment vertical="center"/>
    </xf>
    <xf numFmtId="49" fontId="9" fillId="4" borderId="29" xfId="0" applyNumberFormat="1" applyFont="1" applyFill="1" applyBorder="1" applyAlignment="1">
      <alignment vertical="center"/>
    </xf>
    <xf numFmtId="49" fontId="9" fillId="4" borderId="30" xfId="0" applyNumberFormat="1" applyFont="1" applyFill="1" applyBorder="1" applyAlignment="1">
      <alignment vertical="center"/>
    </xf>
    <xf numFmtId="49" fontId="9" fillId="4" borderId="29" xfId="0" applyNumberFormat="1" applyFont="1" applyFill="1" applyBorder="1" applyAlignment="1">
      <alignment vertical="center" wrapText="1"/>
    </xf>
    <xf numFmtId="49" fontId="9" fillId="4" borderId="29" xfId="0" applyNumberFormat="1" applyFont="1" applyFill="1" applyBorder="1" applyAlignment="1">
      <alignment horizontal="center" vertical="center"/>
    </xf>
    <xf numFmtId="0" fontId="9" fillId="0" borderId="77" xfId="0" applyFont="1" applyBorder="1" applyAlignment="1">
      <alignment vertical="center" wrapText="1"/>
    </xf>
    <xf numFmtId="49" fontId="9" fillId="4" borderId="52" xfId="0" applyNumberFormat="1" applyFont="1" applyFill="1" applyBorder="1" applyAlignment="1">
      <alignment vertical="center"/>
    </xf>
    <xf numFmtId="49" fontId="9" fillId="0" borderId="47" xfId="0" applyNumberFormat="1" applyFont="1" applyBorder="1" applyAlignment="1">
      <alignment vertical="center"/>
    </xf>
    <xf numFmtId="49" fontId="39" fillId="0" borderId="47" xfId="0" applyNumberFormat="1" applyFont="1" applyBorder="1" applyAlignment="1">
      <alignment vertical="center" wrapText="1"/>
    </xf>
    <xf numFmtId="49" fontId="9" fillId="0" borderId="78" xfId="0" applyNumberFormat="1" applyFont="1" applyBorder="1" applyAlignment="1">
      <alignment vertical="center"/>
    </xf>
    <xf numFmtId="49" fontId="39" fillId="0" borderId="78" xfId="0" applyNumberFormat="1" applyFont="1" applyBorder="1" applyAlignment="1">
      <alignment vertical="center" wrapText="1"/>
    </xf>
    <xf numFmtId="0" fontId="9" fillId="0" borderId="79" xfId="0" applyFont="1" applyBorder="1" applyAlignment="1">
      <alignment vertical="center" wrapText="1"/>
    </xf>
    <xf numFmtId="49" fontId="9" fillId="0" borderId="52" xfId="0" applyNumberFormat="1" applyFont="1" applyBorder="1" applyAlignment="1">
      <alignment vertical="center" wrapText="1"/>
    </xf>
    <xf numFmtId="49" fontId="9" fillId="0" borderId="52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vertical="center"/>
    </xf>
    <xf numFmtId="49" fontId="9" fillId="0" borderId="53" xfId="0" applyNumberFormat="1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49" fontId="9" fillId="4" borderId="30" xfId="0" applyNumberFormat="1" applyFont="1" applyFill="1" applyBorder="1" applyAlignment="1">
      <alignment horizontal="center" vertical="center"/>
    </xf>
    <xf numFmtId="49" fontId="9" fillId="4" borderId="52" xfId="0" applyNumberFormat="1" applyFont="1" applyFill="1" applyBorder="1" applyAlignment="1">
      <alignment horizontal="center" vertical="center"/>
    </xf>
    <xf numFmtId="49" fontId="9" fillId="0" borderId="47" xfId="0" applyNumberFormat="1" applyFont="1" applyBorder="1" applyAlignment="1">
      <alignment horizontal="center" vertical="center"/>
    </xf>
    <xf numFmtId="49" fontId="9" fillId="0" borderId="78" xfId="0" applyNumberFormat="1" applyFont="1" applyBorder="1" applyAlignment="1">
      <alignment horizontal="center" vertical="center"/>
    </xf>
    <xf numFmtId="49" fontId="36" fillId="22" borderId="68" xfId="0" applyNumberFormat="1" applyFont="1" applyFill="1" applyBorder="1" applyAlignment="1">
      <alignment horizontal="left" vertical="center"/>
    </xf>
    <xf numFmtId="0" fontId="18" fillId="7" borderId="0" xfId="6" applyFont="1" applyFill="1"/>
    <xf numFmtId="0" fontId="18" fillId="7" borderId="0" xfId="6" applyFont="1" applyFill="1" applyAlignment="1">
      <alignment vertical="top"/>
    </xf>
    <xf numFmtId="0" fontId="18" fillId="7" borderId="0" xfId="6" applyFont="1" applyFill="1" applyAlignment="1">
      <alignment horizontal="center" vertical="center"/>
    </xf>
    <xf numFmtId="0" fontId="18" fillId="7" borderId="0" xfId="6" applyFont="1" applyFill="1" applyAlignment="1">
      <alignment vertical="center"/>
    </xf>
    <xf numFmtId="0" fontId="18" fillId="7" borderId="0" xfId="6" applyFont="1" applyFill="1" applyAlignment="1">
      <alignment vertical="center" wrapText="1"/>
    </xf>
    <xf numFmtId="0" fontId="15" fillId="7" borderId="83" xfId="6" applyFont="1" applyFill="1" applyBorder="1" applyAlignment="1">
      <alignment vertical="center"/>
    </xf>
    <xf numFmtId="0" fontId="15" fillId="7" borderId="84" xfId="6" applyFont="1" applyFill="1" applyBorder="1" applyAlignment="1">
      <alignment vertical="center"/>
    </xf>
    <xf numFmtId="0" fontId="15" fillId="7" borderId="85" xfId="6" applyFont="1" applyFill="1" applyBorder="1" applyAlignment="1">
      <alignment vertical="center"/>
    </xf>
    <xf numFmtId="0" fontId="15" fillId="7" borderId="86" xfId="6" applyFont="1" applyFill="1" applyBorder="1" applyAlignment="1">
      <alignment vertical="center"/>
    </xf>
    <xf numFmtId="0" fontId="15" fillId="11" borderId="83" xfId="6" applyFont="1" applyFill="1" applyBorder="1" applyAlignment="1">
      <alignment vertical="center"/>
    </xf>
    <xf numFmtId="0" fontId="15" fillId="11" borderId="84" xfId="6" applyFont="1" applyFill="1" applyBorder="1" applyAlignment="1">
      <alignment vertical="center"/>
    </xf>
    <xf numFmtId="0" fontId="15" fillId="11" borderId="85" xfId="6" applyFont="1" applyFill="1" applyBorder="1" applyAlignment="1">
      <alignment vertical="center"/>
    </xf>
    <xf numFmtId="0" fontId="43" fillId="7" borderId="0" xfId="6" applyFont="1" applyFill="1" applyAlignment="1">
      <alignment vertical="center"/>
    </xf>
    <xf numFmtId="0" fontId="44" fillId="7" borderId="0" xfId="6" applyFont="1" applyFill="1" applyAlignment="1">
      <alignment vertical="center"/>
    </xf>
    <xf numFmtId="0" fontId="15" fillId="7" borderId="13" xfId="6" applyFont="1" applyFill="1" applyBorder="1" applyAlignment="1">
      <alignment vertical="center"/>
    </xf>
    <xf numFmtId="0" fontId="15" fillId="7" borderId="14" xfId="6" applyFont="1" applyFill="1" applyBorder="1" applyAlignment="1">
      <alignment vertical="center"/>
    </xf>
    <xf numFmtId="0" fontId="15" fillId="7" borderId="14" xfId="6" applyFont="1" applyFill="1" applyBorder="1" applyAlignment="1">
      <alignment vertical="center" wrapText="1"/>
    </xf>
    <xf numFmtId="0" fontId="15" fillId="7" borderId="15" xfId="6" applyFont="1" applyFill="1" applyBorder="1" applyAlignment="1">
      <alignment vertical="center"/>
    </xf>
    <xf numFmtId="0" fontId="45" fillId="27" borderId="0" xfId="6" applyFont="1" applyFill="1"/>
    <xf numFmtId="0" fontId="46" fillId="27" borderId="0" xfId="6" applyFont="1" applyFill="1"/>
    <xf numFmtId="0" fontId="15" fillId="27" borderId="0" xfId="6" applyFont="1" applyFill="1"/>
    <xf numFmtId="0" fontId="15" fillId="7" borderId="87" xfId="6" applyFont="1" applyFill="1" applyBorder="1" applyAlignment="1">
      <alignment vertical="center"/>
    </xf>
    <xf numFmtId="0" fontId="15" fillId="0" borderId="0" xfId="6" applyFont="1" applyAlignment="1">
      <alignment vertical="center"/>
    </xf>
    <xf numFmtId="0" fontId="15" fillId="7" borderId="88" xfId="6" applyFont="1" applyFill="1" applyBorder="1" applyAlignment="1">
      <alignment vertical="center"/>
    </xf>
    <xf numFmtId="0" fontId="45" fillId="7" borderId="0" xfId="6" applyFont="1" applyFill="1" applyAlignment="1">
      <alignment vertical="center"/>
    </xf>
    <xf numFmtId="0" fontId="46" fillId="7" borderId="0" xfId="6" applyFont="1" applyFill="1" applyAlignment="1">
      <alignment vertical="center"/>
    </xf>
    <xf numFmtId="0" fontId="15" fillId="28" borderId="83" xfId="6" applyFont="1" applyFill="1" applyBorder="1" applyAlignment="1">
      <alignment vertical="center"/>
    </xf>
    <xf numFmtId="0" fontId="15" fillId="10" borderId="84" xfId="6" applyFont="1" applyFill="1" applyBorder="1" applyAlignment="1">
      <alignment vertical="center"/>
    </xf>
    <xf numFmtId="0" fontId="15" fillId="10" borderId="85" xfId="6" applyFont="1" applyFill="1" applyBorder="1" applyAlignment="1">
      <alignment vertical="center"/>
    </xf>
    <xf numFmtId="0" fontId="15" fillId="10" borderId="86" xfId="6" applyFont="1" applyFill="1" applyBorder="1" applyAlignment="1">
      <alignment vertical="center"/>
    </xf>
    <xf numFmtId="0" fontId="9" fillId="10" borderId="83" xfId="6" applyFont="1" applyFill="1" applyBorder="1" applyAlignment="1">
      <alignment vertical="center"/>
    </xf>
    <xf numFmtId="0" fontId="47" fillId="7" borderId="0" xfId="6" applyFont="1" applyFill="1" applyAlignment="1">
      <alignment vertical="center"/>
    </xf>
    <xf numFmtId="0" fontId="15" fillId="7" borderId="89" xfId="6" applyFont="1" applyFill="1" applyBorder="1" applyAlignment="1">
      <alignment vertical="center"/>
    </xf>
    <xf numFmtId="0" fontId="15" fillId="7" borderId="90" xfId="6" applyFont="1" applyFill="1" applyBorder="1" applyAlignment="1">
      <alignment vertical="center"/>
    </xf>
    <xf numFmtId="0" fontId="9" fillId="7" borderId="0" xfId="6" applyFont="1" applyFill="1" applyAlignment="1">
      <alignment vertical="center"/>
    </xf>
    <xf numFmtId="0" fontId="15" fillId="10" borderId="83" xfId="6" applyFont="1" applyFill="1" applyBorder="1" applyAlignment="1">
      <alignment vertical="center"/>
    </xf>
    <xf numFmtId="0" fontId="15" fillId="0" borderId="91" xfId="6" applyFont="1" applyBorder="1" applyAlignment="1">
      <alignment vertical="center"/>
    </xf>
    <xf numFmtId="0" fontId="15" fillId="29" borderId="87" xfId="6" applyFont="1" applyFill="1" applyBorder="1" applyAlignment="1">
      <alignment vertical="center"/>
    </xf>
    <xf numFmtId="0" fontId="48" fillId="29" borderId="0" xfId="6" applyFont="1" applyFill="1" applyAlignment="1">
      <alignment vertical="center"/>
    </xf>
    <xf numFmtId="0" fontId="15" fillId="29" borderId="0" xfId="6" applyFont="1" applyFill="1" applyAlignment="1">
      <alignment vertical="center"/>
    </xf>
    <xf numFmtId="0" fontId="9" fillId="11" borderId="6" xfId="6" applyFont="1" applyFill="1" applyBorder="1" applyAlignment="1">
      <alignment vertical="center"/>
    </xf>
    <xf numFmtId="0" fontId="9" fillId="11" borderId="8" xfId="6" applyFont="1" applyFill="1" applyBorder="1" applyAlignment="1">
      <alignment vertical="center"/>
    </xf>
    <xf numFmtId="0" fontId="9" fillId="11" borderId="7" xfId="6" applyFont="1" applyFill="1" applyBorder="1" applyAlignment="1">
      <alignment vertical="center"/>
    </xf>
    <xf numFmtId="0" fontId="9" fillId="11" borderId="92" xfId="6" applyFont="1" applyFill="1" applyBorder="1" applyAlignment="1">
      <alignment vertical="center"/>
    </xf>
    <xf numFmtId="0" fontId="49" fillId="11" borderId="8" xfId="6" applyFont="1" applyFill="1" applyBorder="1" applyAlignment="1">
      <alignment vertical="center"/>
    </xf>
    <xf numFmtId="0" fontId="9" fillId="7" borderId="6" xfId="6" applyFont="1" applyFill="1" applyBorder="1" applyAlignment="1">
      <alignment vertical="center"/>
    </xf>
    <xf numFmtId="0" fontId="9" fillId="7" borderId="8" xfId="6" applyFont="1" applyFill="1" applyBorder="1" applyAlignment="1">
      <alignment vertical="center"/>
    </xf>
    <xf numFmtId="0" fontId="9" fillId="7" borderId="7" xfId="6" applyFont="1" applyFill="1" applyBorder="1" applyAlignment="1">
      <alignment vertical="center"/>
    </xf>
    <xf numFmtId="0" fontId="9" fillId="10" borderId="6" xfId="6" applyFont="1" applyFill="1" applyBorder="1" applyAlignment="1">
      <alignment vertical="center"/>
    </xf>
    <xf numFmtId="0" fontId="9" fillId="10" borderId="7" xfId="6" applyFont="1" applyFill="1" applyBorder="1" applyAlignment="1">
      <alignment vertical="center"/>
    </xf>
    <xf numFmtId="0" fontId="9" fillId="7" borderId="92" xfId="6" applyFont="1" applyFill="1" applyBorder="1" applyAlignment="1">
      <alignment vertical="center"/>
    </xf>
    <xf numFmtId="0" fontId="9" fillId="10" borderId="8" xfId="6" applyFont="1" applyFill="1" applyBorder="1" applyAlignment="1">
      <alignment vertical="center"/>
    </xf>
    <xf numFmtId="0" fontId="50" fillId="30" borderId="0" xfId="6" applyFont="1" applyFill="1" applyAlignment="1">
      <alignment vertical="center"/>
    </xf>
    <xf numFmtId="0" fontId="15" fillId="30" borderId="0" xfId="6" applyFont="1" applyFill="1" applyAlignment="1">
      <alignment vertical="center"/>
    </xf>
    <xf numFmtId="0" fontId="15" fillId="30" borderId="0" xfId="6" applyFont="1" applyFill="1" applyAlignment="1">
      <alignment vertical="center" wrapText="1"/>
    </xf>
    <xf numFmtId="0" fontId="15" fillId="7" borderId="93" xfId="6" applyFont="1" applyFill="1" applyBorder="1" applyAlignment="1">
      <alignment vertical="center"/>
    </xf>
    <xf numFmtId="0" fontId="15" fillId="7" borderId="24" xfId="6" applyFont="1" applyFill="1" applyBorder="1" applyAlignment="1">
      <alignment vertical="center"/>
    </xf>
    <xf numFmtId="0" fontId="15" fillId="7" borderId="24" xfId="6" applyFont="1" applyFill="1" applyBorder="1" applyAlignment="1">
      <alignment vertical="center" wrapText="1"/>
    </xf>
    <xf numFmtId="0" fontId="15" fillId="7" borderId="94" xfId="6" applyFont="1" applyFill="1" applyBorder="1" applyAlignment="1">
      <alignment vertical="center"/>
    </xf>
    <xf numFmtId="0" fontId="15" fillId="29" borderId="13" xfId="6" applyFont="1" applyFill="1" applyBorder="1" applyAlignment="1">
      <alignment vertical="center"/>
    </xf>
    <xf numFmtId="0" fontId="48" fillId="29" borderId="14" xfId="6" applyFont="1" applyFill="1" applyBorder="1" applyAlignment="1">
      <alignment vertical="center"/>
    </xf>
    <xf numFmtId="0" fontId="15" fillId="29" borderId="14" xfId="6" applyFont="1" applyFill="1" applyBorder="1" applyAlignment="1">
      <alignment vertical="center"/>
    </xf>
    <xf numFmtId="0" fontId="15" fillId="29" borderId="14" xfId="6" applyFont="1" applyFill="1" applyBorder="1" applyAlignment="1">
      <alignment vertical="center" wrapText="1"/>
    </xf>
    <xf numFmtId="0" fontId="15" fillId="0" borderId="87" xfId="6" applyFont="1" applyBorder="1" applyAlignment="1">
      <alignment vertical="center"/>
    </xf>
    <xf numFmtId="0" fontId="15" fillId="11" borderId="0" xfId="6" applyFont="1" applyFill="1" applyAlignment="1">
      <alignment vertical="center"/>
    </xf>
    <xf numFmtId="0" fontId="15" fillId="11" borderId="0" xfId="6" applyFont="1" applyFill="1" applyAlignment="1">
      <alignment horizontal="right" vertical="center"/>
    </xf>
    <xf numFmtId="0" fontId="9" fillId="0" borderId="83" xfId="6" applyFont="1" applyBorder="1" applyAlignment="1">
      <alignment vertical="center"/>
    </xf>
    <xf numFmtId="0" fontId="15" fillId="0" borderId="84" xfId="6" applyFont="1" applyBorder="1" applyAlignment="1">
      <alignment vertical="center"/>
    </xf>
    <xf numFmtId="0" fontId="15" fillId="0" borderId="85" xfId="6" applyFont="1" applyBorder="1" applyAlignment="1">
      <alignment vertical="center"/>
    </xf>
    <xf numFmtId="0" fontId="15" fillId="11" borderId="0" xfId="6" applyFont="1" applyFill="1" applyAlignment="1">
      <alignment vertical="center" wrapText="1"/>
    </xf>
    <xf numFmtId="0" fontId="15" fillId="32" borderId="0" xfId="6" applyFont="1" applyFill="1" applyAlignment="1">
      <alignment vertical="center"/>
    </xf>
    <xf numFmtId="0" fontId="15" fillId="11" borderId="0" xfId="6" applyFont="1" applyFill="1" applyAlignment="1">
      <alignment horizontal="left" vertical="center"/>
    </xf>
    <xf numFmtId="0" fontId="9" fillId="7" borderId="83" xfId="6" applyFont="1" applyFill="1" applyBorder="1" applyAlignment="1">
      <alignment vertical="center"/>
    </xf>
    <xf numFmtId="0" fontId="15" fillId="0" borderId="83" xfId="6" applyFont="1" applyBorder="1" applyAlignment="1">
      <alignment vertical="center"/>
    </xf>
    <xf numFmtId="0" fontId="9" fillId="7" borderId="83" xfId="6" quotePrefix="1" applyFont="1" applyFill="1" applyBorder="1" applyAlignment="1">
      <alignment vertical="center"/>
    </xf>
    <xf numFmtId="0" fontId="9" fillId="7" borderId="84" xfId="6" applyFont="1" applyFill="1" applyBorder="1" applyAlignment="1">
      <alignment vertical="center"/>
    </xf>
    <xf numFmtId="0" fontId="15" fillId="7" borderId="95" xfId="6" applyFont="1" applyFill="1" applyBorder="1" applyAlignment="1">
      <alignment vertical="center"/>
    </xf>
    <xf numFmtId="0" fontId="15" fillId="11" borderId="96" xfId="6" applyFont="1" applyFill="1" applyBorder="1" applyAlignment="1">
      <alignment vertical="center"/>
    </xf>
    <xf numFmtId="0" fontId="15" fillId="11" borderId="96" xfId="6" applyFont="1" applyFill="1" applyBorder="1" applyAlignment="1">
      <alignment horizontal="right" vertical="center"/>
    </xf>
    <xf numFmtId="0" fontId="15" fillId="11" borderId="97" xfId="6" applyFont="1" applyFill="1" applyBorder="1" applyAlignment="1">
      <alignment vertical="center"/>
    </xf>
    <xf numFmtId="0" fontId="15" fillId="0" borderId="86" xfId="6" applyFont="1" applyBorder="1" applyAlignment="1">
      <alignment vertical="center"/>
    </xf>
    <xf numFmtId="0" fontId="15" fillId="7" borderId="96" xfId="6" applyFont="1" applyFill="1" applyBorder="1" applyAlignment="1">
      <alignment vertical="center"/>
    </xf>
    <xf numFmtId="0" fontId="51" fillId="11" borderId="0" xfId="6" applyFont="1" applyFill="1" applyAlignment="1">
      <alignment horizontal="left" vertical="center"/>
    </xf>
    <xf numFmtId="0" fontId="9" fillId="10" borderId="84" xfId="6" applyFont="1" applyFill="1" applyBorder="1" applyAlignment="1">
      <alignment vertical="center"/>
    </xf>
    <xf numFmtId="0" fontId="9" fillId="11" borderId="0" xfId="6" applyFont="1" applyFill="1" applyAlignment="1">
      <alignment horizontal="left" vertical="center"/>
    </xf>
    <xf numFmtId="0" fontId="15" fillId="31" borderId="83" xfId="6" applyFont="1" applyFill="1" applyBorder="1" applyAlignment="1">
      <alignment vertical="center"/>
    </xf>
    <xf numFmtId="0" fontId="15" fillId="31" borderId="84" xfId="6" applyFont="1" applyFill="1" applyBorder="1" applyAlignment="1">
      <alignment vertical="center"/>
    </xf>
    <xf numFmtId="0" fontId="15" fillId="31" borderId="85" xfId="6" applyFont="1" applyFill="1" applyBorder="1" applyAlignment="1">
      <alignment vertical="center"/>
    </xf>
    <xf numFmtId="0" fontId="15" fillId="31" borderId="83" xfId="6" applyFont="1" applyFill="1" applyBorder="1" applyAlignment="1">
      <alignment horizontal="center" vertical="center"/>
    </xf>
    <xf numFmtId="0" fontId="15" fillId="31" borderId="84" xfId="6" applyFont="1" applyFill="1" applyBorder="1" applyAlignment="1">
      <alignment horizontal="center" vertical="center"/>
    </xf>
    <xf numFmtId="0" fontId="52" fillId="29" borderId="0" xfId="6" applyFont="1" applyFill="1" applyAlignment="1">
      <alignment vertical="center"/>
    </xf>
    <xf numFmtId="0" fontId="15" fillId="33" borderId="0" xfId="6" applyFont="1" applyFill="1" applyAlignment="1">
      <alignment vertical="center"/>
    </xf>
    <xf numFmtId="0" fontId="15" fillId="0" borderId="83" xfId="6" applyFont="1" applyBorder="1" applyAlignment="1">
      <alignment horizontal="center" vertical="center"/>
    </xf>
    <xf numFmtId="0" fontId="15" fillId="0" borderId="84" xfId="6" applyFont="1" applyBorder="1" applyAlignment="1">
      <alignment horizontal="center" vertical="center"/>
    </xf>
    <xf numFmtId="0" fontId="15" fillId="0" borderId="85" xfId="6" applyFont="1" applyBorder="1" applyAlignment="1">
      <alignment horizontal="center" vertical="center"/>
    </xf>
    <xf numFmtId="0" fontId="15" fillId="0" borderId="84" xfId="6" applyFont="1" applyBorder="1" applyAlignment="1">
      <alignment horizontal="left" vertical="center"/>
    </xf>
    <xf numFmtId="0" fontId="15" fillId="0" borderId="85" xfId="6" applyFont="1" applyBorder="1" applyAlignment="1">
      <alignment horizontal="left" vertical="center"/>
    </xf>
    <xf numFmtId="0" fontId="15" fillId="0" borderId="83" xfId="6" quotePrefix="1" applyFont="1" applyBorder="1" applyAlignment="1">
      <alignment vertical="center"/>
    </xf>
    <xf numFmtId="0" fontId="15" fillId="10" borderId="85" xfId="6" applyFont="1" applyFill="1" applyBorder="1" applyAlignment="1">
      <alignment horizontal="center" vertical="center"/>
    </xf>
    <xf numFmtId="0" fontId="15" fillId="0" borderId="95" xfId="6" applyFont="1" applyBorder="1" applyAlignment="1">
      <alignment horizontal="center" vertical="center"/>
    </xf>
    <xf numFmtId="0" fontId="15" fillId="0" borderId="101" xfId="6" applyFont="1" applyBorder="1" applyAlignment="1">
      <alignment horizontal="center" vertical="center"/>
    </xf>
    <xf numFmtId="0" fontId="15" fillId="0" borderId="102" xfId="6" applyFont="1" applyBorder="1" applyAlignment="1">
      <alignment horizontal="center" vertical="center"/>
    </xf>
    <xf numFmtId="0" fontId="15" fillId="10" borderId="103" xfId="6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9" fillId="31" borderId="83" xfId="6" applyFont="1" applyFill="1" applyBorder="1" applyAlignment="1">
      <alignment vertical="center"/>
    </xf>
    <xf numFmtId="0" fontId="15" fillId="10" borderId="84" xfId="6" applyFont="1" applyFill="1" applyBorder="1" applyAlignment="1">
      <alignment horizontal="center" vertical="center"/>
    </xf>
    <xf numFmtId="0" fontId="15" fillId="10" borderId="84" xfId="6" quotePrefix="1" applyFont="1" applyFill="1" applyBorder="1" applyAlignment="1">
      <alignment horizontal="center" vertical="center"/>
    </xf>
    <xf numFmtId="0" fontId="15" fillId="31" borderId="101" xfId="6" applyFont="1" applyFill="1" applyBorder="1" applyAlignment="1">
      <alignment horizontal="center" vertical="center"/>
    </xf>
    <xf numFmtId="0" fontId="15" fillId="31" borderId="102" xfId="6" applyFont="1" applyFill="1" applyBorder="1" applyAlignment="1">
      <alignment horizontal="center" vertical="center"/>
    </xf>
    <xf numFmtId="0" fontId="51" fillId="10" borderId="84" xfId="6" applyFont="1" applyFill="1" applyBorder="1" applyAlignment="1">
      <alignment vertical="center"/>
    </xf>
    <xf numFmtId="0" fontId="15" fillId="0" borderId="102" xfId="6" applyFont="1" applyBorder="1" applyAlignment="1">
      <alignment vertical="center"/>
    </xf>
    <xf numFmtId="0" fontId="51" fillId="0" borderId="102" xfId="6" applyFont="1" applyBorder="1" applyAlignment="1">
      <alignment vertical="center"/>
    </xf>
    <xf numFmtId="0" fontId="53" fillId="7" borderId="0" xfId="6" applyFont="1" applyFill="1" applyAlignment="1">
      <alignment vertical="center"/>
    </xf>
    <xf numFmtId="0" fontId="15" fillId="11" borderId="14" xfId="6" applyFont="1" applyFill="1" applyBorder="1" applyAlignment="1">
      <alignment vertical="center"/>
    </xf>
    <xf numFmtId="0" fontId="15" fillId="33" borderId="104" xfId="6" applyFont="1" applyFill="1" applyBorder="1" applyAlignment="1">
      <alignment vertical="center"/>
    </xf>
    <xf numFmtId="0" fontId="15" fillId="33" borderId="105" xfId="6" applyFont="1" applyFill="1" applyBorder="1" applyAlignment="1">
      <alignment vertical="center"/>
    </xf>
    <xf numFmtId="0" fontId="9" fillId="33" borderId="106" xfId="6" applyFont="1" applyFill="1" applyBorder="1" applyAlignment="1">
      <alignment vertical="center"/>
    </xf>
    <xf numFmtId="0" fontId="15" fillId="33" borderId="106" xfId="6" applyFont="1" applyFill="1" applyBorder="1" applyAlignment="1">
      <alignment vertical="center"/>
    </xf>
    <xf numFmtId="0" fontId="9" fillId="33" borderId="106" xfId="6" quotePrefix="1" applyFont="1" applyFill="1" applyBorder="1" applyAlignment="1">
      <alignment vertical="center"/>
    </xf>
    <xf numFmtId="0" fontId="15" fillId="14" borderId="0" xfId="6" applyFont="1" applyFill="1" applyAlignment="1">
      <alignment vertical="center"/>
    </xf>
    <xf numFmtId="0" fontId="16" fillId="14" borderId="0" xfId="6" applyFont="1" applyFill="1" applyAlignment="1">
      <alignment vertical="center"/>
    </xf>
    <xf numFmtId="0" fontId="15" fillId="8" borderId="126" xfId="6" applyFont="1" applyFill="1" applyBorder="1" applyAlignment="1">
      <alignment vertical="center"/>
    </xf>
    <xf numFmtId="0" fontId="15" fillId="8" borderId="127" xfId="6" applyFont="1" applyFill="1" applyBorder="1" applyAlignment="1">
      <alignment vertical="center"/>
    </xf>
    <xf numFmtId="0" fontId="15" fillId="8" borderId="128" xfId="6" applyFont="1" applyFill="1" applyBorder="1" applyAlignment="1">
      <alignment vertical="center"/>
    </xf>
    <xf numFmtId="0" fontId="15" fillId="0" borderId="109" xfId="6" applyFont="1" applyBorder="1" applyAlignment="1">
      <alignment horizontal="center" vertical="center"/>
    </xf>
    <xf numFmtId="0" fontId="15" fillId="0" borderId="108" xfId="6" applyFont="1" applyBorder="1" applyAlignment="1">
      <alignment horizontal="center" vertical="center"/>
    </xf>
    <xf numFmtId="0" fontId="15" fillId="0" borderId="109" xfId="6" applyFont="1" applyBorder="1" applyAlignment="1">
      <alignment vertical="center" wrapText="1"/>
    </xf>
    <xf numFmtId="0" fontId="15" fillId="0" borderId="108" xfId="6" applyFont="1" applyBorder="1" applyAlignment="1">
      <alignment vertical="center" wrapText="1"/>
    </xf>
    <xf numFmtId="0" fontId="15" fillId="11" borderId="109" xfId="6" applyFont="1" applyFill="1" applyBorder="1" applyAlignment="1">
      <alignment vertical="center"/>
    </xf>
    <xf numFmtId="0" fontId="15" fillId="11" borderId="110" xfId="6" applyFont="1" applyFill="1" applyBorder="1" applyAlignment="1">
      <alignment vertical="center"/>
    </xf>
    <xf numFmtId="0" fontId="15" fillId="11" borderId="108" xfId="6" applyFont="1" applyFill="1" applyBorder="1" applyAlignment="1">
      <alignment vertical="center"/>
    </xf>
    <xf numFmtId="3" fontId="15" fillId="0" borderId="109" xfId="6" applyNumberFormat="1" applyFont="1" applyBorder="1" applyAlignment="1">
      <alignment horizontal="center" vertical="center"/>
    </xf>
    <xf numFmtId="3" fontId="15" fillId="0" borderId="110" xfId="6" applyNumberFormat="1" applyFont="1" applyBorder="1" applyAlignment="1">
      <alignment horizontal="center" vertical="center"/>
    </xf>
    <xf numFmtId="3" fontId="15" fillId="0" borderId="108" xfId="6" applyNumberFormat="1" applyFont="1" applyBorder="1" applyAlignment="1">
      <alignment horizontal="center" vertical="center"/>
    </xf>
    <xf numFmtId="176" fontId="15" fillId="0" borderId="109" xfId="6" applyNumberFormat="1" applyFont="1" applyBorder="1" applyAlignment="1">
      <alignment horizontal="center" vertical="center"/>
    </xf>
    <xf numFmtId="176" fontId="15" fillId="0" borderId="108" xfId="6" applyNumberFormat="1" applyFont="1" applyBorder="1" applyAlignment="1">
      <alignment horizontal="center" vertical="center"/>
    </xf>
    <xf numFmtId="0" fontId="54" fillId="0" borderId="109" xfId="10" applyFont="1" applyBorder="1" applyAlignment="1">
      <alignment horizontal="center" vertical="center"/>
    </xf>
    <xf numFmtId="0" fontId="54" fillId="0" borderId="108" xfId="10" applyFont="1" applyBorder="1" applyAlignment="1">
      <alignment horizontal="center" vertical="center"/>
    </xf>
    <xf numFmtId="0" fontId="15" fillId="0" borderId="116" xfId="6" applyFont="1" applyBorder="1" applyAlignment="1">
      <alignment horizontal="center" vertical="center"/>
    </xf>
    <xf numFmtId="0" fontId="15" fillId="0" borderId="115" xfId="6" applyFont="1" applyBorder="1" applyAlignment="1">
      <alignment horizontal="center" vertical="center"/>
    </xf>
    <xf numFmtId="0" fontId="15" fillId="0" borderId="0" xfId="6" applyFont="1" applyAlignment="1">
      <alignment horizontal="center" vertical="center" wrapText="1"/>
    </xf>
    <xf numFmtId="0" fontId="15" fillId="0" borderId="116" xfId="6" applyFont="1" applyBorder="1" applyAlignment="1">
      <alignment vertical="center" wrapText="1"/>
    </xf>
    <xf numFmtId="0" fontId="15" fillId="0" borderId="115" xfId="6" applyFont="1" applyBorder="1" applyAlignment="1">
      <alignment vertical="center" wrapText="1"/>
    </xf>
    <xf numFmtId="0" fontId="15" fillId="0" borderId="117" xfId="6" quotePrefix="1" applyFont="1" applyBorder="1" applyAlignment="1">
      <alignment vertical="center"/>
    </xf>
    <xf numFmtId="0" fontId="15" fillId="0" borderId="118" xfId="6" applyFont="1" applyBorder="1" applyAlignment="1">
      <alignment vertical="center"/>
    </xf>
    <xf numFmtId="0" fontId="15" fillId="0" borderId="119" xfId="6" applyFont="1" applyBorder="1" applyAlignment="1">
      <alignment vertical="center"/>
    </xf>
    <xf numFmtId="0" fontId="15" fillId="0" borderId="117" xfId="6" applyFont="1" applyBorder="1" applyAlignment="1">
      <alignment vertical="center"/>
    </xf>
    <xf numFmtId="3" fontId="15" fillId="0" borderId="116" xfId="6" applyNumberFormat="1" applyFont="1" applyBorder="1" applyAlignment="1">
      <alignment horizontal="center" vertical="center"/>
    </xf>
    <xf numFmtId="3" fontId="15" fillId="0" borderId="0" xfId="6" applyNumberFormat="1" applyFont="1" applyAlignment="1">
      <alignment horizontal="center" vertical="center"/>
    </xf>
    <xf numFmtId="3" fontId="15" fillId="0" borderId="115" xfId="6" applyNumberFormat="1" applyFont="1" applyBorder="1" applyAlignment="1">
      <alignment horizontal="center" vertical="center"/>
    </xf>
    <xf numFmtId="176" fontId="15" fillId="0" borderId="116" xfId="6" applyNumberFormat="1" applyFont="1" applyBorder="1" applyAlignment="1">
      <alignment horizontal="center" vertical="center"/>
    </xf>
    <xf numFmtId="176" fontId="15" fillId="0" borderId="115" xfId="6" applyNumberFormat="1" applyFont="1" applyBorder="1" applyAlignment="1">
      <alignment horizontal="center" vertical="center"/>
    </xf>
    <xf numFmtId="0" fontId="54" fillId="0" borderId="116" xfId="10" applyFont="1" applyBorder="1" applyAlignment="1">
      <alignment horizontal="center" vertical="center"/>
    </xf>
    <xf numFmtId="0" fontId="54" fillId="0" borderId="115" xfId="10" applyFont="1" applyBorder="1" applyAlignment="1">
      <alignment horizontal="center" vertical="center"/>
    </xf>
    <xf numFmtId="0" fontId="15" fillId="0" borderId="124" xfId="6" applyFont="1" applyBorder="1" applyAlignment="1">
      <alignment horizontal="center" vertical="center"/>
    </xf>
    <xf numFmtId="0" fontId="15" fillId="0" borderId="123" xfId="6" applyFont="1" applyBorder="1" applyAlignment="1">
      <alignment horizontal="center" vertical="center"/>
    </xf>
    <xf numFmtId="0" fontId="15" fillId="0" borderId="124" xfId="6" applyFont="1" applyBorder="1" applyAlignment="1">
      <alignment vertical="center" wrapText="1"/>
    </xf>
    <xf numFmtId="0" fontId="15" fillId="0" borderId="123" xfId="6" applyFont="1" applyBorder="1" applyAlignment="1">
      <alignment vertical="center" wrapText="1"/>
    </xf>
    <xf numFmtId="0" fontId="15" fillId="9" borderId="126" xfId="6" applyFont="1" applyFill="1" applyBorder="1" applyAlignment="1">
      <alignment vertical="center"/>
    </xf>
    <xf numFmtId="0" fontId="15" fillId="9" borderId="127" xfId="6" applyFont="1" applyFill="1" applyBorder="1" applyAlignment="1">
      <alignment vertical="center"/>
    </xf>
    <xf numFmtId="0" fontId="15" fillId="9" borderId="128" xfId="6" applyFont="1" applyFill="1" applyBorder="1" applyAlignment="1">
      <alignment vertical="center"/>
    </xf>
    <xf numFmtId="0" fontId="54" fillId="9" borderId="126" xfId="10" applyFont="1" applyFill="1" applyBorder="1" applyAlignment="1">
      <alignment vertical="center"/>
    </xf>
    <xf numFmtId="0" fontId="54" fillId="9" borderId="127" xfId="10" applyFont="1" applyFill="1" applyBorder="1" applyAlignment="1">
      <alignment vertical="center"/>
    </xf>
    <xf numFmtId="0" fontId="54" fillId="9" borderId="128" xfId="10" applyFont="1" applyFill="1" applyBorder="1" applyAlignment="1">
      <alignment vertical="center"/>
    </xf>
    <xf numFmtId="3" fontId="15" fillId="0" borderId="126" xfId="6" applyNumberFormat="1" applyFont="1" applyBorder="1" applyAlignment="1">
      <alignment horizontal="center" vertical="center"/>
    </xf>
    <xf numFmtId="3" fontId="15" fillId="0" borderId="127" xfId="6" applyNumberFormat="1" applyFont="1" applyBorder="1" applyAlignment="1">
      <alignment horizontal="center" vertical="center"/>
    </xf>
    <xf numFmtId="3" fontId="15" fillId="0" borderId="128" xfId="6" applyNumberFormat="1" applyFont="1" applyBorder="1" applyAlignment="1">
      <alignment horizontal="center" vertical="center"/>
    </xf>
    <xf numFmtId="176" fontId="15" fillId="0" borderId="124" xfId="6" applyNumberFormat="1" applyFont="1" applyBorder="1" applyAlignment="1">
      <alignment horizontal="center" vertical="center"/>
    </xf>
    <xf numFmtId="176" fontId="15" fillId="0" borderId="123" xfId="6" applyNumberFormat="1" applyFont="1" applyBorder="1" applyAlignment="1">
      <alignment horizontal="center" vertical="center"/>
    </xf>
    <xf numFmtId="0" fontId="54" fillId="0" borderId="124" xfId="10" applyFont="1" applyBorder="1" applyAlignment="1">
      <alignment horizontal="center" vertical="center"/>
    </xf>
    <xf numFmtId="0" fontId="54" fillId="0" borderId="123" xfId="10" applyFont="1" applyBorder="1" applyAlignment="1">
      <alignment horizontal="center" vertical="center"/>
    </xf>
    <xf numFmtId="0" fontId="15" fillId="0" borderId="0" xfId="6" applyFont="1" applyAlignment="1">
      <alignment vertical="center" wrapText="1"/>
    </xf>
    <xf numFmtId="0" fontId="15" fillId="33" borderId="116" xfId="6" applyFont="1" applyFill="1" applyBorder="1" applyAlignment="1">
      <alignment vertical="center"/>
    </xf>
    <xf numFmtId="0" fontId="15" fillId="33" borderId="115" xfId="6" applyFont="1" applyFill="1" applyBorder="1" applyAlignment="1">
      <alignment vertical="center"/>
    </xf>
    <xf numFmtId="0" fontId="15" fillId="11" borderId="116" xfId="6" applyFont="1" applyFill="1" applyBorder="1" applyAlignment="1">
      <alignment vertical="center"/>
    </xf>
    <xf numFmtId="0" fontId="15" fillId="11" borderId="115" xfId="6" applyFont="1" applyFill="1" applyBorder="1" applyAlignment="1">
      <alignment vertical="center"/>
    </xf>
    <xf numFmtId="0" fontId="15" fillId="11" borderId="132" xfId="6" applyFont="1" applyFill="1" applyBorder="1" applyAlignment="1">
      <alignment horizontal="center" vertical="center"/>
    </xf>
    <xf numFmtId="0" fontId="15" fillId="11" borderId="133" xfId="6" applyFont="1" applyFill="1" applyBorder="1" applyAlignment="1">
      <alignment horizontal="center" vertical="center"/>
    </xf>
    <xf numFmtId="0" fontId="15" fillId="11" borderId="134" xfId="6" applyFont="1" applyFill="1" applyBorder="1" applyAlignment="1">
      <alignment horizontal="center" vertical="center"/>
    </xf>
    <xf numFmtId="0" fontId="15" fillId="0" borderId="132" xfId="6" applyFont="1" applyBorder="1" applyAlignment="1">
      <alignment horizontal="center" vertical="center"/>
    </xf>
    <xf numFmtId="0" fontId="15" fillId="33" borderId="135" xfId="6" applyFont="1" applyFill="1" applyBorder="1" applyAlignment="1">
      <alignment vertical="center"/>
    </xf>
    <xf numFmtId="0" fontId="15" fillId="33" borderId="136" xfId="6" applyFont="1" applyFill="1" applyBorder="1" applyAlignment="1">
      <alignment vertical="center"/>
    </xf>
    <xf numFmtId="0" fontId="15" fillId="0" borderId="135" xfId="6" quotePrefix="1" applyFont="1" applyBorder="1" applyAlignment="1">
      <alignment vertical="center"/>
    </xf>
    <xf numFmtId="0" fontId="15" fillId="0" borderId="136" xfId="6" applyFont="1" applyBorder="1" applyAlignment="1">
      <alignment vertical="center"/>
    </xf>
    <xf numFmtId="0" fontId="15" fillId="0" borderId="137" xfId="6" applyFont="1" applyBorder="1" applyAlignment="1">
      <alignment vertical="center"/>
    </xf>
    <xf numFmtId="0" fontId="15" fillId="0" borderId="135" xfId="6" applyFont="1" applyBorder="1" applyAlignment="1">
      <alignment vertical="center"/>
    </xf>
    <xf numFmtId="0" fontId="15" fillId="33" borderId="98" xfId="6" applyFont="1" applyFill="1" applyBorder="1" applyAlignment="1">
      <alignment horizontal="center" vertical="center"/>
    </xf>
    <xf numFmtId="0" fontId="15" fillId="33" borderId="120" xfId="6" applyFont="1" applyFill="1" applyBorder="1" applyAlignment="1">
      <alignment horizontal="center" vertical="center"/>
    </xf>
    <xf numFmtId="0" fontId="15" fillId="33" borderId="99" xfId="6" applyFont="1" applyFill="1" applyBorder="1" applyAlignment="1">
      <alignment horizontal="center" vertical="center"/>
    </xf>
    <xf numFmtId="0" fontId="15" fillId="33" borderId="117" xfId="6" applyFont="1" applyFill="1" applyBorder="1" applyAlignment="1">
      <alignment vertical="center"/>
    </xf>
    <xf numFmtId="0" fontId="15" fillId="33" borderId="118" xfId="6" applyFont="1" applyFill="1" applyBorder="1" applyAlignment="1">
      <alignment vertical="center"/>
    </xf>
    <xf numFmtId="0" fontId="15" fillId="33" borderId="119" xfId="6" applyFont="1" applyFill="1" applyBorder="1" applyAlignment="1">
      <alignment vertical="center"/>
    </xf>
    <xf numFmtId="0" fontId="54" fillId="0" borderId="98" xfId="10" applyFont="1" applyBorder="1" applyAlignment="1">
      <alignment horizontal="center" vertical="center"/>
    </xf>
    <xf numFmtId="0" fontId="54" fillId="0" borderId="120" xfId="10" applyFont="1" applyBorder="1" applyAlignment="1">
      <alignment horizontal="center" vertical="center"/>
    </xf>
    <xf numFmtId="3" fontId="15" fillId="0" borderId="98" xfId="6" applyNumberFormat="1" applyFont="1" applyBorder="1" applyAlignment="1">
      <alignment horizontal="center" vertical="center"/>
    </xf>
    <xf numFmtId="3" fontId="15" fillId="0" borderId="120" xfId="6" applyNumberFormat="1" applyFont="1" applyBorder="1" applyAlignment="1">
      <alignment horizontal="center" vertical="center"/>
    </xf>
    <xf numFmtId="3" fontId="15" fillId="0" borderId="99" xfId="6" applyNumberFormat="1" applyFont="1" applyBorder="1" applyAlignment="1">
      <alignment horizontal="center" vertical="center"/>
    </xf>
    <xf numFmtId="0" fontId="15" fillId="11" borderId="117" xfId="6" applyFont="1" applyFill="1" applyBorder="1" applyAlignment="1">
      <alignment vertical="center"/>
    </xf>
    <xf numFmtId="0" fontId="15" fillId="11" borderId="118" xfId="6" applyFont="1" applyFill="1" applyBorder="1" applyAlignment="1">
      <alignment vertical="center"/>
    </xf>
    <xf numFmtId="0" fontId="15" fillId="11" borderId="119" xfId="6" applyFont="1" applyFill="1" applyBorder="1" applyAlignment="1">
      <alignment vertical="center"/>
    </xf>
    <xf numFmtId="0" fontId="15" fillId="11" borderId="98" xfId="6" applyFont="1" applyFill="1" applyBorder="1" applyAlignment="1">
      <alignment vertical="center"/>
    </xf>
    <xf numFmtId="0" fontId="15" fillId="11" borderId="120" xfId="6" applyFont="1" applyFill="1" applyBorder="1" applyAlignment="1">
      <alignment vertical="center"/>
    </xf>
    <xf numFmtId="0" fontId="15" fillId="11" borderId="99" xfId="6" applyFont="1" applyFill="1" applyBorder="1" applyAlignment="1">
      <alignment vertical="center"/>
    </xf>
    <xf numFmtId="0" fontId="15" fillId="4" borderId="117" xfId="6" applyFont="1" applyFill="1" applyBorder="1" applyAlignment="1">
      <alignment horizontal="center" vertical="center"/>
    </xf>
    <xf numFmtId="0" fontId="54" fillId="4" borderId="118" xfId="10" applyFont="1" applyFill="1" applyBorder="1" applyAlignment="1">
      <alignment vertical="center"/>
    </xf>
    <xf numFmtId="0" fontId="54" fillId="4" borderId="119" xfId="10" applyFont="1" applyFill="1" applyBorder="1" applyAlignment="1">
      <alignment vertical="center"/>
    </xf>
    <xf numFmtId="0" fontId="15" fillId="0" borderId="98" xfId="6" applyFont="1" applyBorder="1" applyAlignment="1">
      <alignment vertical="center"/>
    </xf>
    <xf numFmtId="0" fontId="54" fillId="4" borderId="116" xfId="10" applyFont="1" applyFill="1" applyBorder="1" applyAlignment="1">
      <alignment vertical="center"/>
    </xf>
    <xf numFmtId="0" fontId="54" fillId="4" borderId="0" xfId="10" applyFont="1" applyFill="1" applyAlignment="1">
      <alignment vertical="center"/>
    </xf>
    <xf numFmtId="0" fontId="54" fillId="4" borderId="115" xfId="10" applyFont="1" applyFill="1" applyBorder="1" applyAlignment="1">
      <alignment vertical="center"/>
    </xf>
    <xf numFmtId="0" fontId="15" fillId="0" borderId="132" xfId="6" applyFont="1" applyBorder="1" applyAlignment="1">
      <alignment vertical="center" wrapText="1"/>
    </xf>
    <xf numFmtId="0" fontId="15" fillId="0" borderId="133" xfId="6" applyFont="1" applyBorder="1" applyAlignment="1">
      <alignment vertical="center" wrapText="1"/>
    </xf>
    <xf numFmtId="0" fontId="15" fillId="9" borderId="98" xfId="6" applyFont="1" applyFill="1" applyBorder="1" applyAlignment="1">
      <alignment vertical="center"/>
    </xf>
    <xf numFmtId="0" fontId="15" fillId="9" borderId="120" xfId="6" applyFont="1" applyFill="1" applyBorder="1" applyAlignment="1">
      <alignment vertical="center"/>
    </xf>
    <xf numFmtId="0" fontId="15" fillId="9" borderId="99" xfId="6" applyFont="1" applyFill="1" applyBorder="1" applyAlignment="1">
      <alignment vertical="center"/>
    </xf>
    <xf numFmtId="0" fontId="54" fillId="9" borderId="98" xfId="10" applyFont="1" applyFill="1" applyBorder="1" applyAlignment="1">
      <alignment vertical="center"/>
    </xf>
    <xf numFmtId="0" fontId="54" fillId="9" borderId="120" xfId="10" applyFont="1" applyFill="1" applyBorder="1" applyAlignment="1">
      <alignment vertical="center"/>
    </xf>
    <xf numFmtId="0" fontId="54" fillId="9" borderId="99" xfId="10" applyFont="1" applyFill="1" applyBorder="1" applyAlignment="1">
      <alignment vertical="center"/>
    </xf>
    <xf numFmtId="0" fontId="54" fillId="4" borderId="132" xfId="10" applyFont="1" applyFill="1" applyBorder="1" applyAlignment="1">
      <alignment vertical="center"/>
    </xf>
    <xf numFmtId="0" fontId="54" fillId="4" borderId="133" xfId="10" applyFont="1" applyFill="1" applyBorder="1" applyAlignment="1">
      <alignment vertical="center"/>
    </xf>
    <xf numFmtId="0" fontId="54" fillId="4" borderId="134" xfId="10" applyFont="1" applyFill="1" applyBorder="1" applyAlignment="1">
      <alignment vertical="center"/>
    </xf>
    <xf numFmtId="0" fontId="54" fillId="0" borderId="132" xfId="10" applyFont="1" applyBorder="1" applyAlignment="1">
      <alignment horizontal="center" vertical="center"/>
    </xf>
    <xf numFmtId="0" fontId="54" fillId="0" borderId="134" xfId="10" applyFont="1" applyBorder="1" applyAlignment="1">
      <alignment horizontal="center" vertical="center"/>
    </xf>
    <xf numFmtId="0" fontId="15" fillId="0" borderId="110" xfId="6" applyFont="1" applyBorder="1" applyAlignment="1">
      <alignment vertical="center" wrapText="1"/>
    </xf>
    <xf numFmtId="0" fontId="15" fillId="11" borderId="112" xfId="6" applyFont="1" applyFill="1" applyBorder="1" applyAlignment="1">
      <alignment vertical="center"/>
    </xf>
    <xf numFmtId="0" fontId="15" fillId="11" borderId="111" xfId="6" applyFont="1" applyFill="1" applyBorder="1" applyAlignment="1">
      <alignment vertical="center"/>
    </xf>
    <xf numFmtId="0" fontId="15" fillId="11" borderId="130" xfId="6" applyFont="1" applyFill="1" applyBorder="1" applyAlignment="1">
      <alignment vertical="center"/>
    </xf>
    <xf numFmtId="0" fontId="15" fillId="0" borderId="113" xfId="6" applyFont="1" applyBorder="1" applyAlignment="1">
      <alignment horizontal="center" vertical="center"/>
    </xf>
    <xf numFmtId="0" fontId="15" fillId="0" borderId="131" xfId="6" applyFont="1" applyBorder="1" applyAlignment="1">
      <alignment horizontal="center" vertical="center"/>
    </xf>
    <xf numFmtId="0" fontId="15" fillId="0" borderId="141" xfId="6" applyFont="1" applyBorder="1" applyAlignment="1">
      <alignment horizontal="center" vertical="center"/>
    </xf>
    <xf numFmtId="0" fontId="51" fillId="11" borderId="98" xfId="6" applyFont="1" applyFill="1" applyBorder="1" applyAlignment="1">
      <alignment vertical="center"/>
    </xf>
    <xf numFmtId="0" fontId="15" fillId="0" borderId="120" xfId="6" applyFont="1" applyBorder="1" applyAlignment="1">
      <alignment vertical="center"/>
    </xf>
    <xf numFmtId="0" fontId="15" fillId="0" borderId="99" xfId="6" applyFont="1" applyBorder="1" applyAlignment="1">
      <alignment vertical="center"/>
    </xf>
    <xf numFmtId="0" fontId="15" fillId="33" borderId="98" xfId="6" applyFont="1" applyFill="1" applyBorder="1" applyAlignment="1">
      <alignment vertical="center"/>
    </xf>
    <xf numFmtId="0" fontId="15" fillId="33" borderId="120" xfId="6" applyFont="1" applyFill="1" applyBorder="1" applyAlignment="1">
      <alignment vertical="center"/>
    </xf>
    <xf numFmtId="0" fontId="15" fillId="33" borderId="99" xfId="6" applyFont="1" applyFill="1" applyBorder="1" applyAlignment="1">
      <alignment vertical="center"/>
    </xf>
    <xf numFmtId="0" fontId="16" fillId="7" borderId="87" xfId="6" applyFont="1" applyFill="1" applyBorder="1" applyAlignment="1">
      <alignment vertical="center"/>
    </xf>
    <xf numFmtId="0" fontId="15" fillId="0" borderId="0" xfId="6" applyFont="1" applyAlignment="1">
      <alignment horizontal="center" vertical="top" shrinkToFit="1"/>
    </xf>
    <xf numFmtId="49" fontId="15" fillId="0" borderId="0" xfId="6" applyNumberFormat="1" applyFont="1" applyAlignment="1">
      <alignment horizontal="center" vertical="top"/>
    </xf>
    <xf numFmtId="0" fontId="15" fillId="0" borderId="0" xfId="6" applyFont="1" applyAlignment="1">
      <alignment horizontal="center" vertical="top" wrapText="1" shrinkToFit="1"/>
    </xf>
    <xf numFmtId="49" fontId="15" fillId="0" borderId="0" xfId="6" applyNumberFormat="1" applyFont="1" applyAlignment="1">
      <alignment horizontal="center" vertical="center"/>
    </xf>
    <xf numFmtId="0" fontId="15" fillId="0" borderId="0" xfId="6" applyFont="1" applyAlignment="1">
      <alignment horizontal="left" vertical="center"/>
    </xf>
    <xf numFmtId="0" fontId="54" fillId="0" borderId="0" xfId="6" applyFont="1" applyAlignment="1">
      <alignment horizontal="center" vertical="center"/>
    </xf>
    <xf numFmtId="0" fontId="54" fillId="0" borderId="0" xfId="6" applyFont="1" applyAlignment="1">
      <alignment vertical="center"/>
    </xf>
    <xf numFmtId="0" fontId="9" fillId="34" borderId="106" xfId="6" quotePrefix="1" applyFont="1" applyFill="1" applyBorder="1" applyAlignment="1">
      <alignment vertical="center"/>
    </xf>
    <xf numFmtId="0" fontId="15" fillId="33" borderId="150" xfId="6" applyFont="1" applyFill="1" applyBorder="1" applyAlignment="1">
      <alignment vertical="center"/>
    </xf>
    <xf numFmtId="0" fontId="48" fillId="29" borderId="153" xfId="6" applyFont="1" applyFill="1" applyBorder="1" applyAlignment="1">
      <alignment vertical="center"/>
    </xf>
    <xf numFmtId="0" fontId="48" fillId="29" borderId="154" xfId="6" applyFont="1" applyFill="1" applyBorder="1" applyAlignment="1">
      <alignment vertical="center"/>
    </xf>
    <xf numFmtId="0" fontId="48" fillId="29" borderId="152" xfId="6" applyFont="1" applyFill="1" applyBorder="1" applyAlignment="1">
      <alignment vertical="center"/>
    </xf>
    <xf numFmtId="0" fontId="48" fillId="29" borderId="155" xfId="6" applyFont="1" applyFill="1" applyBorder="1" applyAlignment="1">
      <alignment vertical="center"/>
    </xf>
    <xf numFmtId="0" fontId="48" fillId="29" borderId="156" xfId="6" applyFont="1" applyFill="1" applyBorder="1" applyAlignment="1">
      <alignment vertical="center"/>
    </xf>
    <xf numFmtId="49" fontId="15" fillId="0" borderId="157" xfId="6" quotePrefix="1" applyNumberFormat="1" applyFont="1" applyBorder="1" applyAlignment="1">
      <alignment vertical="top"/>
    </xf>
    <xf numFmtId="49" fontId="15" fillId="0" borderId="158" xfId="6" quotePrefix="1" applyNumberFormat="1" applyFont="1" applyBorder="1" applyAlignment="1">
      <alignment vertical="top"/>
    </xf>
    <xf numFmtId="0" fontId="15" fillId="0" borderId="159" xfId="6" applyFont="1" applyBorder="1" applyAlignment="1">
      <alignment vertical="top"/>
    </xf>
    <xf numFmtId="0" fontId="15" fillId="0" borderId="84" xfId="6" applyFont="1" applyBorder="1" applyAlignment="1">
      <alignment vertical="top"/>
    </xf>
    <xf numFmtId="0" fontId="15" fillId="0" borderId="158" xfId="6" applyFont="1" applyBorder="1" applyAlignment="1">
      <alignment vertical="top"/>
    </xf>
    <xf numFmtId="0" fontId="15" fillId="0" borderId="159" xfId="6" applyFont="1" applyBorder="1" applyAlignment="1">
      <alignment vertical="center"/>
    </xf>
    <xf numFmtId="177" fontId="15" fillId="0" borderId="83" xfId="6" applyNumberFormat="1" applyFont="1" applyBorder="1" applyAlignment="1">
      <alignment vertical="center"/>
    </xf>
    <xf numFmtId="0" fontId="9" fillId="0" borderId="99" xfId="6" applyFont="1" applyBorder="1" applyAlignment="1">
      <alignment vertical="center"/>
    </xf>
    <xf numFmtId="0" fontId="16" fillId="7" borderId="0" xfId="6" applyFont="1" applyFill="1" applyAlignment="1">
      <alignment vertical="center"/>
    </xf>
    <xf numFmtId="0" fontId="15" fillId="0" borderId="159" xfId="6" applyFont="1" applyBorder="1" applyAlignment="1">
      <alignment horizontal="left" vertical="center"/>
    </xf>
    <xf numFmtId="0" fontId="16" fillId="7" borderId="88" xfId="6" applyFont="1" applyFill="1" applyBorder="1" applyAlignment="1">
      <alignment vertical="center"/>
    </xf>
    <xf numFmtId="49" fontId="15" fillId="0" borderId="160" xfId="6" quotePrefix="1" applyNumberFormat="1" applyFont="1" applyBorder="1" applyAlignment="1">
      <alignment vertical="top"/>
    </xf>
    <xf numFmtId="49" fontId="15" fillId="0" borderId="161" xfId="6" quotePrefix="1" applyNumberFormat="1" applyFont="1" applyBorder="1" applyAlignment="1">
      <alignment vertical="top"/>
    </xf>
    <xf numFmtId="0" fontId="15" fillId="0" borderId="162" xfId="6" applyFont="1" applyBorder="1" applyAlignment="1">
      <alignment vertical="top"/>
    </xf>
    <xf numFmtId="0" fontId="15" fillId="0" borderId="163" xfId="6" applyFont="1" applyBorder="1" applyAlignment="1">
      <alignment vertical="top"/>
    </xf>
    <xf numFmtId="0" fontId="15" fillId="0" borderId="161" xfId="6" applyFont="1" applyBorder="1" applyAlignment="1">
      <alignment vertical="top"/>
    </xf>
    <xf numFmtId="0" fontId="15" fillId="0" borderId="162" xfId="6" applyFont="1" applyBorder="1" applyAlignment="1">
      <alignment vertical="center"/>
    </xf>
    <xf numFmtId="0" fontId="15" fillId="0" borderId="163" xfId="6" applyFont="1" applyBorder="1" applyAlignment="1">
      <alignment vertical="center"/>
    </xf>
    <xf numFmtId="177" fontId="15" fillId="0" borderId="164" xfId="6" applyNumberFormat="1" applyFont="1" applyBorder="1" applyAlignment="1">
      <alignment vertical="center"/>
    </xf>
    <xf numFmtId="0" fontId="15" fillId="0" borderId="165" xfId="6" applyFont="1" applyBorder="1" applyAlignment="1">
      <alignment vertical="center"/>
    </xf>
    <xf numFmtId="0" fontId="15" fillId="31" borderId="86" xfId="6" applyFont="1" applyFill="1" applyBorder="1" applyAlignment="1">
      <alignment vertical="center"/>
    </xf>
    <xf numFmtId="0" fontId="15" fillId="31" borderId="85" xfId="6" applyFont="1" applyFill="1" applyBorder="1" applyAlignment="1">
      <alignment horizontal="center" vertical="center"/>
    </xf>
    <xf numFmtId="0" fontId="15" fillId="31" borderId="84" xfId="6" applyFont="1" applyFill="1" applyBorder="1" applyAlignment="1">
      <alignment horizontal="left" vertical="center"/>
    </xf>
    <xf numFmtId="0" fontId="15" fillId="31" borderId="85" xfId="6" applyFont="1" applyFill="1" applyBorder="1" applyAlignment="1">
      <alignment horizontal="left" vertical="center"/>
    </xf>
    <xf numFmtId="0" fontId="15" fillId="31" borderId="83" xfId="6" quotePrefix="1" applyFont="1" applyFill="1" applyBorder="1" applyAlignment="1">
      <alignment vertical="center"/>
    </xf>
    <xf numFmtId="0" fontId="15" fillId="10" borderId="85" xfId="6" quotePrefix="1" applyFont="1" applyFill="1" applyBorder="1" applyAlignment="1">
      <alignment horizontal="center" vertical="center"/>
    </xf>
    <xf numFmtId="0" fontId="15" fillId="0" borderId="13" xfId="6" applyFont="1" applyBorder="1" applyAlignment="1">
      <alignment vertical="center"/>
    </xf>
    <xf numFmtId="0" fontId="9" fillId="7" borderId="155" xfId="6" applyFont="1" applyFill="1" applyBorder="1" applyAlignment="1">
      <alignment vertical="center"/>
    </xf>
    <xf numFmtId="0" fontId="15" fillId="0" borderId="104" xfId="6" applyFont="1" applyBorder="1" applyAlignment="1">
      <alignment vertical="center"/>
    </xf>
    <xf numFmtId="0" fontId="15" fillId="0" borderId="105" xfId="6" applyFont="1" applyBorder="1" applyAlignment="1">
      <alignment vertical="center"/>
    </xf>
    <xf numFmtId="0" fontId="15" fillId="0" borderId="14" xfId="6" applyFont="1" applyBorder="1" applyAlignment="1">
      <alignment vertical="center"/>
    </xf>
    <xf numFmtId="0" fontId="15" fillId="0" borderId="15" xfId="6" applyFont="1" applyBorder="1" applyAlignment="1">
      <alignment vertical="center"/>
    </xf>
    <xf numFmtId="0" fontId="15" fillId="7" borderId="83" xfId="6" quotePrefix="1" applyFont="1" applyFill="1" applyBorder="1" applyAlignment="1">
      <alignment vertical="center"/>
    </xf>
    <xf numFmtId="0" fontId="15" fillId="0" borderId="88" xfId="6" applyFont="1" applyBorder="1" applyAlignment="1">
      <alignment vertical="center"/>
    </xf>
    <xf numFmtId="0" fontId="15" fillId="10" borderId="98" xfId="6" applyFont="1" applyFill="1" applyBorder="1" applyAlignment="1">
      <alignment vertical="center"/>
    </xf>
    <xf numFmtId="0" fontId="15" fillId="10" borderId="120" xfId="6" applyFont="1" applyFill="1" applyBorder="1" applyAlignment="1">
      <alignment vertical="center"/>
    </xf>
    <xf numFmtId="0" fontId="15" fillId="10" borderId="99" xfId="6" applyFont="1" applyFill="1" applyBorder="1" applyAlignment="1">
      <alignment vertical="center"/>
    </xf>
    <xf numFmtId="0" fontId="15" fillId="31" borderId="6" xfId="6" applyFont="1" applyFill="1" applyBorder="1" applyAlignment="1">
      <alignment vertical="center"/>
    </xf>
    <xf numFmtId="0" fontId="15" fillId="31" borderId="7" xfId="6" applyFont="1" applyFill="1" applyBorder="1" applyAlignment="1">
      <alignment vertical="center"/>
    </xf>
    <xf numFmtId="0" fontId="15" fillId="31" borderId="8" xfId="6" applyFont="1" applyFill="1" applyBorder="1" applyAlignment="1">
      <alignment vertical="center"/>
    </xf>
    <xf numFmtId="0" fontId="15" fillId="0" borderId="6" xfId="6" applyFont="1" applyBorder="1" applyAlignment="1">
      <alignment vertical="center"/>
    </xf>
    <xf numFmtId="0" fontId="15" fillId="0" borderId="7" xfId="6" applyFont="1" applyBorder="1" applyAlignment="1">
      <alignment vertical="center"/>
    </xf>
    <xf numFmtId="0" fontId="15" fillId="0" borderId="8" xfId="6" applyFont="1" applyBorder="1" applyAlignment="1">
      <alignment vertical="center"/>
    </xf>
    <xf numFmtId="0" fontId="48" fillId="29" borderId="181" xfId="6" applyFont="1" applyFill="1" applyBorder="1" applyAlignment="1">
      <alignment horizontal="center" vertical="center"/>
    </xf>
    <xf numFmtId="0" fontId="48" fillId="29" borderId="182" xfId="6" applyFont="1" applyFill="1" applyBorder="1" applyAlignment="1">
      <alignment horizontal="center" vertical="center"/>
    </xf>
    <xf numFmtId="0" fontId="48" fillId="29" borderId="183" xfId="6" applyFont="1" applyFill="1" applyBorder="1" applyAlignment="1">
      <alignment horizontal="center" vertical="center"/>
    </xf>
    <xf numFmtId="0" fontId="15" fillId="8" borderId="184" xfId="6" applyFont="1" applyFill="1" applyBorder="1" applyAlignment="1">
      <alignment vertical="center"/>
    </xf>
    <xf numFmtId="0" fontId="15" fillId="8" borderId="185" xfId="6" applyFont="1" applyFill="1" applyBorder="1" applyAlignment="1">
      <alignment vertical="center"/>
    </xf>
    <xf numFmtId="0" fontId="15" fillId="8" borderId="186" xfId="6" applyFont="1" applyFill="1" applyBorder="1" applyAlignment="1">
      <alignment vertical="center"/>
    </xf>
    <xf numFmtId="0" fontId="15" fillId="9" borderId="187" xfId="6" applyFont="1" applyFill="1" applyBorder="1" applyAlignment="1">
      <alignment vertical="center"/>
    </xf>
    <xf numFmtId="0" fontId="15" fillId="9" borderId="185" xfId="6" applyFont="1" applyFill="1" applyBorder="1" applyAlignment="1">
      <alignment vertical="center"/>
    </xf>
    <xf numFmtId="0" fontId="15" fillId="9" borderId="186" xfId="6" applyFont="1" applyFill="1" applyBorder="1" applyAlignment="1">
      <alignment vertical="center"/>
    </xf>
    <xf numFmtId="0" fontId="54" fillId="9" borderId="184" xfId="10" applyFont="1" applyFill="1" applyBorder="1" applyAlignment="1">
      <alignment vertical="center"/>
    </xf>
    <xf numFmtId="0" fontId="54" fillId="9" borderId="185" xfId="10" applyFont="1" applyFill="1" applyBorder="1" applyAlignment="1">
      <alignment vertical="center"/>
    </xf>
    <xf numFmtId="0" fontId="54" fillId="9" borderId="188" xfId="10" applyFont="1" applyFill="1" applyBorder="1" applyAlignment="1">
      <alignment vertical="center"/>
    </xf>
    <xf numFmtId="0" fontId="15" fillId="31" borderId="98" xfId="6" applyFont="1" applyFill="1" applyBorder="1" applyAlignment="1">
      <alignment vertical="center"/>
    </xf>
    <xf numFmtId="0" fontId="15" fillId="31" borderId="120" xfId="6" applyFont="1" applyFill="1" applyBorder="1" applyAlignment="1">
      <alignment vertical="center"/>
    </xf>
    <xf numFmtId="0" fontId="15" fillId="0" borderId="93" xfId="6" applyFont="1" applyBorder="1" applyAlignment="1">
      <alignment vertical="center"/>
    </xf>
    <xf numFmtId="0" fontId="15" fillId="0" borderId="24" xfId="6" applyFont="1" applyBorder="1" applyAlignment="1">
      <alignment vertical="center"/>
    </xf>
    <xf numFmtId="0" fontId="15" fillId="0" borderId="24" xfId="6" applyFont="1" applyBorder="1" applyAlignment="1">
      <alignment vertical="center" wrapText="1"/>
    </xf>
    <xf numFmtId="0" fontId="15" fillId="0" borderId="94" xfId="6" applyFont="1" applyBorder="1" applyAlignment="1">
      <alignment vertical="center"/>
    </xf>
    <xf numFmtId="49" fontId="15" fillId="31" borderId="157" xfId="6" quotePrefix="1" applyNumberFormat="1" applyFont="1" applyFill="1" applyBorder="1" applyAlignment="1">
      <alignment vertical="top"/>
    </xf>
    <xf numFmtId="49" fontId="15" fillId="31" borderId="158" xfId="6" quotePrefix="1" applyNumberFormat="1" applyFont="1" applyFill="1" applyBorder="1" applyAlignment="1">
      <alignment vertical="top"/>
    </xf>
    <xf numFmtId="0" fontId="15" fillId="31" borderId="159" xfId="6" applyFont="1" applyFill="1" applyBorder="1" applyAlignment="1">
      <alignment vertical="top"/>
    </xf>
    <xf numFmtId="0" fontId="15" fillId="31" borderId="84" xfId="6" applyFont="1" applyFill="1" applyBorder="1" applyAlignment="1">
      <alignment vertical="top"/>
    </xf>
    <xf numFmtId="0" fontId="15" fillId="31" borderId="158" xfId="6" applyFont="1" applyFill="1" applyBorder="1" applyAlignment="1">
      <alignment vertical="top"/>
    </xf>
    <xf numFmtId="0" fontId="15" fillId="31" borderId="159" xfId="6" applyFont="1" applyFill="1" applyBorder="1" applyAlignment="1">
      <alignment vertical="center"/>
    </xf>
    <xf numFmtId="177" fontId="15" fillId="31" borderId="83" xfId="6" applyNumberFormat="1" applyFont="1" applyFill="1" applyBorder="1" applyAlignment="1">
      <alignment vertical="center"/>
    </xf>
    <xf numFmtId="0" fontId="9" fillId="31" borderId="99" xfId="6" applyFont="1" applyFill="1" applyBorder="1" applyAlignment="1">
      <alignment vertical="center"/>
    </xf>
    <xf numFmtId="0" fontId="15" fillId="31" borderId="159" xfId="6" applyFont="1" applyFill="1" applyBorder="1" applyAlignment="1">
      <alignment horizontal="left" vertical="center"/>
    </xf>
    <xf numFmtId="49" fontId="15" fillId="31" borderId="160" xfId="6" quotePrefix="1" applyNumberFormat="1" applyFont="1" applyFill="1" applyBorder="1" applyAlignment="1">
      <alignment vertical="top"/>
    </xf>
    <xf numFmtId="49" fontId="15" fillId="31" borderId="161" xfId="6" quotePrefix="1" applyNumberFormat="1" applyFont="1" applyFill="1" applyBorder="1" applyAlignment="1">
      <alignment vertical="top"/>
    </xf>
    <xf numFmtId="0" fontId="15" fillId="31" borderId="162" xfId="6" applyFont="1" applyFill="1" applyBorder="1" applyAlignment="1">
      <alignment vertical="top"/>
    </xf>
    <xf numFmtId="0" fontId="15" fillId="31" borderId="163" xfId="6" applyFont="1" applyFill="1" applyBorder="1" applyAlignment="1">
      <alignment vertical="top"/>
    </xf>
    <xf numFmtId="0" fontId="15" fillId="31" borderId="161" xfId="6" applyFont="1" applyFill="1" applyBorder="1" applyAlignment="1">
      <alignment vertical="top"/>
    </xf>
    <xf numFmtId="0" fontId="15" fillId="31" borderId="162" xfId="6" applyFont="1" applyFill="1" applyBorder="1" applyAlignment="1">
      <alignment vertical="center"/>
    </xf>
    <xf numFmtId="0" fontId="15" fillId="31" borderId="163" xfId="6" applyFont="1" applyFill="1" applyBorder="1" applyAlignment="1">
      <alignment vertical="center"/>
    </xf>
    <xf numFmtId="177" fontId="15" fillId="31" borderId="164" xfId="6" applyNumberFormat="1" applyFont="1" applyFill="1" applyBorder="1" applyAlignment="1">
      <alignment vertical="center"/>
    </xf>
    <xf numFmtId="0" fontId="15" fillId="31" borderId="165" xfId="6" applyFont="1" applyFill="1" applyBorder="1" applyAlignment="1">
      <alignment vertical="center"/>
    </xf>
    <xf numFmtId="0" fontId="9" fillId="0" borderId="84" xfId="6" applyFont="1" applyBorder="1" applyAlignment="1">
      <alignment vertical="center"/>
    </xf>
    <xf numFmtId="0" fontId="15" fillId="0" borderId="103" xfId="6" applyFont="1" applyBorder="1" applyAlignment="1">
      <alignment horizontal="center" vertical="center"/>
    </xf>
    <xf numFmtId="0" fontId="51" fillId="0" borderId="84" xfId="6" applyFont="1" applyBorder="1" applyAlignment="1">
      <alignment vertical="center"/>
    </xf>
    <xf numFmtId="0" fontId="9" fillId="10" borderId="83" xfId="6" quotePrefix="1" applyFont="1" applyFill="1" applyBorder="1" applyAlignment="1">
      <alignment vertical="center"/>
    </xf>
    <xf numFmtId="46" fontId="9" fillId="7" borderId="83" xfId="6" quotePrefix="1" applyNumberFormat="1" applyFont="1" applyFill="1" applyBorder="1" applyAlignment="1">
      <alignment vertical="center"/>
    </xf>
    <xf numFmtId="0" fontId="15" fillId="31" borderId="135" xfId="6" quotePrefix="1" applyFont="1" applyFill="1" applyBorder="1" applyAlignment="1">
      <alignment vertical="center"/>
    </xf>
    <xf numFmtId="0" fontId="15" fillId="31" borderId="136" xfId="6" applyFont="1" applyFill="1" applyBorder="1" applyAlignment="1">
      <alignment vertical="center"/>
    </xf>
    <xf numFmtId="0" fontId="15" fillId="31" borderId="137" xfId="6" applyFont="1" applyFill="1" applyBorder="1" applyAlignment="1">
      <alignment vertical="center"/>
    </xf>
    <xf numFmtId="0" fontId="15" fillId="31" borderId="135" xfId="6" applyFont="1" applyFill="1" applyBorder="1" applyAlignment="1">
      <alignment vertical="center"/>
    </xf>
    <xf numFmtId="0" fontId="15" fillId="10" borderId="117" xfId="6" applyFont="1" applyFill="1" applyBorder="1" applyAlignment="1">
      <alignment vertical="center"/>
    </xf>
    <xf numFmtId="0" fontId="15" fillId="10" borderId="118" xfId="6" applyFont="1" applyFill="1" applyBorder="1" applyAlignment="1">
      <alignment vertical="center"/>
    </xf>
    <xf numFmtId="0" fontId="15" fillId="10" borderId="119" xfId="6" applyFont="1" applyFill="1" applyBorder="1" applyAlignment="1">
      <alignment vertical="center"/>
    </xf>
    <xf numFmtId="3" fontId="15" fillId="0" borderId="135" xfId="6" quotePrefix="1" applyNumberFormat="1" applyFont="1" applyBorder="1" applyAlignment="1">
      <alignment vertical="center"/>
    </xf>
    <xf numFmtId="0" fontId="15" fillId="0" borderId="125" xfId="6" applyFont="1" applyBorder="1" applyAlignment="1">
      <alignment vertical="center" wrapText="1"/>
    </xf>
    <xf numFmtId="0" fontId="15" fillId="0" borderId="129" xfId="6" applyFont="1" applyBorder="1" applyAlignment="1">
      <alignment horizontal="center" vertical="center"/>
    </xf>
    <xf numFmtId="0" fontId="42" fillId="35" borderId="80" xfId="6" applyFont="1" applyFill="1" applyBorder="1" applyAlignment="1">
      <alignment vertical="center"/>
    </xf>
    <xf numFmtId="0" fontId="42" fillId="35" borderId="81" xfId="6" applyFont="1" applyFill="1" applyBorder="1" applyAlignment="1">
      <alignment vertical="center"/>
    </xf>
    <xf numFmtId="0" fontId="42" fillId="35" borderId="82" xfId="6" applyFont="1" applyFill="1" applyBorder="1"/>
    <xf numFmtId="0" fontId="18" fillId="0" borderId="0" xfId="6" applyFont="1"/>
    <xf numFmtId="0" fontId="44" fillId="7" borderId="0" xfId="6" applyFont="1" applyFill="1" applyAlignment="1">
      <alignment horizontal="left" vertical="center"/>
    </xf>
    <xf numFmtId="0" fontId="45" fillId="0" borderId="0" xfId="4" applyFont="1" applyAlignment="1">
      <alignment vertical="center"/>
    </xf>
    <xf numFmtId="0" fontId="15" fillId="7" borderId="0" xfId="6" applyFont="1" applyFill="1" applyAlignment="1">
      <alignment horizontal="left" vertical="center"/>
    </xf>
    <xf numFmtId="0" fontId="15" fillId="7" borderId="0" xfId="6" quotePrefix="1" applyFont="1" applyFill="1" applyAlignment="1">
      <alignment horizontal="left" vertical="center"/>
    </xf>
    <xf numFmtId="0" fontId="15" fillId="7" borderId="24" xfId="6" applyFont="1" applyFill="1" applyBorder="1" applyAlignment="1">
      <alignment horizontal="center" vertical="center"/>
    </xf>
    <xf numFmtId="0" fontId="2" fillId="0" borderId="215" xfId="0" applyFont="1" applyBorder="1" applyAlignment="1">
      <alignment horizontal="left" vertical="center"/>
    </xf>
    <xf numFmtId="0" fontId="2" fillId="5" borderId="216" xfId="0" applyFont="1" applyFill="1" applyBorder="1" applyAlignment="1">
      <alignment vertical="center"/>
    </xf>
    <xf numFmtId="0" fontId="2" fillId="5" borderId="214" xfId="0" applyFont="1" applyFill="1" applyBorder="1" applyAlignment="1">
      <alignment vertical="center"/>
    </xf>
    <xf numFmtId="0" fontId="2" fillId="5" borderId="217" xfId="0" applyFont="1" applyFill="1" applyBorder="1" applyAlignment="1">
      <alignment vertical="center"/>
    </xf>
    <xf numFmtId="0" fontId="2" fillId="5" borderId="215" xfId="0" applyFont="1" applyFill="1" applyBorder="1" applyAlignment="1">
      <alignment horizontal="center" vertical="center"/>
    </xf>
    <xf numFmtId="0" fontId="2" fillId="5" borderId="214" xfId="0" applyFont="1" applyFill="1" applyBorder="1" applyAlignment="1">
      <alignment horizontal="left" vertical="center"/>
    </xf>
    <xf numFmtId="0" fontId="2" fillId="0" borderId="217" xfId="0" applyFont="1" applyBorder="1" applyAlignment="1">
      <alignment horizontal="left" vertical="center"/>
    </xf>
    <xf numFmtId="0" fontId="2" fillId="0" borderId="214" xfId="0" applyFont="1" applyBorder="1" applyAlignment="1">
      <alignment horizontal="left" vertical="center"/>
    </xf>
    <xf numFmtId="0" fontId="2" fillId="36" borderId="0" xfId="0" applyFont="1" applyFill="1" applyAlignment="1">
      <alignment horizontal="left" vertical="center"/>
    </xf>
    <xf numFmtId="0" fontId="2" fillId="36" borderId="58" xfId="0" applyFont="1" applyFill="1" applyBorder="1" applyAlignment="1">
      <alignment vertical="center"/>
    </xf>
    <xf numFmtId="0" fontId="2" fillId="36" borderId="33" xfId="0" applyFont="1" applyFill="1" applyBorder="1" applyAlignment="1">
      <alignment vertical="center"/>
    </xf>
    <xf numFmtId="0" fontId="2" fillId="36" borderId="31" xfId="0" applyFont="1" applyFill="1" applyBorder="1" applyAlignment="1">
      <alignment vertical="center"/>
    </xf>
    <xf numFmtId="0" fontId="2" fillId="36" borderId="0" xfId="0" applyFont="1" applyFill="1" applyAlignment="1">
      <alignment horizontal="center" vertical="center"/>
    </xf>
    <xf numFmtId="0" fontId="2" fillId="36" borderId="33" xfId="0" applyFont="1" applyFill="1" applyBorder="1" applyAlignment="1">
      <alignment horizontal="left" vertical="center"/>
    </xf>
    <xf numFmtId="0" fontId="2" fillId="36" borderId="31" xfId="0" applyFont="1" applyFill="1" applyBorder="1" applyAlignment="1">
      <alignment horizontal="left" vertical="center"/>
    </xf>
    <xf numFmtId="0" fontId="2" fillId="36" borderId="59" xfId="0" applyFont="1" applyFill="1" applyBorder="1" applyAlignment="1">
      <alignment vertical="center"/>
    </xf>
    <xf numFmtId="0" fontId="2" fillId="36" borderId="34" xfId="0" applyFont="1" applyFill="1" applyBorder="1" applyAlignment="1">
      <alignment vertical="center"/>
    </xf>
    <xf numFmtId="0" fontId="2" fillId="36" borderId="11" xfId="0" applyFont="1" applyFill="1" applyBorder="1" applyAlignment="1">
      <alignment vertical="center"/>
    </xf>
    <xf numFmtId="0" fontId="2" fillId="36" borderId="12" xfId="0" applyFont="1" applyFill="1" applyBorder="1" applyAlignment="1">
      <alignment horizontal="center" vertical="center"/>
    </xf>
    <xf numFmtId="0" fontId="2" fillId="36" borderId="34" xfId="0" applyFont="1" applyFill="1" applyBorder="1" applyAlignment="1">
      <alignment horizontal="left" vertical="center"/>
    </xf>
    <xf numFmtId="0" fontId="10" fillId="5" borderId="33" xfId="0" applyFont="1" applyFill="1" applyBorder="1" applyAlignment="1">
      <alignment vertical="center"/>
    </xf>
    <xf numFmtId="0" fontId="57" fillId="5" borderId="33" xfId="0" applyFont="1" applyFill="1" applyBorder="1" applyAlignment="1">
      <alignment vertical="center"/>
    </xf>
    <xf numFmtId="0" fontId="58" fillId="7" borderId="0" xfId="6" applyFont="1" applyFill="1" applyAlignment="1">
      <alignment vertical="center"/>
    </xf>
    <xf numFmtId="0" fontId="59" fillId="0" borderId="33" xfId="0" applyFont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0" fillId="5" borderId="58" xfId="0" applyFont="1" applyFill="1" applyBorder="1" applyAlignment="1">
      <alignment vertical="center"/>
    </xf>
    <xf numFmtId="0" fontId="10" fillId="5" borderId="31" xfId="0" applyFont="1" applyFill="1" applyBorder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0" fillId="5" borderId="40" xfId="0" applyFont="1" applyFill="1" applyBorder="1" applyAlignment="1">
      <alignment vertical="center"/>
    </xf>
    <xf numFmtId="0" fontId="10" fillId="5" borderId="4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5" borderId="58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5" borderId="0" xfId="0" applyFont="1" applyFill="1" applyAlignment="1">
      <alignment vertical="center"/>
    </xf>
    <xf numFmtId="0" fontId="10" fillId="5" borderId="33" xfId="0" applyFont="1" applyFill="1" applyBorder="1" applyAlignment="1">
      <alignment horizontal="left" vertical="center"/>
    </xf>
    <xf numFmtId="0" fontId="10" fillId="0" borderId="31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5" borderId="59" xfId="0" applyFont="1" applyFill="1" applyBorder="1" applyAlignment="1">
      <alignment vertical="center"/>
    </xf>
    <xf numFmtId="0" fontId="10" fillId="5" borderId="12" xfId="0" applyFont="1" applyFill="1" applyBorder="1" applyAlignment="1">
      <alignment vertical="center"/>
    </xf>
    <xf numFmtId="0" fontId="10" fillId="5" borderId="11" xfId="0" applyFont="1" applyFill="1" applyBorder="1" applyAlignment="1">
      <alignment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33" fillId="0" borderId="0" xfId="0" applyFont="1"/>
    <xf numFmtId="0" fontId="2" fillId="16" borderId="33" xfId="0" applyFont="1" applyFill="1" applyBorder="1" applyAlignment="1">
      <alignment vertical="center"/>
    </xf>
    <xf numFmtId="0" fontId="2" fillId="5" borderId="31" xfId="0" applyFont="1" applyFill="1" applyBorder="1" applyAlignment="1">
      <alignment horizontal="left" vertical="top" wrapText="1"/>
    </xf>
    <xf numFmtId="0" fontId="15" fillId="7" borderId="1" xfId="6" applyFont="1" applyFill="1" applyBorder="1" applyAlignment="1">
      <alignment horizontal="left" vertical="center"/>
    </xf>
    <xf numFmtId="0" fontId="15" fillId="7" borderId="1" xfId="6" applyFont="1" applyFill="1" applyBorder="1" applyAlignment="1">
      <alignment horizontal="center" vertical="center"/>
    </xf>
    <xf numFmtId="0" fontId="15" fillId="7" borderId="1" xfId="6" quotePrefix="1" applyFont="1" applyFill="1" applyBorder="1" applyAlignment="1">
      <alignment horizontal="center" vertical="center"/>
    </xf>
    <xf numFmtId="0" fontId="15" fillId="7" borderId="0" xfId="6" applyFont="1" applyFill="1" applyAlignment="1">
      <alignment horizontal="center" vertical="center"/>
    </xf>
    <xf numFmtId="0" fontId="15" fillId="7" borderId="6" xfId="6" applyFont="1" applyFill="1" applyBorder="1" applyAlignment="1">
      <alignment horizontal="center" vertical="center"/>
    </xf>
    <xf numFmtId="0" fontId="15" fillId="7" borderId="7" xfId="6" applyFont="1" applyFill="1" applyBorder="1" applyAlignment="1">
      <alignment horizontal="center" vertical="center"/>
    </xf>
    <xf numFmtId="0" fontId="15" fillId="7" borderId="8" xfId="6" applyFont="1" applyFill="1" applyBorder="1" applyAlignment="1">
      <alignment horizontal="center" vertical="center"/>
    </xf>
    <xf numFmtId="0" fontId="15" fillId="7" borderId="9" xfId="6" applyFont="1" applyFill="1" applyBorder="1" applyAlignment="1">
      <alignment horizontal="center" vertical="center"/>
    </xf>
    <xf numFmtId="0" fontId="15" fillId="7" borderId="5" xfId="6" applyFont="1" applyFill="1" applyBorder="1" applyAlignment="1">
      <alignment horizontal="center" vertical="center"/>
    </xf>
    <xf numFmtId="0" fontId="15" fillId="7" borderId="9" xfId="6" quotePrefix="1" applyFont="1" applyFill="1" applyBorder="1" applyAlignment="1">
      <alignment horizontal="center" vertical="center"/>
    </xf>
    <xf numFmtId="0" fontId="15" fillId="7" borderId="10" xfId="6" applyFont="1" applyFill="1" applyBorder="1" applyAlignment="1">
      <alignment horizontal="center" vertical="center"/>
    </xf>
    <xf numFmtId="0" fontId="15" fillId="9" borderId="1" xfId="6" applyFont="1" applyFill="1" applyBorder="1" applyAlignment="1">
      <alignment horizontal="center" vertical="center"/>
    </xf>
    <xf numFmtId="0" fontId="15" fillId="9" borderId="1" xfId="6" applyFont="1" applyFill="1" applyBorder="1" applyAlignment="1">
      <alignment horizontal="center" vertical="center" shrinkToFit="1"/>
    </xf>
    <xf numFmtId="0" fontId="15" fillId="0" borderId="0" xfId="6" applyFont="1" applyAlignment="1">
      <alignment horizontal="center" vertical="center"/>
    </xf>
    <xf numFmtId="0" fontId="15" fillId="9" borderId="6" xfId="6" applyFont="1" applyFill="1" applyBorder="1" applyAlignment="1">
      <alignment horizontal="center" vertical="center"/>
    </xf>
    <xf numFmtId="0" fontId="7" fillId="0" borderId="7" xfId="10" applyBorder="1" applyAlignment="1">
      <alignment vertical="center"/>
    </xf>
    <xf numFmtId="0" fontId="7" fillId="0" borderId="8" xfId="10" applyBorder="1" applyAlignment="1">
      <alignment vertical="center"/>
    </xf>
    <xf numFmtId="0" fontId="15" fillId="8" borderId="1" xfId="6" applyFont="1" applyFill="1" applyBorder="1" applyAlignment="1">
      <alignment horizontal="center" vertical="center"/>
    </xf>
    <xf numFmtId="0" fontId="42" fillId="35" borderId="207" xfId="12" applyFont="1" applyFill="1" applyBorder="1" applyAlignment="1">
      <alignment horizontal="center" wrapText="1"/>
    </xf>
    <xf numFmtId="0" fontId="7" fillId="35" borderId="81" xfId="6" applyFill="1" applyBorder="1" applyAlignment="1">
      <alignment horizontal="center" wrapText="1"/>
    </xf>
    <xf numFmtId="0" fontId="7" fillId="35" borderId="208" xfId="6" applyFill="1" applyBorder="1" applyAlignment="1">
      <alignment horizontal="center" wrapText="1"/>
    </xf>
    <xf numFmtId="0" fontId="42" fillId="35" borderId="207" xfId="12" applyFont="1" applyFill="1" applyBorder="1" applyAlignment="1">
      <alignment horizontal="center"/>
    </xf>
    <xf numFmtId="0" fontId="7" fillId="35" borderId="81" xfId="6" applyFill="1" applyBorder="1" applyAlignment="1">
      <alignment horizontal="center"/>
    </xf>
    <xf numFmtId="0" fontId="7" fillId="35" borderId="208" xfId="6" applyFill="1" applyBorder="1" applyAlignment="1">
      <alignment horizontal="center"/>
    </xf>
    <xf numFmtId="0" fontId="7" fillId="35" borderId="82" xfId="6" applyFill="1" applyBorder="1" applyAlignment="1">
      <alignment horizontal="center"/>
    </xf>
    <xf numFmtId="0" fontId="42" fillId="0" borderId="9" xfId="11" applyFont="1" applyBorder="1" applyAlignment="1">
      <alignment horizontal="center" vertical="center" wrapText="1"/>
    </xf>
    <xf numFmtId="0" fontId="42" fillId="0" borderId="5" xfId="11" applyFont="1" applyBorder="1" applyAlignment="1">
      <alignment horizontal="center" vertical="center" wrapText="1"/>
    </xf>
    <xf numFmtId="0" fontId="42" fillId="0" borderId="10" xfId="11" applyFont="1" applyBorder="1" applyAlignment="1">
      <alignment horizontal="center" vertical="center" wrapText="1"/>
    </xf>
    <xf numFmtId="0" fontId="42" fillId="35" borderId="6" xfId="11" applyFont="1" applyFill="1" applyBorder="1" applyAlignment="1">
      <alignment horizontal="center" wrapText="1"/>
    </xf>
    <xf numFmtId="0" fontId="42" fillId="35" borderId="7" xfId="11" applyFont="1" applyFill="1" applyBorder="1" applyAlignment="1">
      <alignment horizontal="center" wrapText="1"/>
    </xf>
    <xf numFmtId="0" fontId="42" fillId="35" borderId="8" xfId="11" applyFont="1" applyFill="1" applyBorder="1" applyAlignment="1">
      <alignment horizontal="center" wrapText="1"/>
    </xf>
    <xf numFmtId="0" fontId="16" fillId="0" borderId="6" xfId="11" applyFont="1" applyBorder="1" applyAlignment="1">
      <alignment horizontal="center" wrapText="1"/>
    </xf>
    <xf numFmtId="0" fontId="16" fillId="0" borderId="7" xfId="11" applyFont="1" applyBorder="1" applyAlignment="1">
      <alignment horizontal="center" wrapText="1"/>
    </xf>
    <xf numFmtId="0" fontId="16" fillId="0" borderId="8" xfId="11" applyFont="1" applyBorder="1" applyAlignment="1">
      <alignment horizontal="center" wrapText="1"/>
    </xf>
    <xf numFmtId="0" fontId="16" fillId="0" borderId="6" xfId="6" applyFont="1" applyBorder="1" applyAlignment="1">
      <alignment horizontal="center" wrapText="1"/>
    </xf>
    <xf numFmtId="0" fontId="16" fillId="0" borderId="7" xfId="6" applyFont="1" applyBorder="1" applyAlignment="1">
      <alignment horizontal="center" wrapText="1"/>
    </xf>
    <xf numFmtId="0" fontId="16" fillId="0" borderId="8" xfId="6" applyFont="1" applyBorder="1" applyAlignment="1">
      <alignment horizontal="center" wrapText="1"/>
    </xf>
    <xf numFmtId="0" fontId="16" fillId="0" borderId="9" xfId="12" applyFont="1" applyBorder="1" applyAlignment="1">
      <alignment horizontal="center" vertical="center" wrapText="1"/>
    </xf>
    <xf numFmtId="0" fontId="7" fillId="0" borderId="5" xfId="6" applyBorder="1" applyAlignment="1">
      <alignment horizontal="center" vertical="center" wrapText="1"/>
    </xf>
    <xf numFmtId="0" fontId="7" fillId="0" borderId="10" xfId="6" applyBorder="1" applyAlignment="1">
      <alignment horizontal="center" vertical="center" wrapText="1"/>
    </xf>
    <xf numFmtId="0" fontId="7" fillId="0" borderId="210" xfId="6" applyBorder="1" applyAlignment="1">
      <alignment horizontal="center" vertical="center" wrapText="1"/>
    </xf>
    <xf numFmtId="0" fontId="7" fillId="0" borderId="24" xfId="6" applyBorder="1" applyAlignment="1">
      <alignment horizontal="center" vertical="center" wrapText="1"/>
    </xf>
    <xf numFmtId="0" fontId="7" fillId="0" borderId="209" xfId="6" applyBorder="1" applyAlignment="1">
      <alignment horizontal="center" vertical="center" wrapText="1"/>
    </xf>
    <xf numFmtId="0" fontId="56" fillId="0" borderId="13" xfId="11" applyFont="1" applyBorder="1" applyAlignment="1">
      <alignment horizontal="center" vertical="center" wrapText="1"/>
    </xf>
    <xf numFmtId="0" fontId="56" fillId="0" borderId="14" xfId="11" applyFont="1" applyBorder="1" applyAlignment="1">
      <alignment horizontal="center" vertical="center" wrapText="1"/>
    </xf>
    <xf numFmtId="0" fontId="56" fillId="0" borderId="73" xfId="11" applyFont="1" applyBorder="1" applyAlignment="1">
      <alignment horizontal="center" vertical="center" wrapText="1"/>
    </xf>
    <xf numFmtId="0" fontId="56" fillId="0" borderId="87" xfId="11" applyFont="1" applyBorder="1" applyAlignment="1">
      <alignment horizontal="center" vertical="center" wrapText="1"/>
    </xf>
    <xf numFmtId="0" fontId="56" fillId="0" borderId="0" xfId="11" applyFont="1" applyAlignment="1">
      <alignment horizontal="center" vertical="center" wrapText="1"/>
    </xf>
    <xf numFmtId="0" fontId="56" fillId="0" borderId="33" xfId="11" applyFont="1" applyBorder="1" applyAlignment="1">
      <alignment horizontal="center" vertical="center" wrapText="1"/>
    </xf>
    <xf numFmtId="0" fontId="56" fillId="0" borderId="93" xfId="11" applyFont="1" applyBorder="1" applyAlignment="1">
      <alignment horizontal="center" vertical="center" wrapText="1"/>
    </xf>
    <xf numFmtId="0" fontId="56" fillId="0" borderId="24" xfId="11" applyFont="1" applyBorder="1" applyAlignment="1">
      <alignment horizontal="center" vertical="center" wrapText="1"/>
    </xf>
    <xf numFmtId="0" fontId="56" fillId="0" borderId="209" xfId="11" applyFont="1" applyBorder="1" applyAlignment="1">
      <alignment horizontal="center" vertical="center" wrapText="1"/>
    </xf>
    <xf numFmtId="0" fontId="42" fillId="35" borderId="207" xfId="11" applyFont="1" applyFill="1" applyBorder="1" applyAlignment="1">
      <alignment horizontal="center" vertical="center" wrapText="1"/>
    </xf>
    <xf numFmtId="0" fontId="42" fillId="35" borderId="81" xfId="11" applyFont="1" applyFill="1" applyBorder="1" applyAlignment="1">
      <alignment horizontal="center" vertical="center" wrapText="1"/>
    </xf>
    <xf numFmtId="0" fontId="42" fillId="35" borderId="208" xfId="11" applyFont="1" applyFill="1" applyBorder="1" applyAlignment="1">
      <alignment horizontal="center" vertical="center" wrapText="1"/>
    </xf>
    <xf numFmtId="0" fontId="42" fillId="35" borderId="207" xfId="11" applyFont="1" applyFill="1" applyBorder="1" applyAlignment="1">
      <alignment horizontal="center" wrapText="1"/>
    </xf>
    <xf numFmtId="0" fontId="42" fillId="35" borderId="81" xfId="11" applyFont="1" applyFill="1" applyBorder="1" applyAlignment="1">
      <alignment horizontal="center" wrapText="1"/>
    </xf>
    <xf numFmtId="0" fontId="42" fillId="35" borderId="208" xfId="11" applyFont="1" applyFill="1" applyBorder="1" applyAlignment="1">
      <alignment horizontal="center" wrapText="1"/>
    </xf>
    <xf numFmtId="0" fontId="16" fillId="0" borderId="207" xfId="11" applyFont="1" applyBorder="1" applyAlignment="1">
      <alignment horizontal="center" wrapText="1"/>
    </xf>
    <xf numFmtId="0" fontId="16" fillId="0" borderId="81" xfId="11" applyFont="1" applyBorder="1" applyAlignment="1">
      <alignment horizontal="center" wrapText="1"/>
    </xf>
    <xf numFmtId="0" fontId="16" fillId="0" borderId="208" xfId="11" applyFont="1" applyBorder="1" applyAlignment="1">
      <alignment horizontal="center" wrapText="1"/>
    </xf>
    <xf numFmtId="178" fontId="16" fillId="0" borderId="9" xfId="12" applyNumberFormat="1" applyFont="1" applyBorder="1" applyAlignment="1">
      <alignment horizontal="center" vertical="center" wrapText="1"/>
    </xf>
    <xf numFmtId="0" fontId="7" fillId="0" borderId="90" xfId="6" applyBorder="1" applyAlignment="1">
      <alignment horizontal="center" vertical="center" wrapText="1"/>
    </xf>
    <xf numFmtId="0" fontId="7" fillId="0" borderId="94" xfId="6" applyBorder="1" applyAlignment="1">
      <alignment horizontal="center" vertical="center" wrapText="1"/>
    </xf>
    <xf numFmtId="0" fontId="44" fillId="0" borderId="210" xfId="11" applyFont="1" applyBorder="1" applyAlignment="1">
      <alignment horizontal="center" vertical="center" shrinkToFit="1"/>
    </xf>
    <xf numFmtId="0" fontId="44" fillId="0" borderId="24" xfId="11" applyFont="1" applyBorder="1" applyAlignment="1">
      <alignment horizontal="center" vertical="center" shrinkToFit="1"/>
    </xf>
    <xf numFmtId="0" fontId="44" fillId="0" borderId="209" xfId="11" applyFont="1" applyBorder="1" applyAlignment="1">
      <alignment horizontal="center" vertical="center" shrinkToFit="1"/>
    </xf>
    <xf numFmtId="0" fontId="42" fillId="35" borderId="211" xfId="11" applyFont="1" applyFill="1" applyBorder="1" applyAlignment="1">
      <alignment horizontal="center" wrapText="1"/>
    </xf>
    <xf numFmtId="0" fontId="42" fillId="35" borderId="212" xfId="11" applyFont="1" applyFill="1" applyBorder="1" applyAlignment="1">
      <alignment horizontal="center" wrapText="1"/>
    </xf>
    <xf numFmtId="0" fontId="42" fillId="35" borderId="213" xfId="11" applyFont="1" applyFill="1" applyBorder="1" applyAlignment="1">
      <alignment horizontal="center" wrapText="1"/>
    </xf>
    <xf numFmtId="0" fontId="15" fillId="0" borderId="211" xfId="13" applyFont="1" applyBorder="1" applyAlignment="1">
      <alignment horizontal="center" wrapText="1"/>
    </xf>
    <xf numFmtId="0" fontId="15" fillId="0" borderId="212" xfId="13" applyFont="1" applyBorder="1" applyAlignment="1">
      <alignment horizontal="center" wrapText="1"/>
    </xf>
    <xf numFmtId="0" fontId="15" fillId="0" borderId="212" xfId="13" quotePrefix="1" applyFont="1" applyBorder="1" applyAlignment="1">
      <alignment wrapText="1"/>
    </xf>
    <xf numFmtId="0" fontId="15" fillId="0" borderId="213" xfId="13" quotePrefix="1" applyFont="1" applyBorder="1" applyAlignment="1">
      <alignment wrapText="1"/>
    </xf>
    <xf numFmtId="0" fontId="15" fillId="0" borderId="126" xfId="6" applyFont="1" applyBorder="1" applyAlignment="1">
      <alignment horizontal="center" vertical="center"/>
    </xf>
    <xf numFmtId="0" fontId="15" fillId="0" borderId="127" xfId="6" applyFont="1" applyBorder="1" applyAlignment="1">
      <alignment horizontal="center" vertical="center"/>
    </xf>
    <xf numFmtId="0" fontId="15" fillId="0" borderId="128" xfId="6" applyFont="1" applyBorder="1" applyAlignment="1">
      <alignment horizontal="center" vertical="center"/>
    </xf>
    <xf numFmtId="0" fontId="48" fillId="29" borderId="151" xfId="6" applyFont="1" applyFill="1" applyBorder="1" applyAlignment="1">
      <alignment horizontal="center" vertical="center" shrinkToFit="1"/>
    </xf>
    <xf numFmtId="0" fontId="48" fillId="29" borderId="152" xfId="6" applyFont="1" applyFill="1" applyBorder="1" applyAlignment="1">
      <alignment horizontal="center" vertical="center" shrinkToFit="1"/>
    </xf>
    <xf numFmtId="0" fontId="15" fillId="11" borderId="112" xfId="6" applyFont="1" applyFill="1" applyBorder="1" applyAlignment="1">
      <alignment horizontal="center" vertical="center"/>
    </xf>
    <xf numFmtId="0" fontId="15" fillId="11" borderId="111" xfId="6" applyFont="1" applyFill="1" applyBorder="1" applyAlignment="1">
      <alignment horizontal="center" vertical="center"/>
    </xf>
    <xf numFmtId="0" fontId="15" fillId="11" borderId="130" xfId="6" applyFont="1" applyFill="1" applyBorder="1" applyAlignment="1">
      <alignment horizontal="center" vertical="center"/>
    </xf>
    <xf numFmtId="0" fontId="15" fillId="0" borderId="112" xfId="6" applyFont="1" applyBorder="1" applyAlignment="1">
      <alignment horizontal="center" vertical="center"/>
    </xf>
    <xf numFmtId="0" fontId="15" fillId="0" borderId="111" xfId="6" applyFont="1" applyBorder="1" applyAlignment="1">
      <alignment horizontal="center" vertical="center"/>
    </xf>
    <xf numFmtId="0" fontId="15" fillId="0" borderId="130" xfId="6" applyFont="1" applyBorder="1" applyAlignment="1">
      <alignment horizontal="center" vertical="center"/>
    </xf>
    <xf numFmtId="0" fontId="15" fillId="0" borderId="109" xfId="6" quotePrefix="1" applyFont="1" applyBorder="1" applyAlignment="1">
      <alignment horizontal="center" vertical="center"/>
    </xf>
    <xf numFmtId="0" fontId="7" fillId="0" borderId="113" xfId="6" applyBorder="1" applyAlignment="1">
      <alignment horizontal="center" vertical="center"/>
    </xf>
    <xf numFmtId="0" fontId="7" fillId="0" borderId="116" xfId="6" applyBorder="1" applyAlignment="1">
      <alignment horizontal="center" vertical="center"/>
    </xf>
    <xf numFmtId="0" fontId="7" fillId="0" borderId="131" xfId="6" applyBorder="1" applyAlignment="1">
      <alignment horizontal="center" vertical="center"/>
    </xf>
    <xf numFmtId="0" fontId="7" fillId="0" borderId="124" xfId="6" applyBorder="1" applyAlignment="1">
      <alignment horizontal="center" vertical="center"/>
    </xf>
    <xf numFmtId="0" fontId="7" fillId="0" borderId="129" xfId="6" applyBorder="1" applyAlignment="1">
      <alignment horizontal="center" vertical="center"/>
    </xf>
    <xf numFmtId="0" fontId="15" fillId="33" borderId="135" xfId="6" applyFont="1" applyFill="1" applyBorder="1" applyAlignment="1">
      <alignment horizontal="center" vertical="center"/>
    </xf>
    <xf numFmtId="0" fontId="15" fillId="33" borderId="136" xfId="6" applyFont="1" applyFill="1" applyBorder="1" applyAlignment="1">
      <alignment horizontal="center" vertical="center"/>
    </xf>
    <xf numFmtId="0" fontId="15" fillId="33" borderId="137" xfId="6" applyFont="1" applyFill="1" applyBorder="1" applyAlignment="1">
      <alignment horizontal="center" vertical="center"/>
    </xf>
    <xf numFmtId="0" fontId="15" fillId="0" borderId="98" xfId="6" applyFont="1" applyBorder="1" applyAlignment="1">
      <alignment horizontal="center" vertical="center"/>
    </xf>
    <xf numFmtId="0" fontId="15" fillId="0" borderId="120" xfId="6" applyFont="1" applyBorder="1" applyAlignment="1">
      <alignment horizontal="center" vertical="center"/>
    </xf>
    <xf numFmtId="0" fontId="15" fillId="0" borderId="99" xfId="6" applyFont="1" applyBorder="1" applyAlignment="1">
      <alignment horizontal="center" vertical="center"/>
    </xf>
    <xf numFmtId="49" fontId="15" fillId="0" borderId="107" xfId="6" applyNumberFormat="1" applyFont="1" applyBorder="1" applyAlignment="1">
      <alignment horizontal="center" vertical="top"/>
    </xf>
    <xf numFmtId="49" fontId="15" fillId="0" borderId="108" xfId="6" applyNumberFormat="1" applyFont="1" applyBorder="1" applyAlignment="1">
      <alignment horizontal="center" vertical="top"/>
    </xf>
    <xf numFmtId="49" fontId="15" fillId="0" borderId="114" xfId="6" applyNumberFormat="1" applyFont="1" applyBorder="1" applyAlignment="1">
      <alignment horizontal="center" vertical="top"/>
    </xf>
    <xf numFmtId="49" fontId="15" fillId="0" borderId="115" xfId="6" applyNumberFormat="1" applyFont="1" applyBorder="1" applyAlignment="1">
      <alignment horizontal="center" vertical="top"/>
    </xf>
    <xf numFmtId="49" fontId="15" fillId="0" borderId="122" xfId="6" applyNumberFormat="1" applyFont="1" applyBorder="1" applyAlignment="1">
      <alignment horizontal="center" vertical="top"/>
    </xf>
    <xf numFmtId="49" fontId="15" fillId="0" borderId="123" xfId="6" applyNumberFormat="1" applyFont="1" applyBorder="1" applyAlignment="1">
      <alignment horizontal="center" vertical="top"/>
    </xf>
    <xf numFmtId="0" fontId="15" fillId="7" borderId="109" xfId="6" applyFont="1" applyFill="1" applyBorder="1" applyAlignment="1">
      <alignment horizontal="center" vertical="top" wrapText="1" shrinkToFit="1"/>
    </xf>
    <xf numFmtId="0" fontId="15" fillId="7" borderId="110" xfId="6" applyFont="1" applyFill="1" applyBorder="1" applyAlignment="1">
      <alignment horizontal="center" vertical="top" wrapText="1" shrinkToFit="1"/>
    </xf>
    <xf numFmtId="0" fontId="15" fillId="7" borderId="108" xfId="6" applyFont="1" applyFill="1" applyBorder="1" applyAlignment="1">
      <alignment horizontal="center" vertical="top" wrapText="1" shrinkToFit="1"/>
    </xf>
    <xf numFmtId="0" fontId="15" fillId="7" borderId="116" xfId="6" applyFont="1" applyFill="1" applyBorder="1" applyAlignment="1">
      <alignment horizontal="center" vertical="top" wrapText="1" shrinkToFit="1"/>
    </xf>
    <xf numFmtId="0" fontId="15" fillId="7" borderId="0" xfId="6" applyFont="1" applyFill="1" applyAlignment="1">
      <alignment horizontal="center" vertical="top" wrapText="1" shrinkToFit="1"/>
    </xf>
    <xf numFmtId="0" fontId="15" fillId="7" borderId="115" xfId="6" applyFont="1" applyFill="1" applyBorder="1" applyAlignment="1">
      <alignment horizontal="center" vertical="top" wrapText="1" shrinkToFit="1"/>
    </xf>
    <xf numFmtId="0" fontId="15" fillId="7" borderId="124" xfId="6" applyFont="1" applyFill="1" applyBorder="1" applyAlignment="1">
      <alignment horizontal="center" vertical="top" wrapText="1" shrinkToFit="1"/>
    </xf>
    <xf numFmtId="0" fontId="15" fillId="7" borderId="125" xfId="6" applyFont="1" applyFill="1" applyBorder="1" applyAlignment="1">
      <alignment horizontal="center" vertical="top" wrapText="1" shrinkToFit="1"/>
    </xf>
    <xf numFmtId="0" fontId="15" fillId="7" borderId="123" xfId="6" applyFont="1" applyFill="1" applyBorder="1" applyAlignment="1">
      <alignment horizontal="center" vertical="top" wrapText="1" shrinkToFit="1"/>
    </xf>
    <xf numFmtId="0" fontId="15" fillId="0" borderId="109" xfId="6" quotePrefix="1" applyFont="1" applyBorder="1" applyAlignment="1">
      <alignment horizontal="center" vertical="center" shrinkToFit="1"/>
    </xf>
    <xf numFmtId="0" fontId="15" fillId="0" borderId="113" xfId="6" quotePrefix="1" applyFont="1" applyBorder="1" applyAlignment="1">
      <alignment horizontal="center" vertical="center" shrinkToFit="1"/>
    </xf>
    <xf numFmtId="0" fontId="15" fillId="0" borderId="116" xfId="6" quotePrefix="1" applyFont="1" applyBorder="1" applyAlignment="1">
      <alignment horizontal="center" vertical="center" shrinkToFit="1"/>
    </xf>
    <xf numFmtId="0" fontId="15" fillId="0" borderId="131" xfId="6" quotePrefix="1" applyFont="1" applyBorder="1" applyAlignment="1">
      <alignment horizontal="center" vertical="center" shrinkToFit="1"/>
    </xf>
    <xf numFmtId="0" fontId="15" fillId="0" borderId="124" xfId="6" quotePrefix="1" applyFont="1" applyBorder="1" applyAlignment="1">
      <alignment horizontal="center" vertical="center" shrinkToFit="1"/>
    </xf>
    <xf numFmtId="0" fontId="15" fillId="0" borderId="129" xfId="6" quotePrefix="1" applyFont="1" applyBorder="1" applyAlignment="1">
      <alignment horizontal="center" vertical="center" shrinkToFit="1"/>
    </xf>
    <xf numFmtId="0" fontId="15" fillId="33" borderId="107" xfId="6" applyFont="1" applyFill="1" applyBorder="1" applyAlignment="1">
      <alignment horizontal="center" vertical="center" wrapText="1"/>
    </xf>
    <xf numFmtId="0" fontId="15" fillId="33" borderId="110" xfId="6" applyFont="1" applyFill="1" applyBorder="1" applyAlignment="1">
      <alignment horizontal="center" vertical="center" wrapText="1"/>
    </xf>
    <xf numFmtId="0" fontId="15" fillId="33" borderId="108" xfId="6" applyFont="1" applyFill="1" applyBorder="1" applyAlignment="1">
      <alignment horizontal="center" vertical="center" wrapText="1"/>
    </xf>
    <xf numFmtId="0" fontId="15" fillId="33" borderId="114" xfId="6" applyFont="1" applyFill="1" applyBorder="1" applyAlignment="1">
      <alignment horizontal="center" vertical="center" wrapText="1"/>
    </xf>
    <xf numFmtId="0" fontId="15" fillId="33" borderId="0" xfId="6" applyFont="1" applyFill="1" applyAlignment="1">
      <alignment horizontal="center" vertical="center" wrapText="1"/>
    </xf>
    <xf numFmtId="0" fontId="15" fillId="33" borderId="115" xfId="6" applyFont="1" applyFill="1" applyBorder="1" applyAlignment="1">
      <alignment horizontal="center" vertical="center" wrapText="1"/>
    </xf>
    <xf numFmtId="0" fontId="15" fillId="33" borderId="122" xfId="6" applyFont="1" applyFill="1" applyBorder="1" applyAlignment="1">
      <alignment horizontal="center" vertical="center" wrapText="1"/>
    </xf>
    <xf numFmtId="0" fontId="15" fillId="33" borderId="125" xfId="6" applyFont="1" applyFill="1" applyBorder="1" applyAlignment="1">
      <alignment horizontal="center" vertical="center" wrapText="1"/>
    </xf>
    <xf numFmtId="0" fontId="15" fillId="33" borderId="123" xfId="6" applyFont="1" applyFill="1" applyBorder="1" applyAlignment="1">
      <alignment horizontal="center" vertical="center" wrapText="1"/>
    </xf>
    <xf numFmtId="0" fontId="15" fillId="6" borderId="109" xfId="6" applyFont="1" applyFill="1" applyBorder="1" applyAlignment="1">
      <alignment horizontal="center" vertical="center"/>
    </xf>
    <xf numFmtId="0" fontId="15" fillId="6" borderId="108" xfId="6" applyFont="1" applyFill="1" applyBorder="1" applyAlignment="1">
      <alignment horizontal="center" vertical="center"/>
    </xf>
    <xf numFmtId="0" fontId="15" fillId="6" borderId="116" xfId="6" applyFont="1" applyFill="1" applyBorder="1" applyAlignment="1">
      <alignment horizontal="center" vertical="center"/>
    </xf>
    <xf numFmtId="0" fontId="15" fillId="6" borderId="115" xfId="6" applyFont="1" applyFill="1" applyBorder="1" applyAlignment="1">
      <alignment horizontal="center" vertical="center"/>
    </xf>
    <xf numFmtId="0" fontId="15" fillId="6" borderId="124" xfId="6" applyFont="1" applyFill="1" applyBorder="1" applyAlignment="1">
      <alignment horizontal="center" vertical="center"/>
    </xf>
    <xf numFmtId="0" fontId="15" fillId="6" borderId="123" xfId="6" applyFont="1" applyFill="1" applyBorder="1" applyAlignment="1">
      <alignment horizontal="center" vertical="center"/>
    </xf>
    <xf numFmtId="0" fontId="15" fillId="0" borderId="109" xfId="6" applyFont="1" applyBorder="1" applyAlignment="1">
      <alignment horizontal="center" vertical="center" wrapText="1"/>
    </xf>
    <xf numFmtId="0" fontId="15" fillId="0" borderId="110" xfId="6" applyFont="1" applyBorder="1" applyAlignment="1">
      <alignment horizontal="center" vertical="center" wrapText="1"/>
    </xf>
    <xf numFmtId="0" fontId="15" fillId="0" borderId="108" xfId="6" applyFont="1" applyBorder="1" applyAlignment="1">
      <alignment horizontal="center" vertical="center" wrapText="1"/>
    </xf>
    <xf numFmtId="0" fontId="15" fillId="0" borderId="116" xfId="6" applyFont="1" applyBorder="1" applyAlignment="1">
      <alignment horizontal="center" vertical="center" wrapText="1"/>
    </xf>
    <xf numFmtId="0" fontId="15" fillId="0" borderId="0" xfId="6" applyFont="1" applyAlignment="1">
      <alignment horizontal="center" vertical="center" wrapText="1"/>
    </xf>
    <xf numFmtId="0" fontId="15" fillId="0" borderId="115" xfId="6" applyFont="1" applyBorder="1" applyAlignment="1">
      <alignment horizontal="center" vertical="center" wrapText="1"/>
    </xf>
    <xf numFmtId="0" fontId="15" fillId="0" borderId="124" xfId="6" applyFont="1" applyBorder="1" applyAlignment="1">
      <alignment horizontal="center" vertical="center" wrapText="1"/>
    </xf>
    <xf numFmtId="0" fontId="15" fillId="0" borderId="125" xfId="6" applyFont="1" applyBorder="1" applyAlignment="1">
      <alignment horizontal="center" vertical="center" wrapText="1"/>
    </xf>
    <xf numFmtId="0" fontId="15" fillId="0" borderId="123" xfId="6" applyFont="1" applyBorder="1" applyAlignment="1">
      <alignment horizontal="center" vertical="center" wrapText="1"/>
    </xf>
    <xf numFmtId="0" fontId="15" fillId="0" borderId="113" xfId="6" applyFont="1" applyBorder="1" applyAlignment="1">
      <alignment horizontal="center" vertical="center" wrapText="1"/>
    </xf>
    <xf numFmtId="0" fontId="15" fillId="0" borderId="131" xfId="6" applyFont="1" applyBorder="1" applyAlignment="1">
      <alignment horizontal="center" vertical="center" wrapText="1"/>
    </xf>
    <xf numFmtId="0" fontId="15" fillId="0" borderId="129" xfId="6" applyFont="1" applyBorder="1" applyAlignment="1">
      <alignment horizontal="center" vertical="center" wrapText="1"/>
    </xf>
    <xf numFmtId="14" fontId="15" fillId="0" borderId="107" xfId="6" applyNumberFormat="1" applyFont="1" applyBorder="1" applyAlignment="1">
      <alignment horizontal="center" vertical="center"/>
    </xf>
    <xf numFmtId="0" fontId="15" fillId="0" borderId="110" xfId="6" applyFont="1" applyBorder="1" applyAlignment="1">
      <alignment horizontal="center" vertical="center"/>
    </xf>
    <xf numFmtId="0" fontId="15" fillId="0" borderId="108" xfId="6" applyFont="1" applyBorder="1" applyAlignment="1">
      <alignment horizontal="center" vertical="center"/>
    </xf>
    <xf numFmtId="0" fontId="7" fillId="0" borderId="114" xfId="6" applyBorder="1" applyAlignment="1">
      <alignment horizontal="center" vertical="center"/>
    </xf>
    <xf numFmtId="0" fontId="7" fillId="0" borderId="0" xfId="6" applyAlignment="1">
      <alignment horizontal="center" vertical="center"/>
    </xf>
    <xf numFmtId="0" fontId="7" fillId="0" borderId="115" xfId="6" applyBorder="1" applyAlignment="1">
      <alignment horizontal="center" vertical="center"/>
    </xf>
    <xf numFmtId="0" fontId="7" fillId="0" borderId="122" xfId="6" applyBorder="1" applyAlignment="1">
      <alignment horizontal="center" vertical="center"/>
    </xf>
    <xf numFmtId="0" fontId="7" fillId="0" borderId="125" xfId="6" applyBorder="1" applyAlignment="1">
      <alignment horizontal="center" vertical="center"/>
    </xf>
    <xf numFmtId="0" fontId="7" fillId="0" borderId="123" xfId="6" applyBorder="1" applyAlignment="1">
      <alignment horizontal="center" vertical="center"/>
    </xf>
    <xf numFmtId="0" fontId="15" fillId="9" borderId="124" xfId="6" applyFont="1" applyFill="1" applyBorder="1" applyAlignment="1">
      <alignment horizontal="center" vertical="center"/>
    </xf>
    <xf numFmtId="0" fontId="15" fillId="9" borderId="125" xfId="6" applyFont="1" applyFill="1" applyBorder="1" applyAlignment="1">
      <alignment horizontal="center" vertical="center"/>
    </xf>
    <xf numFmtId="0" fontId="15" fillId="9" borderId="123" xfId="6" applyFont="1" applyFill="1" applyBorder="1" applyAlignment="1">
      <alignment horizontal="center" vertical="center"/>
    </xf>
    <xf numFmtId="0" fontId="54" fillId="9" borderId="147" xfId="10" applyFont="1" applyFill="1" applyBorder="1" applyAlignment="1">
      <alignment horizontal="center" vertical="center"/>
    </xf>
    <xf numFmtId="0" fontId="54" fillId="9" borderId="148" xfId="10" applyFont="1" applyFill="1" applyBorder="1" applyAlignment="1">
      <alignment horizontal="center" vertical="center"/>
    </xf>
    <xf numFmtId="0" fontId="54" fillId="9" borderId="149" xfId="10" applyFont="1" applyFill="1" applyBorder="1" applyAlignment="1">
      <alignment horizontal="center" vertical="center"/>
    </xf>
    <xf numFmtId="49" fontId="15" fillId="0" borderId="107" xfId="6" quotePrefix="1" applyNumberFormat="1" applyFont="1" applyBorder="1" applyAlignment="1">
      <alignment horizontal="center" vertical="top"/>
    </xf>
    <xf numFmtId="49" fontId="15" fillId="0" borderId="108" xfId="6" quotePrefix="1" applyNumberFormat="1" applyFont="1" applyBorder="1" applyAlignment="1">
      <alignment horizontal="center" vertical="top"/>
    </xf>
    <xf numFmtId="49" fontId="15" fillId="0" borderId="114" xfId="6" quotePrefix="1" applyNumberFormat="1" applyFont="1" applyBorder="1" applyAlignment="1">
      <alignment horizontal="center" vertical="top"/>
    </xf>
    <xf numFmtId="49" fontId="15" fillId="0" borderId="115" xfId="6" quotePrefix="1" applyNumberFormat="1" applyFont="1" applyBorder="1" applyAlignment="1">
      <alignment horizontal="center" vertical="top"/>
    </xf>
    <xf numFmtId="49" fontId="15" fillId="0" borderId="122" xfId="6" quotePrefix="1" applyNumberFormat="1" applyFont="1" applyBorder="1" applyAlignment="1">
      <alignment horizontal="center" vertical="top"/>
    </xf>
    <xf numFmtId="49" fontId="15" fillId="0" borderId="123" xfId="6" quotePrefix="1" applyNumberFormat="1" applyFont="1" applyBorder="1" applyAlignment="1">
      <alignment horizontal="center" vertical="top"/>
    </xf>
    <xf numFmtId="0" fontId="15" fillId="9" borderId="146" xfId="6" applyFont="1" applyFill="1" applyBorder="1" applyAlignment="1">
      <alignment horizontal="center" vertical="center"/>
    </xf>
    <xf numFmtId="0" fontId="15" fillId="33" borderId="117" xfId="6" applyFont="1" applyFill="1" applyBorder="1" applyAlignment="1">
      <alignment horizontal="center" vertical="center"/>
    </xf>
    <xf numFmtId="0" fontId="15" fillId="33" borderId="118" xfId="6" applyFont="1" applyFill="1" applyBorder="1" applyAlignment="1">
      <alignment horizontal="center" vertical="center"/>
    </xf>
    <xf numFmtId="0" fontId="15" fillId="33" borderId="119" xfId="6" applyFont="1" applyFill="1" applyBorder="1" applyAlignment="1">
      <alignment horizontal="center" vertical="center"/>
    </xf>
    <xf numFmtId="0" fontId="15" fillId="6" borderId="109" xfId="6" applyFont="1" applyFill="1" applyBorder="1" applyAlignment="1">
      <alignment horizontal="center" vertical="center" wrapText="1"/>
    </xf>
    <xf numFmtId="0" fontId="15" fillId="6" borderId="110" xfId="6" applyFont="1" applyFill="1" applyBorder="1" applyAlignment="1">
      <alignment horizontal="center" vertical="center" wrapText="1"/>
    </xf>
    <xf numFmtId="0" fontId="15" fillId="6" borderId="108" xfId="6" applyFont="1" applyFill="1" applyBorder="1" applyAlignment="1">
      <alignment horizontal="center" vertical="center" wrapText="1"/>
    </xf>
    <xf numFmtId="0" fontId="15" fillId="6" borderId="116" xfId="6" applyFont="1" applyFill="1" applyBorder="1" applyAlignment="1">
      <alignment horizontal="center" vertical="center" wrapText="1"/>
    </xf>
    <xf numFmtId="0" fontId="15" fillId="6" borderId="0" xfId="6" applyFont="1" applyFill="1" applyAlignment="1">
      <alignment horizontal="center" vertical="center" wrapText="1"/>
    </xf>
    <xf numFmtId="0" fontId="15" fillId="6" borderId="115" xfId="6" applyFont="1" applyFill="1" applyBorder="1" applyAlignment="1">
      <alignment horizontal="center" vertical="center" wrapText="1"/>
    </xf>
    <xf numFmtId="0" fontId="15" fillId="6" borderId="124" xfId="6" applyFont="1" applyFill="1" applyBorder="1" applyAlignment="1">
      <alignment horizontal="center" vertical="center" wrapText="1"/>
    </xf>
    <xf numFmtId="0" fontId="15" fillId="6" borderId="125" xfId="6" applyFont="1" applyFill="1" applyBorder="1" applyAlignment="1">
      <alignment horizontal="center" vertical="center" wrapText="1"/>
    </xf>
    <xf numFmtId="0" fontId="15" fillId="6" borderId="123" xfId="6" applyFont="1" applyFill="1" applyBorder="1" applyAlignment="1">
      <alignment horizontal="center" vertical="center" wrapText="1"/>
    </xf>
    <xf numFmtId="0" fontId="15" fillId="9" borderId="142" xfId="6" applyFont="1" applyFill="1" applyBorder="1" applyAlignment="1">
      <alignment horizontal="center" vertical="center"/>
    </xf>
    <xf numFmtId="0" fontId="54" fillId="9" borderId="143" xfId="10" applyFont="1" applyFill="1" applyBorder="1" applyAlignment="1">
      <alignment horizontal="center" vertical="center"/>
    </xf>
    <xf numFmtId="0" fontId="54" fillId="9" borderId="144" xfId="10" applyFont="1" applyFill="1" applyBorder="1" applyAlignment="1">
      <alignment horizontal="center" vertical="center"/>
    </xf>
    <xf numFmtId="0" fontId="54" fillId="9" borderId="145" xfId="10" applyFont="1" applyFill="1" applyBorder="1" applyAlignment="1">
      <alignment horizontal="center" vertical="center"/>
    </xf>
    <xf numFmtId="49" fontId="15" fillId="0" borderId="138" xfId="6" quotePrefix="1" applyNumberFormat="1" applyFont="1" applyBorder="1" applyAlignment="1">
      <alignment horizontal="center" vertical="top"/>
    </xf>
    <xf numFmtId="49" fontId="15" fillId="0" borderId="134" xfId="6" quotePrefix="1" applyNumberFormat="1" applyFont="1" applyBorder="1" applyAlignment="1">
      <alignment horizontal="center" vertical="top"/>
    </xf>
    <xf numFmtId="0" fontId="15" fillId="7" borderId="132" xfId="6" applyFont="1" applyFill="1" applyBorder="1" applyAlignment="1">
      <alignment horizontal="center" vertical="top" wrapText="1" shrinkToFit="1"/>
    </xf>
    <xf numFmtId="0" fontId="15" fillId="7" borderId="133" xfId="6" applyFont="1" applyFill="1" applyBorder="1" applyAlignment="1">
      <alignment horizontal="center" vertical="top" wrapText="1" shrinkToFit="1"/>
    </xf>
    <xf numFmtId="0" fontId="15" fillId="7" borderId="134" xfId="6" applyFont="1" applyFill="1" applyBorder="1" applyAlignment="1">
      <alignment horizontal="center" vertical="top" wrapText="1" shrinkToFit="1"/>
    </xf>
    <xf numFmtId="0" fontId="15" fillId="33" borderId="138" xfId="6" applyFont="1" applyFill="1" applyBorder="1" applyAlignment="1">
      <alignment horizontal="center" vertical="center" wrapText="1"/>
    </xf>
    <xf numFmtId="0" fontId="15" fillId="33" borderId="133" xfId="6" applyFont="1" applyFill="1" applyBorder="1" applyAlignment="1">
      <alignment horizontal="center" vertical="center" wrapText="1"/>
    </xf>
    <xf numFmtId="0" fontId="15" fillId="0" borderId="107" xfId="6" applyFont="1" applyBorder="1" applyAlignment="1">
      <alignment horizontal="center" vertical="center"/>
    </xf>
    <xf numFmtId="0" fontId="15" fillId="0" borderId="114" xfId="6" applyFont="1" applyBorder="1" applyAlignment="1">
      <alignment horizontal="center" vertical="center"/>
    </xf>
    <xf numFmtId="0" fontId="15" fillId="0" borderId="115" xfId="6" applyFont="1" applyBorder="1" applyAlignment="1">
      <alignment horizontal="center" vertical="center"/>
    </xf>
    <xf numFmtId="0" fontId="15" fillId="0" borderId="122" xfId="6" applyFont="1" applyBorder="1" applyAlignment="1">
      <alignment horizontal="center" vertical="center"/>
    </xf>
    <xf numFmtId="0" fontId="15" fillId="0" borderId="125" xfId="6" applyFont="1" applyBorder="1" applyAlignment="1">
      <alignment horizontal="center" vertical="center"/>
    </xf>
    <xf numFmtId="0" fontId="15" fillId="0" borderId="123" xfId="6" applyFont="1" applyBorder="1" applyAlignment="1">
      <alignment horizontal="center" vertical="center"/>
    </xf>
    <xf numFmtId="0" fontId="15" fillId="9" borderId="139" xfId="6" applyFont="1" applyFill="1" applyBorder="1" applyAlignment="1">
      <alignment horizontal="center" vertical="center"/>
    </xf>
    <xf numFmtId="0" fontId="15" fillId="0" borderId="117" xfId="6" quotePrefix="1" applyFont="1" applyBorder="1" applyAlignment="1">
      <alignment horizontal="center" vertical="center" shrinkToFit="1"/>
    </xf>
    <xf numFmtId="0" fontId="15" fillId="0" borderId="121" xfId="6" quotePrefix="1" applyFont="1" applyBorder="1" applyAlignment="1">
      <alignment horizontal="center" vertical="center" shrinkToFit="1"/>
    </xf>
    <xf numFmtId="0" fontId="15" fillId="0" borderId="132" xfId="6" quotePrefix="1" applyFont="1" applyBorder="1" applyAlignment="1">
      <alignment horizontal="center" vertical="center" shrinkToFit="1"/>
    </xf>
    <xf numFmtId="0" fontId="15" fillId="0" borderId="141" xfId="6" quotePrefix="1" applyFont="1" applyBorder="1" applyAlignment="1">
      <alignment horizontal="center" vertical="center" shrinkToFit="1"/>
    </xf>
    <xf numFmtId="0" fontId="15" fillId="33" borderId="140" xfId="6" applyFont="1" applyFill="1" applyBorder="1" applyAlignment="1">
      <alignment horizontal="center" vertical="center" wrapText="1"/>
    </xf>
    <xf numFmtId="0" fontId="15" fillId="33" borderId="118" xfId="6" applyFont="1" applyFill="1" applyBorder="1" applyAlignment="1">
      <alignment horizontal="center" vertical="center" wrapText="1"/>
    </xf>
    <xf numFmtId="0" fontId="15" fillId="11" borderId="98" xfId="6" applyFont="1" applyFill="1" applyBorder="1" applyAlignment="1">
      <alignment horizontal="center" vertical="center"/>
    </xf>
    <xf numFmtId="0" fontId="15" fillId="11" borderId="120" xfId="6" applyFont="1" applyFill="1" applyBorder="1" applyAlignment="1">
      <alignment horizontal="center" vertical="center"/>
    </xf>
    <xf numFmtId="0" fontId="15" fillId="11" borderId="99" xfId="6" applyFont="1" applyFill="1" applyBorder="1" applyAlignment="1">
      <alignment horizontal="center" vertical="center"/>
    </xf>
    <xf numFmtId="0" fontId="15" fillId="0" borderId="117" xfId="6" applyFont="1" applyBorder="1" applyAlignment="1">
      <alignment horizontal="center" vertical="center"/>
    </xf>
    <xf numFmtId="0" fontId="15" fillId="0" borderId="118" xfId="6" applyFont="1" applyBorder="1" applyAlignment="1">
      <alignment horizontal="center" vertical="center"/>
    </xf>
    <xf numFmtId="0" fontId="15" fillId="0" borderId="119" xfId="6" applyFont="1" applyBorder="1" applyAlignment="1">
      <alignment horizontal="center" vertical="center"/>
    </xf>
    <xf numFmtId="0" fontId="15" fillId="6" borderId="132" xfId="6" applyFont="1" applyFill="1" applyBorder="1" applyAlignment="1">
      <alignment horizontal="center" vertical="center"/>
    </xf>
    <xf numFmtId="0" fontId="15" fillId="6" borderId="134" xfId="6" applyFont="1" applyFill="1" applyBorder="1" applyAlignment="1">
      <alignment horizontal="center" vertical="center"/>
    </xf>
    <xf numFmtId="0" fontId="15" fillId="6" borderId="132" xfId="6" applyFont="1" applyFill="1" applyBorder="1" applyAlignment="1">
      <alignment horizontal="center" vertical="center" wrapText="1"/>
    </xf>
    <xf numFmtId="0" fontId="15" fillId="6" borderId="133" xfId="6" applyFont="1" applyFill="1" applyBorder="1" applyAlignment="1">
      <alignment horizontal="center" vertical="center" wrapText="1"/>
    </xf>
    <xf numFmtId="0" fontId="15" fillId="6" borderId="134" xfId="6" applyFont="1" applyFill="1" applyBorder="1" applyAlignment="1">
      <alignment horizontal="center" vertical="center" wrapText="1"/>
    </xf>
    <xf numFmtId="0" fontId="15" fillId="0" borderId="132" xfId="6" applyFont="1" applyBorder="1" applyAlignment="1">
      <alignment horizontal="center" vertical="center"/>
    </xf>
    <xf numFmtId="0" fontId="15" fillId="0" borderId="133" xfId="6" applyFont="1" applyBorder="1" applyAlignment="1">
      <alignment horizontal="center" vertical="center"/>
    </xf>
    <xf numFmtId="0" fontId="15" fillId="0" borderId="134" xfId="6" applyFont="1" applyBorder="1" applyAlignment="1">
      <alignment horizontal="center" vertical="center"/>
    </xf>
    <xf numFmtId="0" fontId="15" fillId="0" borderId="139" xfId="6" applyFont="1" applyBorder="1" applyAlignment="1">
      <alignment horizontal="center" vertical="center"/>
    </xf>
    <xf numFmtId="0" fontId="15" fillId="0" borderId="116" xfId="6" applyFont="1" applyBorder="1" applyAlignment="1">
      <alignment horizontal="center" vertical="center"/>
    </xf>
    <xf numFmtId="0" fontId="15" fillId="0" borderId="132" xfId="6" applyFont="1" applyBorder="1" applyAlignment="1">
      <alignment horizontal="center" vertical="center" wrapText="1"/>
    </xf>
    <xf numFmtId="0" fontId="15" fillId="0" borderId="133" xfId="6" applyFont="1" applyBorder="1" applyAlignment="1">
      <alignment horizontal="center" vertical="center" wrapText="1"/>
    </xf>
    <xf numFmtId="0" fontId="15" fillId="0" borderId="134" xfId="6" applyFont="1" applyBorder="1" applyAlignment="1">
      <alignment horizontal="center" vertical="center" wrapText="1"/>
    </xf>
    <xf numFmtId="0" fontId="15" fillId="0" borderId="109" xfId="6" applyFont="1" applyBorder="1" applyAlignment="1">
      <alignment horizontal="center" vertical="center"/>
    </xf>
    <xf numFmtId="0" fontId="15" fillId="11" borderId="117" xfId="6" applyFont="1" applyFill="1" applyBorder="1" applyAlignment="1">
      <alignment horizontal="center" vertical="center" wrapText="1"/>
    </xf>
    <xf numFmtId="0" fontId="15" fillId="11" borderId="119" xfId="6" applyFont="1" applyFill="1" applyBorder="1" applyAlignment="1">
      <alignment horizontal="center" vertical="center" wrapText="1"/>
    </xf>
    <xf numFmtId="0" fontId="15" fillId="11" borderId="124" xfId="6" applyFont="1" applyFill="1" applyBorder="1" applyAlignment="1">
      <alignment horizontal="center" vertical="center" wrapText="1"/>
    </xf>
    <xf numFmtId="0" fontId="15" fillId="11" borderId="123" xfId="6" applyFont="1" applyFill="1" applyBorder="1" applyAlignment="1">
      <alignment horizontal="center" vertical="center" wrapText="1"/>
    </xf>
    <xf numFmtId="0" fontId="15" fillId="11" borderId="118" xfId="6" applyFont="1" applyFill="1" applyBorder="1" applyAlignment="1">
      <alignment horizontal="center" vertical="center" wrapText="1"/>
    </xf>
    <xf numFmtId="0" fontId="15" fillId="11" borderId="125" xfId="6" applyFont="1" applyFill="1" applyBorder="1" applyAlignment="1">
      <alignment horizontal="center" vertical="center" wrapText="1"/>
    </xf>
    <xf numFmtId="0" fontId="15" fillId="11" borderId="121" xfId="6" applyFont="1" applyFill="1" applyBorder="1" applyAlignment="1">
      <alignment horizontal="center" vertical="center" wrapText="1"/>
    </xf>
    <xf numFmtId="0" fontId="15" fillId="11" borderId="129" xfId="6" applyFont="1" applyFill="1" applyBorder="1" applyAlignment="1">
      <alignment horizontal="center" vertical="center" wrapText="1"/>
    </xf>
    <xf numFmtId="0" fontId="15" fillId="11" borderId="124" xfId="6" applyFont="1" applyFill="1" applyBorder="1" applyAlignment="1">
      <alignment horizontal="center" vertical="center" shrinkToFit="1"/>
    </xf>
    <xf numFmtId="0" fontId="15" fillId="11" borderId="125" xfId="6" applyFont="1" applyFill="1" applyBorder="1" applyAlignment="1">
      <alignment horizontal="center" vertical="center" shrinkToFit="1"/>
    </xf>
    <xf numFmtId="0" fontId="15" fillId="11" borderId="123" xfId="6" applyFont="1" applyFill="1" applyBorder="1" applyAlignment="1">
      <alignment horizontal="center" vertical="center" shrinkToFit="1"/>
    </xf>
    <xf numFmtId="0" fontId="15" fillId="0" borderId="124" xfId="6" applyFont="1" applyBorder="1" applyAlignment="1">
      <alignment horizontal="center" vertical="center"/>
    </xf>
    <xf numFmtId="0" fontId="48" fillId="29" borderId="109" xfId="6" applyFont="1" applyFill="1" applyBorder="1" applyAlignment="1">
      <alignment horizontal="center" vertical="center" wrapText="1"/>
    </xf>
    <xf numFmtId="0" fontId="48" fillId="29" borderId="110" xfId="6" applyFont="1" applyFill="1" applyBorder="1" applyAlignment="1">
      <alignment horizontal="center" vertical="center" wrapText="1"/>
    </xf>
    <xf numFmtId="0" fontId="48" fillId="29" borderId="108" xfId="6" applyFont="1" applyFill="1" applyBorder="1" applyAlignment="1">
      <alignment horizontal="center" vertical="center" wrapText="1"/>
    </xf>
    <xf numFmtId="0" fontId="48" fillId="29" borderId="116" xfId="6" applyFont="1" applyFill="1" applyBorder="1" applyAlignment="1">
      <alignment horizontal="center" vertical="center" wrapText="1"/>
    </xf>
    <xf numFmtId="0" fontId="48" fillId="29" borderId="0" xfId="6" applyFont="1" applyFill="1" applyAlignment="1">
      <alignment horizontal="center" vertical="center" wrapText="1"/>
    </xf>
    <xf numFmtId="0" fontId="48" fillId="29" borderId="115" xfId="6" applyFont="1" applyFill="1" applyBorder="1" applyAlignment="1">
      <alignment horizontal="center" vertical="center" wrapText="1"/>
    </xf>
    <xf numFmtId="0" fontId="48" fillId="29" borderId="124" xfId="6" applyFont="1" applyFill="1" applyBorder="1" applyAlignment="1">
      <alignment horizontal="center" vertical="center" wrapText="1"/>
    </xf>
    <xf numFmtId="0" fontId="48" fillId="29" borderId="125" xfId="6" applyFont="1" applyFill="1" applyBorder="1" applyAlignment="1">
      <alignment horizontal="center" vertical="center" wrapText="1"/>
    </xf>
    <xf numFmtId="0" fontId="48" fillId="29" borderId="123" xfId="6" applyFont="1" applyFill="1" applyBorder="1" applyAlignment="1">
      <alignment horizontal="center" vertical="center" wrapText="1"/>
    </xf>
    <xf numFmtId="0" fontId="48" fillId="29" borderId="107" xfId="6" applyFont="1" applyFill="1" applyBorder="1" applyAlignment="1">
      <alignment horizontal="center" vertical="center" shrinkToFit="1"/>
    </xf>
    <xf numFmtId="0" fontId="48" fillId="29" borderId="108" xfId="6" applyFont="1" applyFill="1" applyBorder="1" applyAlignment="1">
      <alignment horizontal="center" vertical="center" shrinkToFit="1"/>
    </xf>
    <xf numFmtId="0" fontId="48" fillId="29" borderId="114" xfId="6" applyFont="1" applyFill="1" applyBorder="1" applyAlignment="1">
      <alignment horizontal="center" vertical="center" shrinkToFit="1"/>
    </xf>
    <xf numFmtId="0" fontId="48" fillId="29" borderId="115" xfId="6" applyFont="1" applyFill="1" applyBorder="1" applyAlignment="1">
      <alignment horizontal="center" vertical="center" shrinkToFit="1"/>
    </xf>
    <xf numFmtId="0" fontId="48" fillId="29" borderId="122" xfId="6" applyFont="1" applyFill="1" applyBorder="1" applyAlignment="1">
      <alignment horizontal="center" vertical="center" shrinkToFit="1"/>
    </xf>
    <xf numFmtId="0" fontId="48" fillId="29" borderId="123" xfId="6" applyFont="1" applyFill="1" applyBorder="1" applyAlignment="1">
      <alignment horizontal="center" vertical="center" shrinkToFit="1"/>
    </xf>
    <xf numFmtId="0" fontId="48" fillId="29" borderId="109" xfId="6" applyFont="1" applyFill="1" applyBorder="1" applyAlignment="1">
      <alignment horizontal="center" vertical="center"/>
    </xf>
    <xf numFmtId="0" fontId="48" fillId="29" borderId="110" xfId="6" applyFont="1" applyFill="1" applyBorder="1" applyAlignment="1">
      <alignment horizontal="center" vertical="center"/>
    </xf>
    <xf numFmtId="0" fontId="48" fillId="29" borderId="108" xfId="6" applyFont="1" applyFill="1" applyBorder="1" applyAlignment="1">
      <alignment horizontal="center" vertical="center"/>
    </xf>
    <xf numFmtId="0" fontId="48" fillId="29" borderId="116" xfId="6" applyFont="1" applyFill="1" applyBorder="1" applyAlignment="1">
      <alignment horizontal="center" vertical="center"/>
    </xf>
    <xf numFmtId="0" fontId="48" fillId="29" borderId="0" xfId="6" applyFont="1" applyFill="1" applyAlignment="1">
      <alignment horizontal="center" vertical="center"/>
    </xf>
    <xf numFmtId="0" fontId="48" fillId="29" borderId="115" xfId="6" applyFont="1" applyFill="1" applyBorder="1" applyAlignment="1">
      <alignment horizontal="center" vertical="center"/>
    </xf>
    <xf numFmtId="0" fontId="48" fillId="29" borderId="124" xfId="6" applyFont="1" applyFill="1" applyBorder="1" applyAlignment="1">
      <alignment horizontal="center" vertical="center"/>
    </xf>
    <xf numFmtId="0" fontId="48" fillId="29" borderId="125" xfId="6" applyFont="1" applyFill="1" applyBorder="1" applyAlignment="1">
      <alignment horizontal="center" vertical="center"/>
    </xf>
    <xf numFmtId="0" fontId="48" fillId="29" borderId="123" xfId="6" applyFont="1" applyFill="1" applyBorder="1" applyAlignment="1">
      <alignment horizontal="center" vertical="center"/>
    </xf>
    <xf numFmtId="0" fontId="48" fillId="29" borderId="113" xfId="6" applyFont="1" applyFill="1" applyBorder="1" applyAlignment="1">
      <alignment horizontal="center" vertical="center"/>
    </xf>
    <xf numFmtId="0" fontId="48" fillId="29" borderId="111" xfId="6" applyFont="1" applyFill="1" applyBorder="1" applyAlignment="1">
      <alignment horizontal="center" vertical="center"/>
    </xf>
    <xf numFmtId="0" fontId="48" fillId="29" borderId="112" xfId="6" applyFont="1" applyFill="1" applyBorder="1" applyAlignment="1">
      <alignment horizontal="center" vertical="center"/>
    </xf>
    <xf numFmtId="3" fontId="15" fillId="0" borderId="83" xfId="6" applyNumberFormat="1" applyFont="1" applyBorder="1" applyAlignment="1">
      <alignment horizontal="left" vertical="center"/>
    </xf>
    <xf numFmtId="3" fontId="15" fillId="0" borderId="84" xfId="6" applyNumberFormat="1" applyFont="1" applyBorder="1" applyAlignment="1">
      <alignment horizontal="left" vertical="center"/>
    </xf>
    <xf numFmtId="3" fontId="15" fillId="0" borderId="85" xfId="6" applyNumberFormat="1" applyFont="1" applyBorder="1" applyAlignment="1">
      <alignment horizontal="left" vertical="center"/>
    </xf>
    <xf numFmtId="0" fontId="15" fillId="0" borderId="83" xfId="6" applyFont="1" applyBorder="1" applyAlignment="1">
      <alignment horizontal="center" vertical="center"/>
    </xf>
    <xf numFmtId="0" fontId="15" fillId="0" borderId="84" xfId="6" applyFont="1" applyBorder="1" applyAlignment="1">
      <alignment horizontal="center" vertical="center"/>
    </xf>
    <xf numFmtId="0" fontId="15" fillId="0" borderId="85" xfId="6" applyFont="1" applyBorder="1" applyAlignment="1">
      <alignment horizontal="center" vertical="center"/>
    </xf>
    <xf numFmtId="38" fontId="15" fillId="10" borderId="83" xfId="9" applyFont="1" applyFill="1" applyBorder="1" applyAlignment="1">
      <alignment horizontal="right" vertical="center"/>
    </xf>
    <xf numFmtId="38" fontId="15" fillId="10" borderId="84" xfId="9" applyFont="1" applyFill="1" applyBorder="1" applyAlignment="1">
      <alignment horizontal="right" vertical="center"/>
    </xf>
    <xf numFmtId="38" fontId="15" fillId="10" borderId="85" xfId="9" applyFont="1" applyFill="1" applyBorder="1" applyAlignment="1">
      <alignment horizontal="right" vertical="center"/>
    </xf>
    <xf numFmtId="0" fontId="15" fillId="0" borderId="83" xfId="6" applyFont="1" applyBorder="1" applyAlignment="1">
      <alignment horizontal="left" vertical="center" shrinkToFit="1"/>
    </xf>
    <xf numFmtId="0" fontId="15" fillId="0" borderId="84" xfId="6" applyFont="1" applyBorder="1" applyAlignment="1">
      <alignment horizontal="left" vertical="center" shrinkToFit="1"/>
    </xf>
    <xf numFmtId="0" fontId="15" fillId="0" borderId="83" xfId="6" quotePrefix="1" applyFont="1" applyBorder="1" applyAlignment="1">
      <alignment horizontal="left" vertical="center" shrinkToFit="1"/>
    </xf>
    <xf numFmtId="0" fontId="15" fillId="0" borderId="84" xfId="6" quotePrefix="1" applyFont="1" applyBorder="1" applyAlignment="1">
      <alignment horizontal="left" vertical="center" shrinkToFit="1"/>
    </xf>
    <xf numFmtId="0" fontId="15" fillId="0" borderId="85" xfId="6" quotePrefix="1" applyFont="1" applyBorder="1" applyAlignment="1">
      <alignment horizontal="left" vertical="center" shrinkToFit="1"/>
    </xf>
    <xf numFmtId="0" fontId="15" fillId="0" borderId="83" xfId="6" applyFont="1" applyBorder="1" applyAlignment="1">
      <alignment horizontal="left" vertical="center"/>
    </xf>
    <xf numFmtId="0" fontId="15" fillId="0" borderId="84" xfId="6" applyFont="1" applyBorder="1" applyAlignment="1">
      <alignment horizontal="left" vertical="center"/>
    </xf>
    <xf numFmtId="0" fontId="15" fillId="0" borderId="85" xfId="6" applyFont="1" applyBorder="1" applyAlignment="1">
      <alignment horizontal="left" vertical="center"/>
    </xf>
    <xf numFmtId="0" fontId="44" fillId="0" borderId="83" xfId="6" applyFont="1" applyBorder="1" applyAlignment="1">
      <alignment horizontal="left" vertical="center"/>
    </xf>
    <xf numFmtId="0" fontId="44" fillId="0" borderId="84" xfId="6" applyFont="1" applyBorder="1" applyAlignment="1">
      <alignment horizontal="left" vertical="center"/>
    </xf>
    <xf numFmtId="0" fontId="44" fillId="0" borderId="85" xfId="6" applyFont="1" applyBorder="1" applyAlignment="1">
      <alignment horizontal="left" vertical="center"/>
    </xf>
    <xf numFmtId="0" fontId="15" fillId="0" borderId="100" xfId="6" applyFont="1" applyBorder="1" applyAlignment="1">
      <alignment horizontal="left" vertical="center" shrinkToFit="1"/>
    </xf>
    <xf numFmtId="0" fontId="15" fillId="0" borderId="96" xfId="6" applyFont="1" applyBorder="1" applyAlignment="1">
      <alignment horizontal="left" vertical="center" shrinkToFit="1"/>
    </xf>
    <xf numFmtId="0" fontId="15" fillId="0" borderId="85" xfId="6" applyFont="1" applyBorder="1" applyAlignment="1">
      <alignment horizontal="left" vertical="center" shrinkToFit="1"/>
    </xf>
    <xf numFmtId="38" fontId="15" fillId="31" borderId="83" xfId="9" applyFont="1" applyFill="1" applyBorder="1" applyAlignment="1">
      <alignment horizontal="right" vertical="center"/>
    </xf>
    <xf numFmtId="38" fontId="15" fillId="31" borderId="84" xfId="9" applyFont="1" applyFill="1" applyBorder="1" applyAlignment="1">
      <alignment horizontal="right" vertical="center"/>
    </xf>
    <xf numFmtId="38" fontId="15" fillId="31" borderId="85" xfId="9" applyFont="1" applyFill="1" applyBorder="1" applyAlignment="1">
      <alignment horizontal="right" vertical="center"/>
    </xf>
    <xf numFmtId="14" fontId="15" fillId="28" borderId="83" xfId="6" applyNumberFormat="1" applyFont="1" applyFill="1" applyBorder="1" applyAlignment="1">
      <alignment horizontal="left" vertical="center"/>
    </xf>
    <xf numFmtId="14" fontId="15" fillId="28" borderId="84" xfId="6" applyNumberFormat="1" applyFont="1" applyFill="1" applyBorder="1" applyAlignment="1">
      <alignment horizontal="left" vertical="center"/>
    </xf>
    <xf numFmtId="20" fontId="9" fillId="10" borderId="83" xfId="6" applyNumberFormat="1" applyFont="1" applyFill="1" applyBorder="1" applyAlignment="1">
      <alignment horizontal="left" vertical="center"/>
    </xf>
    <xf numFmtId="20" fontId="9" fillId="10" borderId="84" xfId="6" applyNumberFormat="1" applyFont="1" applyFill="1" applyBorder="1" applyAlignment="1">
      <alignment horizontal="left" vertical="center"/>
    </xf>
    <xf numFmtId="20" fontId="9" fillId="10" borderId="85" xfId="6" applyNumberFormat="1" applyFont="1" applyFill="1" applyBorder="1" applyAlignment="1">
      <alignment horizontal="left" vertical="center"/>
    </xf>
    <xf numFmtId="0" fontId="15" fillId="31" borderId="83" xfId="6" applyFont="1" applyFill="1" applyBorder="1" applyAlignment="1">
      <alignment horizontal="center" vertical="center"/>
    </xf>
    <xf numFmtId="0" fontId="15" fillId="31" borderId="84" xfId="6" applyFont="1" applyFill="1" applyBorder="1" applyAlignment="1">
      <alignment horizontal="center" vertical="center"/>
    </xf>
    <xf numFmtId="0" fontId="15" fillId="6" borderId="98" xfId="6" applyFont="1" applyFill="1" applyBorder="1" applyAlignment="1">
      <alignment horizontal="center" vertical="center"/>
    </xf>
    <xf numFmtId="0" fontId="15" fillId="6" borderId="99" xfId="6" applyFont="1" applyFill="1" applyBorder="1" applyAlignment="1">
      <alignment horizontal="center" vertical="center"/>
    </xf>
    <xf numFmtId="0" fontId="9" fillId="10" borderId="6" xfId="6" quotePrefix="1" applyFont="1" applyFill="1" applyBorder="1" applyAlignment="1">
      <alignment horizontal="left" vertical="center" shrinkToFit="1"/>
    </xf>
    <xf numFmtId="0" fontId="9" fillId="10" borderId="7" xfId="6" applyFont="1" applyFill="1" applyBorder="1" applyAlignment="1">
      <alignment horizontal="left" vertical="center" shrinkToFit="1"/>
    </xf>
    <xf numFmtId="0" fontId="9" fillId="10" borderId="8" xfId="6" applyFont="1" applyFill="1" applyBorder="1" applyAlignment="1">
      <alignment horizontal="left" vertical="center" shrinkToFit="1"/>
    </xf>
    <xf numFmtId="3" fontId="9" fillId="10" borderId="6" xfId="6" applyNumberFormat="1" applyFont="1" applyFill="1" applyBorder="1" applyAlignment="1">
      <alignment horizontal="center" vertical="center"/>
    </xf>
    <xf numFmtId="0" fontId="9" fillId="10" borderId="7" xfId="6" applyFont="1" applyFill="1" applyBorder="1" applyAlignment="1">
      <alignment horizontal="center" vertical="center"/>
    </xf>
    <xf numFmtId="0" fontId="9" fillId="10" borderId="8" xfId="6" applyFont="1" applyFill="1" applyBorder="1" applyAlignment="1">
      <alignment horizontal="center" vertical="center"/>
    </xf>
    <xf numFmtId="0" fontId="9" fillId="10" borderId="6" xfId="6" applyFont="1" applyFill="1" applyBorder="1" applyAlignment="1">
      <alignment horizontal="right" vertical="center"/>
    </xf>
    <xf numFmtId="0" fontId="9" fillId="10" borderId="7" xfId="6" applyFont="1" applyFill="1" applyBorder="1" applyAlignment="1">
      <alignment horizontal="right" vertical="center"/>
    </xf>
    <xf numFmtId="0" fontId="9" fillId="10" borderId="8" xfId="6" applyFont="1" applyFill="1" applyBorder="1" applyAlignment="1">
      <alignment horizontal="right" vertical="center"/>
    </xf>
    <xf numFmtId="0" fontId="51" fillId="10" borderId="83" xfId="6" quotePrefix="1" applyFont="1" applyFill="1" applyBorder="1" applyAlignment="1">
      <alignment horizontal="left" vertical="center"/>
    </xf>
    <xf numFmtId="0" fontId="51" fillId="10" borderId="84" xfId="6" applyFont="1" applyFill="1" applyBorder="1" applyAlignment="1">
      <alignment horizontal="left" vertical="center"/>
    </xf>
    <xf numFmtId="0" fontId="51" fillId="10" borderId="85" xfId="6" applyFont="1" applyFill="1" applyBorder="1" applyAlignment="1">
      <alignment horizontal="left" vertical="center"/>
    </xf>
    <xf numFmtId="0" fontId="45" fillId="27" borderId="0" xfId="6" applyFont="1" applyFill="1" applyAlignment="1">
      <alignment wrapText="1"/>
    </xf>
    <xf numFmtId="0" fontId="15" fillId="27" borderId="0" xfId="6" applyFont="1" applyFill="1"/>
    <xf numFmtId="38" fontId="9" fillId="10" borderId="83" xfId="9" applyFont="1" applyFill="1" applyBorder="1" applyAlignment="1">
      <alignment horizontal="right" vertical="center"/>
    </xf>
    <xf numFmtId="38" fontId="9" fillId="10" borderId="84" xfId="9" applyFont="1" applyFill="1" applyBorder="1" applyAlignment="1">
      <alignment horizontal="right" vertical="center"/>
    </xf>
    <xf numFmtId="38" fontId="9" fillId="10" borderId="85" xfId="9" applyFont="1" applyFill="1" applyBorder="1" applyAlignment="1">
      <alignment horizontal="right" vertical="center"/>
    </xf>
    <xf numFmtId="0" fontId="45" fillId="27" borderId="0" xfId="6" applyFont="1" applyFill="1"/>
    <xf numFmtId="0" fontId="42" fillId="26" borderId="80" xfId="6" applyFont="1" applyFill="1" applyBorder="1" applyAlignment="1">
      <alignment horizontal="center" vertical="center"/>
    </xf>
    <xf numFmtId="0" fontId="42" fillId="26" borderId="81" xfId="6" applyFont="1" applyFill="1" applyBorder="1" applyAlignment="1">
      <alignment horizontal="center" vertical="center"/>
    </xf>
    <xf numFmtId="0" fontId="42" fillId="26" borderId="82" xfId="6" applyFont="1" applyFill="1" applyBorder="1" applyAlignment="1">
      <alignment horizontal="center" vertical="center"/>
    </xf>
    <xf numFmtId="49" fontId="15" fillId="31" borderId="199" xfId="6" quotePrefix="1" applyNumberFormat="1" applyFont="1" applyFill="1" applyBorder="1" applyAlignment="1">
      <alignment horizontal="right" vertical="center"/>
    </xf>
    <xf numFmtId="49" fontId="15" fillId="31" borderId="200" xfId="6" quotePrefix="1" applyNumberFormat="1" applyFont="1" applyFill="1" applyBorder="1" applyAlignment="1">
      <alignment horizontal="right" vertical="center"/>
    </xf>
    <xf numFmtId="0" fontId="15" fillId="11" borderId="201" xfId="6" applyFont="1" applyFill="1" applyBorder="1" applyAlignment="1">
      <alignment horizontal="center" vertical="center" wrapText="1"/>
    </xf>
    <xf numFmtId="0" fontId="15" fillId="11" borderId="199" xfId="6" applyFont="1" applyFill="1" applyBorder="1" applyAlignment="1">
      <alignment horizontal="center" vertical="center"/>
    </xf>
    <xf numFmtId="177" fontId="15" fillId="31" borderId="199" xfId="6" quotePrefix="1" applyNumberFormat="1" applyFont="1" applyFill="1" applyBorder="1" applyAlignment="1">
      <alignment horizontal="right" vertical="center"/>
    </xf>
    <xf numFmtId="177" fontId="15" fillId="31" borderId="200" xfId="6" quotePrefix="1" applyNumberFormat="1" applyFont="1" applyFill="1" applyBorder="1" applyAlignment="1">
      <alignment horizontal="right" vertical="center"/>
    </xf>
    <xf numFmtId="0" fontId="15" fillId="11" borderId="0" xfId="6" applyFont="1" applyFill="1" applyAlignment="1">
      <alignment horizontal="center" vertical="center"/>
    </xf>
    <xf numFmtId="0" fontId="15" fillId="31" borderId="187" xfId="6" applyFont="1" applyFill="1" applyBorder="1" applyAlignment="1">
      <alignment horizontal="center" vertical="center"/>
    </xf>
    <xf numFmtId="0" fontId="15" fillId="31" borderId="185" xfId="6" applyFont="1" applyFill="1" applyBorder="1" applyAlignment="1">
      <alignment horizontal="center" vertical="center"/>
    </xf>
    <xf numFmtId="0" fontId="15" fillId="31" borderId="188" xfId="6" applyFont="1" applyFill="1" applyBorder="1" applyAlignment="1">
      <alignment horizontal="center" vertical="center"/>
    </xf>
    <xf numFmtId="0" fontId="48" fillId="29" borderId="198" xfId="6" applyFont="1" applyFill="1" applyBorder="1" applyAlignment="1">
      <alignment horizontal="center" vertical="center"/>
    </xf>
    <xf numFmtId="0" fontId="48" fillId="29" borderId="192" xfId="6" applyFont="1" applyFill="1" applyBorder="1" applyAlignment="1">
      <alignment horizontal="center" vertical="center"/>
    </xf>
    <xf numFmtId="0" fontId="48" fillId="29" borderId="193" xfId="6" applyFont="1" applyFill="1" applyBorder="1" applyAlignment="1">
      <alignment horizontal="center" vertical="center"/>
    </xf>
    <xf numFmtId="0" fontId="48" fillId="29" borderId="191" xfId="6" applyFont="1" applyFill="1" applyBorder="1" applyAlignment="1">
      <alignment horizontal="center" vertical="center"/>
    </xf>
    <xf numFmtId="0" fontId="15" fillId="11" borderId="186" xfId="6" applyFont="1" applyFill="1" applyBorder="1" applyAlignment="1">
      <alignment horizontal="center" vertical="center" wrapText="1"/>
    </xf>
    <xf numFmtId="0" fontId="15" fillId="11" borderId="199" xfId="6" applyFont="1" applyFill="1" applyBorder="1" applyAlignment="1">
      <alignment horizontal="center" vertical="center" wrapText="1"/>
    </xf>
    <xf numFmtId="0" fontId="15" fillId="31" borderId="166" xfId="6" applyFont="1" applyFill="1" applyBorder="1" applyAlignment="1">
      <alignment horizontal="center" vertical="center"/>
    </xf>
    <xf numFmtId="0" fontId="15" fillId="31" borderId="167" xfId="6" applyFont="1" applyFill="1" applyBorder="1" applyAlignment="1">
      <alignment horizontal="center" vertical="center"/>
    </xf>
    <xf numFmtId="0" fontId="15" fillId="31" borderId="172" xfId="6" applyFont="1" applyFill="1" applyBorder="1" applyAlignment="1">
      <alignment horizontal="center" vertical="center"/>
    </xf>
    <xf numFmtId="0" fontId="15" fillId="31" borderId="173" xfId="6" applyFont="1" applyFill="1" applyBorder="1" applyAlignment="1">
      <alignment horizontal="center" vertical="center"/>
    </xf>
    <xf numFmtId="0" fontId="15" fillId="31" borderId="181" xfId="6" applyFont="1" applyFill="1" applyBorder="1" applyAlignment="1">
      <alignment horizontal="center" vertical="center"/>
    </xf>
    <xf numFmtId="0" fontId="15" fillId="31" borderId="182" xfId="6" applyFont="1" applyFill="1" applyBorder="1" applyAlignment="1">
      <alignment horizontal="center" vertical="center"/>
    </xf>
    <xf numFmtId="0" fontId="15" fillId="31" borderId="189" xfId="6" applyFont="1" applyFill="1" applyBorder="1" applyAlignment="1">
      <alignment horizontal="center" vertical="center"/>
    </xf>
    <xf numFmtId="0" fontId="15" fillId="31" borderId="115" xfId="6" applyFont="1" applyFill="1" applyBorder="1" applyAlignment="1">
      <alignment horizontal="center" vertical="center"/>
    </xf>
    <xf numFmtId="0" fontId="15" fillId="31" borderId="196" xfId="6" applyFont="1" applyFill="1" applyBorder="1" applyAlignment="1">
      <alignment horizontal="center" vertical="center"/>
    </xf>
    <xf numFmtId="0" fontId="15" fillId="0" borderId="190" xfId="6" applyFont="1" applyBorder="1" applyAlignment="1">
      <alignment horizontal="center" vertical="center" wrapText="1"/>
    </xf>
    <xf numFmtId="0" fontId="15" fillId="0" borderId="168" xfId="6" applyFont="1" applyBorder="1" applyAlignment="1">
      <alignment horizontal="center" vertical="center" wrapText="1"/>
    </xf>
    <xf numFmtId="0" fontId="15" fillId="0" borderId="167" xfId="6" applyFont="1" applyBorder="1" applyAlignment="1">
      <alignment horizontal="center" vertical="center" wrapText="1"/>
    </xf>
    <xf numFmtId="0" fontId="15" fillId="0" borderId="173" xfId="6" applyFont="1" applyBorder="1" applyAlignment="1">
      <alignment horizontal="center" vertical="center" wrapText="1"/>
    </xf>
    <xf numFmtId="0" fontId="15" fillId="0" borderId="197" xfId="6" applyFont="1" applyBorder="1" applyAlignment="1">
      <alignment horizontal="center" vertical="center" wrapText="1"/>
    </xf>
    <xf numFmtId="0" fontId="15" fillId="0" borderId="183" xfId="6" applyFont="1" applyBorder="1" applyAlignment="1">
      <alignment horizontal="center" vertical="center" wrapText="1"/>
    </xf>
    <xf numFmtId="0" fontId="15" fillId="0" borderId="182" xfId="6" applyFont="1" applyBorder="1" applyAlignment="1">
      <alignment horizontal="center" vertical="center" wrapText="1"/>
    </xf>
    <xf numFmtId="0" fontId="15" fillId="11" borderId="191" xfId="6" applyFont="1" applyFill="1" applyBorder="1" applyAlignment="1">
      <alignment horizontal="left" vertical="center"/>
    </xf>
    <xf numFmtId="0" fontId="15" fillId="11" borderId="192" xfId="6" applyFont="1" applyFill="1" applyBorder="1" applyAlignment="1">
      <alignment horizontal="left" vertical="center"/>
    </xf>
    <xf numFmtId="0" fontId="15" fillId="31" borderId="169" xfId="6" applyFont="1" applyFill="1" applyBorder="1" applyAlignment="1">
      <alignment horizontal="center" vertical="center"/>
    </xf>
    <xf numFmtId="0" fontId="15" fillId="31" borderId="170" xfId="6" applyFont="1" applyFill="1" applyBorder="1" applyAlignment="1">
      <alignment horizontal="center" vertical="center"/>
    </xf>
    <xf numFmtId="0" fontId="15" fillId="31" borderId="171" xfId="6" applyFont="1" applyFill="1" applyBorder="1" applyAlignment="1">
      <alignment horizontal="center" vertical="center"/>
    </xf>
    <xf numFmtId="0" fontId="15" fillId="10" borderId="194" xfId="6" applyFont="1" applyFill="1" applyBorder="1" applyAlignment="1">
      <alignment horizontal="left" vertical="center"/>
    </xf>
    <xf numFmtId="0" fontId="15" fillId="10" borderId="139" xfId="6" applyFont="1" applyFill="1" applyBorder="1" applyAlignment="1">
      <alignment horizontal="left" vertical="center"/>
    </xf>
    <xf numFmtId="0" fontId="15" fillId="10" borderId="195" xfId="6" applyFont="1" applyFill="1" applyBorder="1" applyAlignment="1">
      <alignment horizontal="left" vertical="center"/>
    </xf>
    <xf numFmtId="0" fontId="15" fillId="31" borderId="179" xfId="6" applyFont="1" applyFill="1" applyBorder="1" applyAlignment="1">
      <alignment horizontal="center" vertical="center"/>
    </xf>
    <xf numFmtId="0" fontId="15" fillId="31" borderId="120" xfId="6" applyFont="1" applyFill="1" applyBorder="1" applyAlignment="1">
      <alignment horizontal="center" vertical="center"/>
    </xf>
    <xf numFmtId="0" fontId="15" fillId="31" borderId="180" xfId="6" applyFont="1" applyFill="1" applyBorder="1" applyAlignment="1">
      <alignment horizontal="center" vertical="center"/>
    </xf>
    <xf numFmtId="0" fontId="15" fillId="11" borderId="193" xfId="6" applyFont="1" applyFill="1" applyBorder="1" applyAlignment="1">
      <alignment horizontal="left" vertical="center"/>
    </xf>
    <xf numFmtId="0" fontId="15" fillId="33" borderId="194" xfId="6" applyFont="1" applyFill="1" applyBorder="1" applyAlignment="1">
      <alignment horizontal="center" vertical="center"/>
    </xf>
    <xf numFmtId="0" fontId="15" fillId="33" borderId="139" xfId="6" applyFont="1" applyFill="1" applyBorder="1" applyAlignment="1">
      <alignment horizontal="center" vertical="center"/>
    </xf>
    <xf numFmtId="0" fontId="15" fillId="10" borderId="139" xfId="6" applyFont="1" applyFill="1" applyBorder="1" applyAlignment="1">
      <alignment horizontal="center" vertical="center"/>
    </xf>
    <xf numFmtId="0" fontId="15" fillId="33" borderId="195" xfId="6" applyFont="1" applyFill="1" applyBorder="1" applyAlignment="1">
      <alignment horizontal="center" vertical="center"/>
    </xf>
    <xf numFmtId="0" fontId="15" fillId="11" borderId="191" xfId="6" applyFont="1" applyFill="1" applyBorder="1" applyAlignment="1">
      <alignment horizontal="center" vertical="center"/>
    </xf>
    <xf numFmtId="0" fontId="15" fillId="11" borderId="192" xfId="6" applyFont="1" applyFill="1" applyBorder="1" applyAlignment="1">
      <alignment horizontal="center" vertical="center"/>
    </xf>
    <xf numFmtId="0" fontId="48" fillId="29" borderId="166" xfId="6" applyFont="1" applyFill="1" applyBorder="1" applyAlignment="1">
      <alignment horizontal="center" vertical="center"/>
    </xf>
    <xf numFmtId="0" fontId="48" fillId="29" borderId="167" xfId="6" applyFont="1" applyFill="1" applyBorder="1" applyAlignment="1">
      <alignment horizontal="center" vertical="center"/>
    </xf>
    <xf numFmtId="0" fontId="48" fillId="29" borderId="172" xfId="6" applyFont="1" applyFill="1" applyBorder="1" applyAlignment="1">
      <alignment horizontal="center" vertical="center"/>
    </xf>
    <xf numFmtId="0" fontId="48" fillId="29" borderId="173" xfId="6" applyFont="1" applyFill="1" applyBorder="1" applyAlignment="1">
      <alignment horizontal="center" vertical="center"/>
    </xf>
    <xf numFmtId="0" fontId="48" fillId="29" borderId="181" xfId="6" applyFont="1" applyFill="1" applyBorder="1" applyAlignment="1">
      <alignment horizontal="center" vertical="center"/>
    </xf>
    <xf numFmtId="0" fontId="48" fillId="29" borderId="182" xfId="6" applyFont="1" applyFill="1" applyBorder="1" applyAlignment="1">
      <alignment horizontal="center" vertical="center"/>
    </xf>
    <xf numFmtId="0" fontId="48" fillId="29" borderId="168" xfId="6" applyFont="1" applyFill="1" applyBorder="1" applyAlignment="1">
      <alignment horizontal="center" vertical="center"/>
    </xf>
    <xf numFmtId="0" fontId="15" fillId="11" borderId="193" xfId="6" applyFont="1" applyFill="1" applyBorder="1" applyAlignment="1">
      <alignment horizontal="center" vertical="center"/>
    </xf>
    <xf numFmtId="0" fontId="48" fillId="29" borderId="169" xfId="6" applyFont="1" applyFill="1" applyBorder="1" applyAlignment="1">
      <alignment horizontal="center" vertical="center"/>
    </xf>
    <xf numFmtId="0" fontId="48" fillId="29" borderId="170" xfId="6" applyFont="1" applyFill="1" applyBorder="1" applyAlignment="1">
      <alignment horizontal="center" vertical="center"/>
    </xf>
    <xf numFmtId="0" fontId="48" fillId="29" borderId="171" xfId="6" applyFont="1" applyFill="1" applyBorder="1" applyAlignment="1">
      <alignment horizontal="center" vertical="center"/>
    </xf>
    <xf numFmtId="0" fontId="48" fillId="29" borderId="179" xfId="6" applyFont="1" applyFill="1" applyBorder="1" applyAlignment="1">
      <alignment horizontal="center" vertical="center"/>
    </xf>
    <xf numFmtId="0" fontId="48" fillId="29" borderId="120" xfId="6" applyFont="1" applyFill="1" applyBorder="1" applyAlignment="1">
      <alignment horizontal="center" vertical="center"/>
    </xf>
    <xf numFmtId="0" fontId="48" fillId="29" borderId="180" xfId="6" applyFont="1" applyFill="1" applyBorder="1" applyAlignment="1">
      <alignment horizontal="center" vertical="center"/>
    </xf>
    <xf numFmtId="0" fontId="48" fillId="29" borderId="187" xfId="6" applyFont="1" applyFill="1" applyBorder="1" applyAlignment="1">
      <alignment horizontal="center" vertical="center"/>
    </xf>
    <xf numFmtId="0" fontId="48" fillId="29" borderId="185" xfId="6" applyFont="1" applyFill="1" applyBorder="1" applyAlignment="1">
      <alignment horizontal="center" vertical="center"/>
    </xf>
    <xf numFmtId="0" fontId="48" fillId="29" borderId="188" xfId="6" applyFont="1" applyFill="1" applyBorder="1" applyAlignment="1">
      <alignment horizontal="center" vertical="center"/>
    </xf>
    <xf numFmtId="0" fontId="15" fillId="11" borderId="174" xfId="6" applyFont="1" applyFill="1" applyBorder="1" applyAlignment="1">
      <alignment horizontal="center" vertical="center"/>
    </xf>
    <xf numFmtId="0" fontId="15" fillId="11" borderId="175" xfId="6" applyFont="1" applyFill="1" applyBorder="1" applyAlignment="1">
      <alignment horizontal="center" vertical="center"/>
    </xf>
    <xf numFmtId="0" fontId="15" fillId="11" borderId="176" xfId="6" applyFont="1" applyFill="1" applyBorder="1" applyAlignment="1">
      <alignment horizontal="center" vertical="center"/>
    </xf>
    <xf numFmtId="0" fontId="15" fillId="11" borderId="177" xfId="6" applyFont="1" applyFill="1" applyBorder="1" applyAlignment="1">
      <alignment horizontal="center" vertical="center"/>
    </xf>
    <xf numFmtId="0" fontId="15" fillId="11" borderId="178" xfId="6" applyFont="1" applyFill="1" applyBorder="1" applyAlignment="1">
      <alignment horizontal="center" vertical="center"/>
    </xf>
    <xf numFmtId="0" fontId="48" fillId="29" borderId="139" xfId="6" applyFont="1" applyFill="1" applyBorder="1" applyAlignment="1">
      <alignment horizontal="center" vertical="center" shrinkToFit="1"/>
    </xf>
    <xf numFmtId="49" fontId="15" fillId="31" borderId="139" xfId="6" quotePrefix="1" applyNumberFormat="1" applyFont="1" applyFill="1" applyBorder="1" applyAlignment="1">
      <alignment horizontal="left" vertical="center"/>
    </xf>
    <xf numFmtId="0" fontId="48" fillId="29" borderId="98" xfId="6" applyFont="1" applyFill="1" applyBorder="1" applyAlignment="1">
      <alignment horizontal="center" vertical="center" shrinkToFit="1"/>
    </xf>
    <xf numFmtId="49" fontId="15" fillId="31" borderId="107" xfId="6" applyNumberFormat="1" applyFont="1" applyFill="1" applyBorder="1" applyAlignment="1">
      <alignment horizontal="center" vertical="top"/>
    </xf>
    <xf numFmtId="49" fontId="15" fillId="31" borderId="108" xfId="6" applyNumberFormat="1" applyFont="1" applyFill="1" applyBorder="1" applyAlignment="1">
      <alignment horizontal="center" vertical="top"/>
    </xf>
    <xf numFmtId="49" fontId="15" fillId="31" borderId="114" xfId="6" applyNumberFormat="1" applyFont="1" applyFill="1" applyBorder="1" applyAlignment="1">
      <alignment horizontal="center" vertical="top"/>
    </xf>
    <xf numFmtId="49" fontId="15" fillId="31" borderId="115" xfId="6" applyNumberFormat="1" applyFont="1" applyFill="1" applyBorder="1" applyAlignment="1">
      <alignment horizontal="center" vertical="top"/>
    </xf>
    <xf numFmtId="49" fontId="15" fillId="31" borderId="122" xfId="6" applyNumberFormat="1" applyFont="1" applyFill="1" applyBorder="1" applyAlignment="1">
      <alignment horizontal="center" vertical="top"/>
    </xf>
    <xf numFmtId="49" fontId="15" fillId="31" borderId="123" xfId="6" applyNumberFormat="1" applyFont="1" applyFill="1" applyBorder="1" applyAlignment="1">
      <alignment horizontal="center" vertical="top"/>
    </xf>
    <xf numFmtId="49" fontId="15" fillId="31" borderId="107" xfId="6" quotePrefix="1" applyNumberFormat="1" applyFont="1" applyFill="1" applyBorder="1" applyAlignment="1">
      <alignment horizontal="center" vertical="top"/>
    </xf>
    <xf numFmtId="49" fontId="15" fillId="31" borderId="108" xfId="6" quotePrefix="1" applyNumberFormat="1" applyFont="1" applyFill="1" applyBorder="1" applyAlignment="1">
      <alignment horizontal="center" vertical="top"/>
    </xf>
    <xf numFmtId="49" fontId="15" fillId="31" borderId="114" xfId="6" quotePrefix="1" applyNumberFormat="1" applyFont="1" applyFill="1" applyBorder="1" applyAlignment="1">
      <alignment horizontal="center" vertical="top"/>
    </xf>
    <xf numFmtId="49" fontId="15" fillId="31" borderId="115" xfId="6" quotePrefix="1" applyNumberFormat="1" applyFont="1" applyFill="1" applyBorder="1" applyAlignment="1">
      <alignment horizontal="center" vertical="top"/>
    </xf>
    <xf numFmtId="49" fontId="15" fillId="31" borderId="122" xfId="6" quotePrefix="1" applyNumberFormat="1" applyFont="1" applyFill="1" applyBorder="1" applyAlignment="1">
      <alignment horizontal="center" vertical="top"/>
    </xf>
    <xf numFmtId="49" fontId="15" fillId="31" borderId="123" xfId="6" quotePrefix="1" applyNumberFormat="1" applyFont="1" applyFill="1" applyBorder="1" applyAlignment="1">
      <alignment horizontal="center" vertical="top"/>
    </xf>
    <xf numFmtId="49" fontId="15" fillId="31" borderId="138" xfId="6" quotePrefix="1" applyNumberFormat="1" applyFont="1" applyFill="1" applyBorder="1" applyAlignment="1">
      <alignment horizontal="center" vertical="top"/>
    </xf>
    <xf numFmtId="49" fontId="15" fillId="31" borderId="134" xfId="6" quotePrefix="1" applyNumberFormat="1" applyFont="1" applyFill="1" applyBorder="1" applyAlignment="1">
      <alignment horizontal="center" vertical="top"/>
    </xf>
    <xf numFmtId="0" fontId="15" fillId="31" borderId="85" xfId="6" applyFont="1" applyFill="1" applyBorder="1" applyAlignment="1">
      <alignment horizontal="center" vertical="center"/>
    </xf>
    <xf numFmtId="0" fontId="15" fillId="31" borderId="83" xfId="6" applyFont="1" applyFill="1" applyBorder="1" applyAlignment="1">
      <alignment horizontal="left" vertical="center"/>
    </xf>
    <xf numFmtId="0" fontId="15" fillId="31" borderId="84" xfId="6" applyFont="1" applyFill="1" applyBorder="1" applyAlignment="1">
      <alignment horizontal="left" vertical="center"/>
    </xf>
    <xf numFmtId="0" fontId="15" fillId="31" borderId="85" xfId="6" applyFont="1" applyFill="1" applyBorder="1" applyAlignment="1">
      <alignment horizontal="left" vertical="center"/>
    </xf>
    <xf numFmtId="0" fontId="44" fillId="31" borderId="83" xfId="6" applyFont="1" applyFill="1" applyBorder="1" applyAlignment="1">
      <alignment horizontal="left" vertical="center"/>
    </xf>
    <xf numFmtId="0" fontId="44" fillId="31" borderId="84" xfId="6" applyFont="1" applyFill="1" applyBorder="1" applyAlignment="1">
      <alignment horizontal="left" vertical="center"/>
    </xf>
    <xf numFmtId="0" fontId="44" fillId="31" borderId="85" xfId="6" applyFont="1" applyFill="1" applyBorder="1" applyAlignment="1">
      <alignment horizontal="left" vertical="center"/>
    </xf>
    <xf numFmtId="3" fontId="15" fillId="31" borderId="83" xfId="6" applyNumberFormat="1" applyFont="1" applyFill="1" applyBorder="1" applyAlignment="1">
      <alignment horizontal="left" vertical="center"/>
    </xf>
    <xf numFmtId="3" fontId="15" fillId="31" borderId="84" xfId="6" applyNumberFormat="1" applyFont="1" applyFill="1" applyBorder="1" applyAlignment="1">
      <alignment horizontal="left" vertical="center"/>
    </xf>
    <xf numFmtId="3" fontId="15" fillId="31" borderId="85" xfId="6" applyNumberFormat="1" applyFont="1" applyFill="1" applyBorder="1" applyAlignment="1">
      <alignment horizontal="left" vertical="center"/>
    </xf>
    <xf numFmtId="0" fontId="15" fillId="31" borderId="83" xfId="6" applyFont="1" applyFill="1" applyBorder="1" applyAlignment="1">
      <alignment horizontal="left" vertical="center" shrinkToFit="1"/>
    </xf>
    <xf numFmtId="0" fontId="15" fillId="31" borderId="84" xfId="6" applyFont="1" applyFill="1" applyBorder="1" applyAlignment="1">
      <alignment horizontal="left" vertical="center" shrinkToFit="1"/>
    </xf>
    <xf numFmtId="0" fontId="15" fillId="31" borderId="85" xfId="6" applyFont="1" applyFill="1" applyBorder="1" applyAlignment="1">
      <alignment horizontal="left" vertical="center" shrinkToFit="1"/>
    </xf>
    <xf numFmtId="0" fontId="15" fillId="31" borderId="83" xfId="6" quotePrefix="1" applyFont="1" applyFill="1" applyBorder="1" applyAlignment="1">
      <alignment horizontal="left" vertical="center" shrinkToFit="1"/>
    </xf>
    <xf numFmtId="0" fontId="15" fillId="31" borderId="84" xfId="6" quotePrefix="1" applyFont="1" applyFill="1" applyBorder="1" applyAlignment="1">
      <alignment horizontal="left" vertical="center" shrinkToFit="1"/>
    </xf>
    <xf numFmtId="0" fontId="15" fillId="31" borderId="85" xfId="6" quotePrefix="1" applyFont="1" applyFill="1" applyBorder="1" applyAlignment="1">
      <alignment horizontal="left" vertical="center" shrinkToFit="1"/>
    </xf>
    <xf numFmtId="0" fontId="15" fillId="31" borderId="100" xfId="6" applyFont="1" applyFill="1" applyBorder="1" applyAlignment="1">
      <alignment horizontal="left" vertical="center" shrinkToFit="1"/>
    </xf>
    <xf numFmtId="0" fontId="15" fillId="31" borderId="96" xfId="6" applyFont="1" applyFill="1" applyBorder="1" applyAlignment="1">
      <alignment horizontal="left" vertical="center" shrinkToFit="1"/>
    </xf>
    <xf numFmtId="38" fontId="15" fillId="0" borderId="83" xfId="9" applyFont="1" applyFill="1" applyBorder="1" applyAlignment="1">
      <alignment horizontal="right" vertical="center"/>
    </xf>
    <xf numFmtId="38" fontId="15" fillId="0" borderId="84" xfId="9" applyFont="1" applyFill="1" applyBorder="1" applyAlignment="1">
      <alignment horizontal="right" vertical="center"/>
    </xf>
    <xf numFmtId="38" fontId="15" fillId="0" borderId="85" xfId="9" applyFont="1" applyFill="1" applyBorder="1" applyAlignment="1">
      <alignment horizontal="right" vertical="center"/>
    </xf>
    <xf numFmtId="14" fontId="15" fillId="0" borderId="83" xfId="6" applyNumberFormat="1" applyFont="1" applyBorder="1" applyAlignment="1">
      <alignment horizontal="left" vertical="center"/>
    </xf>
    <xf numFmtId="14" fontId="15" fillId="0" borderId="84" xfId="6" applyNumberFormat="1" applyFont="1" applyBorder="1" applyAlignment="1">
      <alignment horizontal="left" vertical="center"/>
    </xf>
    <xf numFmtId="20" fontId="9" fillId="0" borderId="83" xfId="6" applyNumberFormat="1" applyFont="1" applyBorder="1" applyAlignment="1">
      <alignment horizontal="left" vertical="center"/>
    </xf>
    <xf numFmtId="20" fontId="9" fillId="0" borderId="84" xfId="6" applyNumberFormat="1" applyFont="1" applyBorder="1" applyAlignment="1">
      <alignment horizontal="left" vertical="center"/>
    </xf>
    <xf numFmtId="20" fontId="9" fillId="0" borderId="85" xfId="6" applyNumberFormat="1" applyFont="1" applyBorder="1" applyAlignment="1">
      <alignment horizontal="left" vertical="center"/>
    </xf>
    <xf numFmtId="38" fontId="9" fillId="0" borderId="83" xfId="9" applyFont="1" applyFill="1" applyBorder="1" applyAlignment="1">
      <alignment horizontal="right" vertical="center"/>
    </xf>
    <xf numFmtId="38" fontId="9" fillId="0" borderId="84" xfId="9" applyFont="1" applyFill="1" applyBorder="1" applyAlignment="1">
      <alignment horizontal="right" vertical="center"/>
    </xf>
    <xf numFmtId="38" fontId="9" fillId="0" borderId="85" xfId="9" applyFont="1" applyFill="1" applyBorder="1" applyAlignment="1">
      <alignment horizontal="right" vertical="center"/>
    </xf>
    <xf numFmtId="38" fontId="15" fillId="31" borderId="83" xfId="9" applyFont="1" applyFill="1" applyBorder="1" applyAlignment="1">
      <alignment horizontal="left" vertical="center"/>
    </xf>
    <xf numFmtId="38" fontId="15" fillId="31" borderId="84" xfId="9" applyFont="1" applyFill="1" applyBorder="1" applyAlignment="1">
      <alignment horizontal="left" vertical="center"/>
    </xf>
    <xf numFmtId="38" fontId="15" fillId="31" borderId="85" xfId="9" applyFont="1" applyFill="1" applyBorder="1" applyAlignment="1">
      <alignment horizontal="left" vertical="center"/>
    </xf>
    <xf numFmtId="0" fontId="15" fillId="31" borderId="135" xfId="6" quotePrefix="1" applyFont="1" applyFill="1" applyBorder="1" applyAlignment="1">
      <alignment horizontal="left" vertical="center"/>
    </xf>
    <xf numFmtId="0" fontId="15" fillId="31" borderId="136" xfId="6" quotePrefix="1" applyFont="1" applyFill="1" applyBorder="1" applyAlignment="1">
      <alignment horizontal="left" vertical="center"/>
    </xf>
    <xf numFmtId="0" fontId="15" fillId="31" borderId="137" xfId="6" quotePrefix="1" applyFont="1" applyFill="1" applyBorder="1" applyAlignment="1">
      <alignment horizontal="left" vertical="center"/>
    </xf>
    <xf numFmtId="0" fontId="15" fillId="10" borderId="117" xfId="6" applyFont="1" applyFill="1" applyBorder="1" applyAlignment="1">
      <alignment horizontal="center" vertical="center"/>
    </xf>
    <xf numFmtId="0" fontId="15" fillId="10" borderId="118" xfId="6" applyFont="1" applyFill="1" applyBorder="1" applyAlignment="1">
      <alignment horizontal="center" vertical="center"/>
    </xf>
    <xf numFmtId="0" fontId="15" fillId="10" borderId="119" xfId="6" applyFont="1" applyFill="1" applyBorder="1" applyAlignment="1">
      <alignment horizontal="center" vertical="center"/>
    </xf>
    <xf numFmtId="0" fontId="15" fillId="0" borderId="135" xfId="6" quotePrefix="1" applyFont="1" applyBorder="1" applyAlignment="1">
      <alignment horizontal="left" vertical="center"/>
    </xf>
    <xf numFmtId="0" fontId="15" fillId="0" borderId="136" xfId="6" quotePrefix="1" applyFont="1" applyBorder="1" applyAlignment="1">
      <alignment horizontal="left" vertical="center"/>
    </xf>
    <xf numFmtId="0" fontId="15" fillId="0" borderId="137" xfId="6" quotePrefix="1" applyFont="1" applyBorder="1" applyAlignment="1">
      <alignment horizontal="left" vertical="center"/>
    </xf>
    <xf numFmtId="0" fontId="15" fillId="31" borderId="83" xfId="6" quotePrefix="1" applyFont="1" applyFill="1" applyBorder="1" applyAlignment="1">
      <alignment horizontal="left" vertical="center"/>
    </xf>
    <xf numFmtId="0" fontId="15" fillId="31" borderId="84" xfId="6" quotePrefix="1" applyFont="1" applyFill="1" applyBorder="1" applyAlignment="1">
      <alignment horizontal="left" vertical="center"/>
    </xf>
    <xf numFmtId="0" fontId="15" fillId="31" borderId="85" xfId="6" quotePrefix="1" applyFont="1" applyFill="1" applyBorder="1" applyAlignment="1">
      <alignment horizontal="left" vertical="center"/>
    </xf>
    <xf numFmtId="0" fontId="15" fillId="31" borderId="98" xfId="6" applyFont="1" applyFill="1" applyBorder="1" applyAlignment="1">
      <alignment horizontal="center" vertical="center"/>
    </xf>
    <xf numFmtId="0" fontId="15" fillId="31" borderId="99" xfId="6" applyFont="1" applyFill="1" applyBorder="1" applyAlignment="1">
      <alignment horizontal="center" vertical="center"/>
    </xf>
    <xf numFmtId="0" fontId="15" fillId="9" borderId="202" xfId="6" applyFont="1" applyFill="1" applyBorder="1" applyAlignment="1">
      <alignment horizontal="center" vertical="center"/>
    </xf>
    <xf numFmtId="0" fontId="15" fillId="9" borderId="203" xfId="6" applyFont="1" applyFill="1" applyBorder="1" applyAlignment="1">
      <alignment horizontal="center" vertical="center"/>
    </xf>
    <xf numFmtId="0" fontId="54" fillId="9" borderId="204" xfId="10" applyFont="1" applyFill="1" applyBorder="1" applyAlignment="1">
      <alignment horizontal="center" vertical="center"/>
    </xf>
    <xf numFmtId="0" fontId="54" fillId="9" borderId="205" xfId="10" applyFont="1" applyFill="1" applyBorder="1" applyAlignment="1">
      <alignment horizontal="center" vertical="center"/>
    </xf>
    <xf numFmtId="0" fontId="54" fillId="9" borderId="206" xfId="10" applyFont="1" applyFill="1" applyBorder="1" applyAlignment="1">
      <alignment horizontal="center" vertical="center"/>
    </xf>
    <xf numFmtId="49" fontId="26" fillId="2" borderId="2" xfId="3" applyNumberFormat="1" applyFont="1" applyFill="1" applyBorder="1" applyAlignment="1">
      <alignment horizontal="center" vertical="center"/>
    </xf>
    <xf numFmtId="49" fontId="26" fillId="2" borderId="3" xfId="3" applyNumberFormat="1" applyFont="1" applyFill="1" applyBorder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17" fillId="14" borderId="6" xfId="6" applyFont="1" applyFill="1" applyBorder="1" applyAlignment="1">
      <alignment horizontal="center" vertical="center"/>
    </xf>
    <xf numFmtId="0" fontId="17" fillId="14" borderId="8" xfId="6" applyFont="1" applyFill="1" applyBorder="1" applyAlignment="1">
      <alignment horizontal="center" vertical="center"/>
    </xf>
    <xf numFmtId="49" fontId="2" fillId="6" borderId="6" xfId="3" applyNumberFormat="1" applyFont="1" applyFill="1" applyBorder="1" applyAlignment="1">
      <alignment horizontal="center" vertical="center" wrapText="1"/>
    </xf>
    <xf numFmtId="49" fontId="2" fillId="6" borderId="7" xfId="3" applyNumberFormat="1" applyFont="1" applyFill="1" applyBorder="1" applyAlignment="1">
      <alignment horizontal="center" vertical="center" wrapText="1"/>
    </xf>
    <xf numFmtId="49" fontId="2" fillId="6" borderId="8" xfId="3" applyNumberFormat="1" applyFont="1" applyFill="1" applyBorder="1" applyAlignment="1">
      <alignment horizontal="center" vertical="center" wrapText="1"/>
    </xf>
    <xf numFmtId="49" fontId="2" fillId="2" borderId="2" xfId="3" applyNumberFormat="1" applyFont="1" applyFill="1" applyBorder="1" applyAlignment="1">
      <alignment horizontal="center" vertical="center"/>
    </xf>
    <xf numFmtId="49" fontId="2" fillId="2" borderId="4" xfId="3" applyNumberFormat="1" applyFont="1" applyFill="1" applyBorder="1" applyAlignment="1">
      <alignment horizontal="center"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49" fontId="2" fillId="2" borderId="1" xfId="3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9" fontId="2" fillId="2" borderId="2" xfId="3" applyNumberFormat="1" applyFont="1" applyFill="1" applyBorder="1" applyAlignment="1">
      <alignment horizontal="center" vertical="center" wrapText="1"/>
    </xf>
    <xf numFmtId="49" fontId="2" fillId="2" borderId="3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6" fillId="0" borderId="2" xfId="1" applyFont="1" applyBorder="1" applyAlignment="1">
      <alignment vertical="center" wrapText="1"/>
    </xf>
    <xf numFmtId="0" fontId="26" fillId="0" borderId="4" xfId="1" applyFont="1" applyBorder="1" applyAlignment="1">
      <alignment vertical="center" wrapText="1"/>
    </xf>
    <xf numFmtId="0" fontId="26" fillId="0" borderId="3" xfId="1" applyFont="1" applyBorder="1" applyAlignment="1">
      <alignment vertical="center" wrapText="1"/>
    </xf>
    <xf numFmtId="0" fontId="26" fillId="0" borderId="2" xfId="1" applyFont="1" applyBorder="1" applyAlignment="1">
      <alignment horizontal="right" vertical="center" wrapText="1"/>
    </xf>
    <xf numFmtId="0" fontId="26" fillId="0" borderId="3" xfId="1" applyFont="1" applyBorder="1" applyAlignment="1">
      <alignment horizontal="right" vertical="center" wrapText="1"/>
    </xf>
    <xf numFmtId="0" fontId="26" fillId="0" borderId="4" xfId="1" applyFont="1" applyBorder="1" applyAlignment="1">
      <alignment horizontal="right" vertical="center" wrapText="1"/>
    </xf>
    <xf numFmtId="49" fontId="26" fillId="2" borderId="2" xfId="3" applyNumberFormat="1" applyFont="1" applyFill="1" applyBorder="1" applyAlignment="1">
      <alignment horizontal="center" vertical="center" wrapText="1"/>
    </xf>
    <xf numFmtId="49" fontId="26" fillId="2" borderId="3" xfId="3" applyNumberFormat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vertical="center" wrapText="1"/>
    </xf>
    <xf numFmtId="0" fontId="26" fillId="2" borderId="1" xfId="1" applyFont="1" applyFill="1" applyBorder="1" applyAlignment="1">
      <alignment horizontal="center" vertical="center" wrapText="1"/>
    </xf>
    <xf numFmtId="38" fontId="26" fillId="0" borderId="2" xfId="2" applyFont="1" applyBorder="1" applyAlignment="1">
      <alignment horizontal="center" vertical="center" wrapText="1"/>
    </xf>
    <xf numFmtId="38" fontId="26" fillId="0" borderId="3" xfId="2" applyFont="1" applyBorder="1" applyAlignment="1">
      <alignment horizontal="center" vertical="center" wrapText="1"/>
    </xf>
  </cellXfs>
  <cellStyles count="14">
    <cellStyle name="ハイパーリンク" xfId="7" builtinId="8"/>
    <cellStyle name="桁区切り 5" xfId="2" xr:uid="{731D2BF9-5479-46B1-8778-B60BEC530D51}"/>
    <cellStyle name="桁区切り 6" xfId="9" xr:uid="{8778B7FE-D050-4A98-B735-F4947E56C35F}"/>
    <cellStyle name="標準" xfId="0" builtinId="0"/>
    <cellStyle name="標準 2 40" xfId="5" xr:uid="{018743EF-0036-4357-8DBF-8D407AF91A0A}"/>
    <cellStyle name="標準 29" xfId="8" xr:uid="{03ED33EC-40A2-4BF6-903F-F4655C8C830E}"/>
    <cellStyle name="標準 3 17" xfId="10" xr:uid="{B1FB2EFD-F70B-4C67-8A7E-13299ED83C53}"/>
    <cellStyle name="標準 5" xfId="4" xr:uid="{F93D519B-0903-4E77-89DB-C6E311EF00E8}"/>
    <cellStyle name="標準 5 19" xfId="1" xr:uid="{11583678-203A-4CB6-8383-39A2E87A223E}"/>
    <cellStyle name="標準 5 2" xfId="6" xr:uid="{69355AA3-7306-4264-83F2-C29397EAF23A}"/>
    <cellStyle name="標準 6 19" xfId="3" xr:uid="{3A13B4FD-1254-494E-A33C-718F7075FA4B}"/>
    <cellStyle name="標準_【361】データベースオブジェクト一覧" xfId="12" xr:uid="{8987C0EE-39A3-439C-B2ED-21371BCA4B09}"/>
    <cellStyle name="標準_IH-SC-01_画面一覧_表紙" xfId="13" xr:uid="{998A24CF-7119-4601-8EBA-D02B1EF56FCF}"/>
    <cellStyle name="標準_画面説明書_CAP0010_承認状況確認" xfId="11" xr:uid="{26D2D273-81CE-4CC5-A352-20E79C504F8D}"/>
  </cellStyles>
  <dxfs count="0"/>
  <tableStyles count="0" defaultTableStyle="TableStyleMedium2" defaultPivotStyle="PivotStyleLight16"/>
  <colors>
    <mruColors>
      <color rgb="FF0000FF"/>
      <color rgb="FFFF00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0" Type="http://schemas.openxmlformats.org/officeDocument/2006/relationships/image" Target="../media/image13.emf"/><Relationship Id="rId4" Type="http://schemas.openxmlformats.org/officeDocument/2006/relationships/image" Target="../media/image7.emf"/><Relationship Id="rId9" Type="http://schemas.openxmlformats.org/officeDocument/2006/relationships/image" Target="../media/image12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0.emf"/><Relationship Id="rId4" Type="http://schemas.openxmlformats.org/officeDocument/2006/relationships/image" Target="../media/image7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500062</xdr:colOff>
      <xdr:row>2</xdr:row>
      <xdr:rowOff>95250</xdr:rowOff>
    </xdr:from>
    <xdr:to>
      <xdr:col>30</xdr:col>
      <xdr:colOff>328613</xdr:colOff>
      <xdr:row>67</xdr:row>
      <xdr:rowOff>119062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BA359FD-4178-F14E-FF16-272514AD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01812" y="476250"/>
          <a:ext cx="14806613" cy="12406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168088</xdr:colOff>
      <xdr:row>12</xdr:row>
      <xdr:rowOff>100853</xdr:rowOff>
    </xdr:from>
    <xdr:to>
      <xdr:col>12</xdr:col>
      <xdr:colOff>381000</xdr:colOff>
      <xdr:row>17</xdr:row>
      <xdr:rowOff>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D9C525B0-6026-5B40-6A65-A126EAD754B1}"/>
            </a:ext>
          </a:extLst>
        </xdr:cNvPr>
        <xdr:cNvSpPr/>
      </xdr:nvSpPr>
      <xdr:spPr>
        <a:xfrm>
          <a:off x="13088470" y="2521324"/>
          <a:ext cx="1277471" cy="9076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324971</xdr:colOff>
      <xdr:row>1</xdr:row>
      <xdr:rowOff>190500</xdr:rowOff>
    </xdr:from>
    <xdr:to>
      <xdr:col>15</xdr:col>
      <xdr:colOff>974911</xdr:colOff>
      <xdr:row>9</xdr:row>
      <xdr:rowOff>100854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D7150146-9C04-273A-EA97-E54260C68429}"/>
            </a:ext>
          </a:extLst>
        </xdr:cNvPr>
        <xdr:cNvSpPr/>
      </xdr:nvSpPr>
      <xdr:spPr>
        <a:xfrm>
          <a:off x="13861677" y="392206"/>
          <a:ext cx="4908175" cy="1524001"/>
        </a:xfrm>
        <a:prstGeom prst="wedgeRectCallout">
          <a:avLst>
            <a:gd name="adj1" fmla="val -46621"/>
            <a:gd name="adj2" fmla="val 81445"/>
          </a:avLst>
        </a:prstGeom>
        <a:solidFill>
          <a:schemeClr val="accent2">
            <a:lumMod val="20000"/>
            <a:lumOff val="80000"/>
          </a:schemeClr>
        </a:solidFill>
        <a:ln w="19050" cap="flat" cmpd="sng" algn="ctr">
          <a:solidFill>
            <a:srgbClr val="3333E1"/>
          </a:solidFill>
          <a:prstDash val="solid"/>
          <a:miter lim="800000"/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改修：</a:t>
          </a:r>
          <a:endParaRPr kumimoji="1" lang="en-US" altLang="ja-JP" sz="13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・通常の加工品受注、シート受注以外、</a:t>
          </a:r>
          <a:endParaRPr kumimoji="1" lang="en-US" altLang="ja-JP" sz="13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3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品目マスタにある品目も受注登録可能とする</a:t>
          </a: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。</a:t>
          </a:r>
          <a:endParaRPr kumimoji="1" lang="en-US" altLang="ja-JP" sz="13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ja-JP" sz="13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品目マスタ</a:t>
          </a: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汎用マスタの設定より、受注入力パタンを取得する。　</a:t>
          </a:r>
          <a:endParaRPr kumimoji="1" lang="en-US" altLang="ja-JP" sz="13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3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黄色い部分</a:t>
          </a:r>
        </a:p>
      </xdr:txBody>
    </xdr:sp>
    <xdr:clientData/>
  </xdr:twoCellAnchor>
  <xdr:twoCellAnchor>
    <xdr:from>
      <xdr:col>3</xdr:col>
      <xdr:colOff>33617</xdr:colOff>
      <xdr:row>17</xdr:row>
      <xdr:rowOff>0</xdr:rowOff>
    </xdr:from>
    <xdr:to>
      <xdr:col>10</xdr:col>
      <xdr:colOff>1916206</xdr:colOff>
      <xdr:row>25</xdr:row>
      <xdr:rowOff>33618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B2CA57A6-600F-9D1C-F726-04E8DC5BB82D}"/>
            </a:ext>
          </a:extLst>
        </xdr:cNvPr>
        <xdr:cNvCxnSpPr/>
      </xdr:nvCxnSpPr>
      <xdr:spPr>
        <a:xfrm>
          <a:off x="2622176" y="3429000"/>
          <a:ext cx="10611971" cy="164726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67235</xdr:colOff>
      <xdr:row>17</xdr:row>
      <xdr:rowOff>156882</xdr:rowOff>
    </xdr:from>
    <xdr:to>
      <xdr:col>10</xdr:col>
      <xdr:colOff>1848971</xdr:colOff>
      <xdr:row>25</xdr:row>
      <xdr:rowOff>56029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FA177688-D99B-4D9C-B920-5E41530F2172}"/>
            </a:ext>
          </a:extLst>
        </xdr:cNvPr>
        <xdr:cNvCxnSpPr/>
      </xdr:nvCxnSpPr>
      <xdr:spPr>
        <a:xfrm flipV="1">
          <a:off x="2655794" y="3585882"/>
          <a:ext cx="10511118" cy="1512794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64</xdr:row>
      <xdr:rowOff>78442</xdr:rowOff>
    </xdr:from>
    <xdr:to>
      <xdr:col>10</xdr:col>
      <xdr:colOff>2151530</xdr:colOff>
      <xdr:row>78</xdr:row>
      <xdr:rowOff>123265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9DDE8C55-4155-48CC-BEB7-0321A82E7F80}"/>
            </a:ext>
          </a:extLst>
        </xdr:cNvPr>
        <xdr:cNvCxnSpPr/>
      </xdr:nvCxnSpPr>
      <xdr:spPr>
        <a:xfrm flipV="1">
          <a:off x="2779059" y="12987618"/>
          <a:ext cx="10690412" cy="286870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89647</xdr:colOff>
      <xdr:row>64</xdr:row>
      <xdr:rowOff>100853</xdr:rowOff>
    </xdr:from>
    <xdr:to>
      <xdr:col>10</xdr:col>
      <xdr:colOff>2129118</xdr:colOff>
      <xdr:row>78</xdr:row>
      <xdr:rowOff>112059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BA04019-B7D5-4E43-A68A-87C26C6E593C}"/>
            </a:ext>
          </a:extLst>
        </xdr:cNvPr>
        <xdr:cNvCxnSpPr/>
      </xdr:nvCxnSpPr>
      <xdr:spPr>
        <a:xfrm>
          <a:off x="2678206" y="13010029"/>
          <a:ext cx="10768853" cy="2835089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17</xdr:col>
      <xdr:colOff>115560</xdr:colOff>
      <xdr:row>28</xdr:row>
      <xdr:rowOff>153285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497ECBB-83BC-E31E-ED36-0C30E928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476250"/>
          <a:ext cx="9030960" cy="634453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3</xdr:col>
      <xdr:colOff>666749</xdr:colOff>
      <xdr:row>15</xdr:row>
      <xdr:rowOff>104776</xdr:rowOff>
    </xdr:from>
    <xdr:to>
      <xdr:col>13</xdr:col>
      <xdr:colOff>295274</xdr:colOff>
      <xdr:row>16</xdr:row>
      <xdr:rowOff>190501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3A4C92F-5A6C-BEF7-AC0E-64D308849BD6}"/>
            </a:ext>
          </a:extLst>
        </xdr:cNvPr>
        <xdr:cNvSpPr/>
      </xdr:nvSpPr>
      <xdr:spPr>
        <a:xfrm>
          <a:off x="2724149" y="3676651"/>
          <a:ext cx="6486525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666750</xdr:colOff>
      <xdr:row>14</xdr:row>
      <xdr:rowOff>19050</xdr:rowOff>
    </xdr:from>
    <xdr:to>
      <xdr:col>23</xdr:col>
      <xdr:colOff>239022</xdr:colOff>
      <xdr:row>22</xdr:row>
      <xdr:rowOff>190790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795131E-C082-83EA-0606-BC3528822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82150" y="3352800"/>
          <a:ext cx="6430272" cy="207674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95250</xdr:colOff>
      <xdr:row>58</xdr:row>
      <xdr:rowOff>0</xdr:rowOff>
    </xdr:from>
    <xdr:to>
      <xdr:col>80</xdr:col>
      <xdr:colOff>142875</xdr:colOff>
      <xdr:row>90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0A15DF-149A-418F-B927-FC1FFD86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1487150"/>
          <a:ext cx="10439400" cy="648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95</xdr:col>
      <xdr:colOff>9525</xdr:colOff>
      <xdr:row>54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B9356CB-953A-4E45-846E-C5B28375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6886575"/>
          <a:ext cx="12668250" cy="391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94</xdr:row>
      <xdr:rowOff>0</xdr:rowOff>
    </xdr:from>
    <xdr:to>
      <xdr:col>98</xdr:col>
      <xdr:colOff>47625</xdr:colOff>
      <xdr:row>122</xdr:row>
      <xdr:rowOff>47625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BCBE9ED-155E-4F3A-BCAD-52AD8D99C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8688050"/>
          <a:ext cx="13354050" cy="564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125</xdr:row>
      <xdr:rowOff>0</xdr:rowOff>
    </xdr:from>
    <xdr:to>
      <xdr:col>78</xdr:col>
      <xdr:colOff>142875</xdr:colOff>
      <xdr:row>149</xdr:row>
      <xdr:rowOff>85725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AF3382B-0C29-4FF2-ABB2-B17C2453F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24888825"/>
          <a:ext cx="10210800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153</xdr:row>
      <xdr:rowOff>0</xdr:rowOff>
    </xdr:from>
    <xdr:to>
      <xdr:col>70</xdr:col>
      <xdr:colOff>133350</xdr:colOff>
      <xdr:row>179</xdr:row>
      <xdr:rowOff>142875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F9ECA61-46A9-4931-BD37-FEEF803E7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30489525"/>
          <a:ext cx="8905875" cy="534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47625</xdr:colOff>
      <xdr:row>34</xdr:row>
      <xdr:rowOff>123825</xdr:rowOff>
    </xdr:from>
    <xdr:to>
      <xdr:col>95</xdr:col>
      <xdr:colOff>114300</xdr:colOff>
      <xdr:row>45</xdr:row>
      <xdr:rowOff>28575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EAE4E40A-4850-4136-BE7B-6AB00C544ECB}"/>
            </a:ext>
          </a:extLst>
        </xdr:cNvPr>
        <xdr:cNvSpPr/>
      </xdr:nvSpPr>
      <xdr:spPr>
        <a:xfrm>
          <a:off x="2743200" y="6810375"/>
          <a:ext cx="12887325" cy="2105025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85725</xdr:colOff>
      <xdr:row>34</xdr:row>
      <xdr:rowOff>114300</xdr:rowOff>
    </xdr:from>
    <xdr:to>
      <xdr:col>15</xdr:col>
      <xdr:colOff>152400</xdr:colOff>
      <xdr:row>35</xdr:row>
      <xdr:rowOff>123825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01A52A5-F38E-4D68-92F4-BF4726494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800850"/>
          <a:ext cx="24384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47625</xdr:colOff>
      <xdr:row>45</xdr:row>
      <xdr:rowOff>76200</xdr:rowOff>
    </xdr:from>
    <xdr:to>
      <xdr:col>95</xdr:col>
      <xdr:colOff>123825</xdr:colOff>
      <xdr:row>52</xdr:row>
      <xdr:rowOff>28575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7502FC5-A2A4-43E0-894D-B7BF4A27DBAF}"/>
            </a:ext>
          </a:extLst>
        </xdr:cNvPr>
        <xdr:cNvSpPr/>
      </xdr:nvSpPr>
      <xdr:spPr>
        <a:xfrm>
          <a:off x="2743200" y="8963025"/>
          <a:ext cx="12896850" cy="135255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76200</xdr:colOff>
      <xdr:row>45</xdr:row>
      <xdr:rowOff>76200</xdr:rowOff>
    </xdr:from>
    <xdr:to>
      <xdr:col>15</xdr:col>
      <xdr:colOff>142875</xdr:colOff>
      <xdr:row>46</xdr:row>
      <xdr:rowOff>85725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C5A0027-34A5-4A92-8148-D02401C6D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963025"/>
          <a:ext cx="24384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85725</xdr:colOff>
      <xdr:row>59</xdr:row>
      <xdr:rowOff>152400</xdr:rowOff>
    </xdr:from>
    <xdr:to>
      <xdr:col>96</xdr:col>
      <xdr:colOff>0</xdr:colOff>
      <xdr:row>70</xdr:row>
      <xdr:rowOff>47625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A124554-1A93-435B-B283-5E457222818F}"/>
            </a:ext>
          </a:extLst>
        </xdr:cNvPr>
        <xdr:cNvSpPr/>
      </xdr:nvSpPr>
      <xdr:spPr>
        <a:xfrm>
          <a:off x="2781300" y="11839575"/>
          <a:ext cx="12896850" cy="209550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9525</xdr:colOff>
      <xdr:row>59</xdr:row>
      <xdr:rowOff>152400</xdr:rowOff>
    </xdr:from>
    <xdr:to>
      <xdr:col>16</xdr:col>
      <xdr:colOff>19050</xdr:colOff>
      <xdr:row>60</xdr:row>
      <xdr:rowOff>161925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45C6D6D-E7D0-4775-A370-9C2A19FEA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839575"/>
          <a:ext cx="2543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70</xdr:row>
      <xdr:rowOff>47626</xdr:rowOff>
    </xdr:from>
    <xdr:to>
      <xdr:col>95</xdr:col>
      <xdr:colOff>152400</xdr:colOff>
      <xdr:row>80</xdr:row>
      <xdr:rowOff>28576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57FFB80-3E8D-47AB-BCDD-9883E954AE61}"/>
            </a:ext>
          </a:extLst>
        </xdr:cNvPr>
        <xdr:cNvSpPr/>
      </xdr:nvSpPr>
      <xdr:spPr>
        <a:xfrm>
          <a:off x="2771775" y="13935076"/>
          <a:ext cx="12896850" cy="198120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9525</xdr:colOff>
      <xdr:row>70</xdr:row>
      <xdr:rowOff>38100</xdr:rowOff>
    </xdr:from>
    <xdr:to>
      <xdr:col>16</xdr:col>
      <xdr:colOff>19050</xdr:colOff>
      <xdr:row>71</xdr:row>
      <xdr:rowOff>47625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AB75915-C22E-4625-91E6-87155A9CB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3925550"/>
          <a:ext cx="2543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80</xdr:row>
      <xdr:rowOff>28575</xdr:rowOff>
    </xdr:from>
    <xdr:to>
      <xdr:col>95</xdr:col>
      <xdr:colOff>152400</xdr:colOff>
      <xdr:row>83</xdr:row>
      <xdr:rowOff>123825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0C848A2-26DD-419D-B611-0E269CE39B1A}"/>
            </a:ext>
          </a:extLst>
        </xdr:cNvPr>
        <xdr:cNvSpPr/>
      </xdr:nvSpPr>
      <xdr:spPr>
        <a:xfrm>
          <a:off x="2771775" y="15916275"/>
          <a:ext cx="12896850" cy="695325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9525</xdr:colOff>
      <xdr:row>80</xdr:row>
      <xdr:rowOff>28575</xdr:rowOff>
    </xdr:from>
    <xdr:to>
      <xdr:col>16</xdr:col>
      <xdr:colOff>19050</xdr:colOff>
      <xdr:row>81</xdr:row>
      <xdr:rowOff>38100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FEE9291-180A-4644-A9C2-28852BA3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5916275"/>
          <a:ext cx="2543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123825</xdr:rowOff>
    </xdr:from>
    <xdr:to>
      <xdr:col>16</xdr:col>
      <xdr:colOff>9525</xdr:colOff>
      <xdr:row>84</xdr:row>
      <xdr:rowOff>133350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BC68784-1390-49DE-A3E1-59315C857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6611600"/>
          <a:ext cx="2543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83</xdr:row>
      <xdr:rowOff>123825</xdr:rowOff>
    </xdr:from>
    <xdr:to>
      <xdr:col>95</xdr:col>
      <xdr:colOff>152400</xdr:colOff>
      <xdr:row>88</xdr:row>
      <xdr:rowOff>95250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0F2C6DF2-767A-4069-8F3B-B07A20750DBF}"/>
            </a:ext>
          </a:extLst>
        </xdr:cNvPr>
        <xdr:cNvSpPr/>
      </xdr:nvSpPr>
      <xdr:spPr>
        <a:xfrm>
          <a:off x="2771775" y="16611600"/>
          <a:ext cx="12896850" cy="971550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142875</xdr:colOff>
      <xdr:row>94</xdr:row>
      <xdr:rowOff>104774</xdr:rowOff>
    </xdr:from>
    <xdr:to>
      <xdr:col>95</xdr:col>
      <xdr:colOff>57150</xdr:colOff>
      <xdr:row>119</xdr:row>
      <xdr:rowOff>161925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E4388C59-8513-4200-8F2F-A5A68584FA80}"/>
            </a:ext>
          </a:extLst>
        </xdr:cNvPr>
        <xdr:cNvSpPr/>
      </xdr:nvSpPr>
      <xdr:spPr>
        <a:xfrm>
          <a:off x="2676525" y="18792824"/>
          <a:ext cx="12896850" cy="5057776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76200</xdr:colOff>
      <xdr:row>94</xdr:row>
      <xdr:rowOff>104775</xdr:rowOff>
    </xdr:from>
    <xdr:to>
      <xdr:col>15</xdr:col>
      <xdr:colOff>85725</xdr:colOff>
      <xdr:row>95</xdr:row>
      <xdr:rowOff>114300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B6B1B777-ED04-438B-89E5-A6EF2F72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792825"/>
          <a:ext cx="25431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127</xdr:row>
      <xdr:rowOff>28576</xdr:rowOff>
    </xdr:from>
    <xdr:to>
      <xdr:col>15</xdr:col>
      <xdr:colOff>57150</xdr:colOff>
      <xdr:row>128</xdr:row>
      <xdr:rowOff>38100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D2CB34F-D3E0-4448-8430-1FFD297CCF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-1124" b="82677"/>
        <a:stretch/>
      </xdr:blipFill>
      <xdr:spPr bwMode="auto">
        <a:xfrm>
          <a:off x="19050" y="25317451"/>
          <a:ext cx="2571750" cy="209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47625</xdr:colOff>
      <xdr:row>153</xdr:row>
      <xdr:rowOff>114300</xdr:rowOff>
    </xdr:from>
    <xdr:to>
      <xdr:col>16</xdr:col>
      <xdr:colOff>57150</xdr:colOff>
      <xdr:row>154</xdr:row>
      <xdr:rowOff>133350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376083F-996F-41B7-A7B1-007842A243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890"/>
        <a:stretch/>
      </xdr:blipFill>
      <xdr:spPr bwMode="auto">
        <a:xfrm>
          <a:off x="209550" y="30603825"/>
          <a:ext cx="25431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</xdr:colOff>
      <xdr:row>153</xdr:row>
      <xdr:rowOff>104774</xdr:rowOff>
    </xdr:from>
    <xdr:to>
      <xdr:col>69</xdr:col>
      <xdr:colOff>28575</xdr:colOff>
      <xdr:row>177</xdr:row>
      <xdr:rowOff>190500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DD1613AF-F3F4-4271-AF9C-6429F3AE50E0}"/>
            </a:ext>
          </a:extLst>
        </xdr:cNvPr>
        <xdr:cNvSpPr/>
      </xdr:nvSpPr>
      <xdr:spPr>
        <a:xfrm>
          <a:off x="2867025" y="30594299"/>
          <a:ext cx="8467725" cy="4886326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95250</xdr:colOff>
      <xdr:row>126</xdr:row>
      <xdr:rowOff>190499</xdr:rowOff>
    </xdr:from>
    <xdr:to>
      <xdr:col>67</xdr:col>
      <xdr:colOff>38100</xdr:colOff>
      <xdr:row>128</xdr:row>
      <xdr:rowOff>66675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9575F96-C6DD-4EE7-94F0-2E1806393D6D}"/>
            </a:ext>
          </a:extLst>
        </xdr:cNvPr>
        <xdr:cNvSpPr/>
      </xdr:nvSpPr>
      <xdr:spPr>
        <a:xfrm>
          <a:off x="2628900" y="25279349"/>
          <a:ext cx="8391525" cy="276226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95250</xdr:colOff>
      <xdr:row>136</xdr:row>
      <xdr:rowOff>95250</xdr:rowOff>
    </xdr:from>
    <xdr:to>
      <xdr:col>15</xdr:col>
      <xdr:colOff>133350</xdr:colOff>
      <xdr:row>137</xdr:row>
      <xdr:rowOff>123825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6C56FC95-51A5-4C08-B108-0F7EBB2FA5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32284" r="-1124" b="48818"/>
        <a:stretch/>
      </xdr:blipFill>
      <xdr:spPr bwMode="auto">
        <a:xfrm>
          <a:off x="95250" y="27184350"/>
          <a:ext cx="257175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95250</xdr:colOff>
      <xdr:row>128</xdr:row>
      <xdr:rowOff>152398</xdr:rowOff>
    </xdr:from>
    <xdr:to>
      <xdr:col>67</xdr:col>
      <xdr:colOff>38100</xdr:colOff>
      <xdr:row>136</xdr:row>
      <xdr:rowOff>57149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EB32BAD-DD58-4F33-BBA9-EC381968D4A9}"/>
            </a:ext>
          </a:extLst>
        </xdr:cNvPr>
        <xdr:cNvSpPr/>
      </xdr:nvSpPr>
      <xdr:spPr>
        <a:xfrm>
          <a:off x="2628900" y="25641298"/>
          <a:ext cx="8391525" cy="1504951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28575</xdr:colOff>
      <xdr:row>140</xdr:row>
      <xdr:rowOff>133350</xdr:rowOff>
    </xdr:from>
    <xdr:to>
      <xdr:col>15</xdr:col>
      <xdr:colOff>66675</xdr:colOff>
      <xdr:row>141</xdr:row>
      <xdr:rowOff>180974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1A95AA1-7D51-47E5-BF38-603E19FD78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64568" r="-1124" b="14959"/>
        <a:stretch/>
      </xdr:blipFill>
      <xdr:spPr bwMode="auto">
        <a:xfrm>
          <a:off x="28575" y="28022550"/>
          <a:ext cx="2571750" cy="247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85725</xdr:colOff>
      <xdr:row>138</xdr:row>
      <xdr:rowOff>95250</xdr:rowOff>
    </xdr:from>
    <xdr:to>
      <xdr:col>58</xdr:col>
      <xdr:colOff>66675</xdr:colOff>
      <xdr:row>139</xdr:row>
      <xdr:rowOff>104775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0F707B27-E9BC-49CA-B82F-6725A04830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16536" r="-1124" b="66141"/>
        <a:stretch/>
      </xdr:blipFill>
      <xdr:spPr bwMode="auto">
        <a:xfrm>
          <a:off x="6991350" y="27584400"/>
          <a:ext cx="25717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66675</xdr:colOff>
      <xdr:row>136</xdr:row>
      <xdr:rowOff>85724</xdr:rowOff>
    </xdr:from>
    <xdr:to>
      <xdr:col>59</xdr:col>
      <xdr:colOff>85725</xdr:colOff>
      <xdr:row>138</xdr:row>
      <xdr:rowOff>66676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ABC0BAC-424C-4C63-90FB-B82C0BA835A8}"/>
            </a:ext>
          </a:extLst>
        </xdr:cNvPr>
        <xdr:cNvSpPr/>
      </xdr:nvSpPr>
      <xdr:spPr>
        <a:xfrm>
          <a:off x="6972300" y="27174824"/>
          <a:ext cx="2771775" cy="381002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19050</xdr:colOff>
      <xdr:row>128</xdr:row>
      <xdr:rowOff>171450</xdr:rowOff>
    </xdr:from>
    <xdr:to>
      <xdr:col>15</xdr:col>
      <xdr:colOff>57150</xdr:colOff>
      <xdr:row>130</xdr:row>
      <xdr:rowOff>9525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571153F-CC9D-4A2F-AD90-B9AD9908A7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48820" r="-1124" b="31495"/>
        <a:stretch/>
      </xdr:blipFill>
      <xdr:spPr bwMode="auto">
        <a:xfrm>
          <a:off x="19050" y="25660350"/>
          <a:ext cx="25717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140</xdr:row>
      <xdr:rowOff>133350</xdr:rowOff>
    </xdr:from>
    <xdr:to>
      <xdr:col>38</xdr:col>
      <xdr:colOff>114300</xdr:colOff>
      <xdr:row>146</xdr:row>
      <xdr:rowOff>85724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1C63469-827F-4CD9-94EE-EAE993514996}"/>
            </a:ext>
          </a:extLst>
        </xdr:cNvPr>
        <xdr:cNvSpPr/>
      </xdr:nvSpPr>
      <xdr:spPr>
        <a:xfrm>
          <a:off x="2638425" y="28022550"/>
          <a:ext cx="3733800" cy="1152524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47625</xdr:colOff>
      <xdr:row>136</xdr:row>
      <xdr:rowOff>95249</xdr:rowOff>
    </xdr:from>
    <xdr:to>
      <xdr:col>42</xdr:col>
      <xdr:colOff>0</xdr:colOff>
      <xdr:row>140</xdr:row>
      <xdr:rowOff>104775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112F28B9-2082-4F8B-8044-EC48459ADBD3}"/>
            </a:ext>
          </a:extLst>
        </xdr:cNvPr>
        <xdr:cNvSpPr/>
      </xdr:nvSpPr>
      <xdr:spPr>
        <a:xfrm>
          <a:off x="2743200" y="27184349"/>
          <a:ext cx="4162425" cy="809626"/>
        </a:xfrm>
        <a:prstGeom prst="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89648</xdr:colOff>
      <xdr:row>81</xdr:row>
      <xdr:rowOff>14941</xdr:rowOff>
    </xdr:from>
    <xdr:to>
      <xdr:col>61</xdr:col>
      <xdr:colOff>59765</xdr:colOff>
      <xdr:row>82</xdr:row>
      <xdr:rowOff>14941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753BE74F-9A38-4C6D-9ACB-EE6F154C4617}"/>
            </a:ext>
          </a:extLst>
        </xdr:cNvPr>
        <xdr:cNvSpPr/>
      </xdr:nvSpPr>
      <xdr:spPr>
        <a:xfrm>
          <a:off x="7966823" y="16102666"/>
          <a:ext cx="2075142" cy="200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98239</xdr:colOff>
      <xdr:row>82</xdr:row>
      <xdr:rowOff>23906</xdr:rowOff>
    </xdr:from>
    <xdr:to>
      <xdr:col>58</xdr:col>
      <xdr:colOff>144930</xdr:colOff>
      <xdr:row>83</xdr:row>
      <xdr:rowOff>115420</xdr:rowOff>
    </xdr:to>
    <xdr:sp macro="" textlink="">
      <xdr:nvSpPr>
        <xdr:cNvPr id="34" name="角丸四角形吹き出し 34">
          <a:extLst>
            <a:ext uri="{FF2B5EF4-FFF2-40B4-BE49-F238E27FC236}">
              <a16:creationId xmlns:a16="http://schemas.microsoft.com/office/drawing/2014/main" id="{481C0220-22A9-403B-9031-C8F7A47A66EB}"/>
            </a:ext>
          </a:extLst>
        </xdr:cNvPr>
        <xdr:cNvSpPr/>
      </xdr:nvSpPr>
      <xdr:spPr>
        <a:xfrm>
          <a:off x="8785039" y="16311656"/>
          <a:ext cx="856316" cy="291539"/>
        </a:xfrm>
        <a:prstGeom prst="wedgeRoundRectCallout">
          <a:avLst>
            <a:gd name="adj1" fmla="val -20833"/>
            <a:gd name="adj2" fmla="val -82410"/>
            <a:gd name="adj3" fmla="val 1666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項目追加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40928ACA-953F-4B15-8CA0-2D338968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FF43F78D-E0E2-4C0C-8617-B9464C2F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50F99D64-36E6-40C5-B8F9-FF3C321199A5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4A08701F-9262-4BDF-8064-BA636289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530FD19D-75D9-465D-875A-72549574C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E6552CD1-BE33-42B8-A4B8-920E49E9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171F0744-90A6-462B-B2D7-FCA95A4BC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8A0DA722-5CEE-4529-80B1-F77253328C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A2905BBC-AA01-4F25-B12C-7600EDA2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854BD715-D112-4A15-9469-D8FEB8387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9DB71D76-D00B-4C11-90E0-57D003806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B5AE51E2-3901-4B5F-A4D7-8BAF61880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A22C0B59-86B6-47FF-A9F2-A2831FE4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9E1B28E4-B522-4C0E-8E3F-7128FA95D16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20741C1C-FEB1-46E6-B3AA-79B4E7B2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A25E3238-A9E3-4186-B124-B61351335490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BC92AA8A-CD3E-4594-BE5A-C162779698E2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FD6EEBBB-C803-44C9-AEE2-C2E2AB48CCD9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C6384FD5-9B64-4173-9CBA-C1466A390B96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8BE1C509-9381-456E-8B3E-7D6EB0E5CE39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6E6B0875-C71F-46B0-8D94-4FFD5737060A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8F4B0C9F-1936-4674-B987-51EEED86E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D9D4AE0C-BBB6-444D-B167-6CFCB77B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177248</xdr:colOff>
      <xdr:row>286</xdr:row>
      <xdr:rowOff>36445</xdr:rowOff>
    </xdr:from>
    <xdr:to>
      <xdr:col>7</xdr:col>
      <xdr:colOff>993</xdr:colOff>
      <xdr:row>287</xdr:row>
      <xdr:rowOff>121598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75D28932-219D-481B-9FC0-382BA249DE55}"/>
            </a:ext>
          </a:extLst>
        </xdr:cNvPr>
        <xdr:cNvSpPr/>
      </xdr:nvSpPr>
      <xdr:spPr bwMode="auto">
        <a:xfrm>
          <a:off x="501098" y="4473727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46</xdr:col>
      <xdr:colOff>53837</xdr:colOff>
      <xdr:row>286</xdr:row>
      <xdr:rowOff>33959</xdr:rowOff>
    </xdr:from>
    <xdr:to>
      <xdr:col>50</xdr:col>
      <xdr:colOff>126137</xdr:colOff>
      <xdr:row>287</xdr:row>
      <xdr:rowOff>108916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9105ADB6-A570-4CE9-B774-A92F13F7B8D0}"/>
            </a:ext>
          </a:extLst>
        </xdr:cNvPr>
        <xdr:cNvSpPr/>
      </xdr:nvSpPr>
      <xdr:spPr bwMode="auto">
        <a:xfrm>
          <a:off x="7978637" y="44734784"/>
          <a:ext cx="720000" cy="22735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7" name="図 26">
          <a:extLst>
            <a:ext uri="{FF2B5EF4-FFF2-40B4-BE49-F238E27FC236}">
              <a16:creationId xmlns:a16="http://schemas.microsoft.com/office/drawing/2014/main" id="{C2A34697-DD97-4951-BA30-0062A279D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8" name="図 27">
          <a:extLst>
            <a:ext uri="{FF2B5EF4-FFF2-40B4-BE49-F238E27FC236}">
              <a16:creationId xmlns:a16="http://schemas.microsoft.com/office/drawing/2014/main" id="{7BFCF726-B0BE-4BE4-8A35-7EFFB341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29" name="図 28">
          <a:extLst>
            <a:ext uri="{FF2B5EF4-FFF2-40B4-BE49-F238E27FC236}">
              <a16:creationId xmlns:a16="http://schemas.microsoft.com/office/drawing/2014/main" id="{F6FED6D0-9F3C-4734-8F3C-95C63E44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30" name="フローチャート: 代替処理 29">
          <a:extLst>
            <a:ext uri="{FF2B5EF4-FFF2-40B4-BE49-F238E27FC236}">
              <a16:creationId xmlns:a16="http://schemas.microsoft.com/office/drawing/2014/main" id="{437A6EE4-8F44-4A2D-9BE8-DB7DA8B77B6D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31" name="図 30">
          <a:extLst>
            <a:ext uri="{FF2B5EF4-FFF2-40B4-BE49-F238E27FC236}">
              <a16:creationId xmlns:a16="http://schemas.microsoft.com/office/drawing/2014/main" id="{BABDB428-3189-493D-A30D-CE06FC0DEE8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2" name="図 31">
          <a:extLst>
            <a:ext uri="{FF2B5EF4-FFF2-40B4-BE49-F238E27FC236}">
              <a16:creationId xmlns:a16="http://schemas.microsoft.com/office/drawing/2014/main" id="{3B985C53-4BFB-4B94-9F48-A7ED2B2AD91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3" name="図 32">
          <a:extLst>
            <a:ext uri="{FF2B5EF4-FFF2-40B4-BE49-F238E27FC236}">
              <a16:creationId xmlns:a16="http://schemas.microsoft.com/office/drawing/2014/main" id="{E2BA0232-6B99-47D3-BDC2-1365B1C7BB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4" name="図 33">
          <a:extLst>
            <a:ext uri="{FF2B5EF4-FFF2-40B4-BE49-F238E27FC236}">
              <a16:creationId xmlns:a16="http://schemas.microsoft.com/office/drawing/2014/main" id="{3C7B0BE8-9A62-4362-A47B-E0CAE7A0409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0B0ED6F3-E5CB-4F15-831D-BC9EB6932626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twoCellAnchor editAs="oneCell">
    <xdr:from>
      <xdr:col>7</xdr:col>
      <xdr:colOff>19050</xdr:colOff>
      <xdr:row>204</xdr:row>
      <xdr:rowOff>104775</xdr:rowOff>
    </xdr:from>
    <xdr:to>
      <xdr:col>66</xdr:col>
      <xdr:colOff>114300</xdr:colOff>
      <xdr:row>236</xdr:row>
      <xdr:rowOff>114300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AE043C43-91BC-44E8-AA77-CD5C89F0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31889700"/>
          <a:ext cx="10210800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0</xdr:colOff>
      <xdr:row>68</xdr:row>
      <xdr:rowOff>0</xdr:rowOff>
    </xdr:from>
    <xdr:ext cx="154736" cy="144000"/>
    <xdr:pic>
      <xdr:nvPicPr>
        <xdr:cNvPr id="37" name="図 36">
          <a:extLst>
            <a:ext uri="{FF2B5EF4-FFF2-40B4-BE49-F238E27FC236}">
              <a16:creationId xmlns:a16="http://schemas.microsoft.com/office/drawing/2014/main" id="{DB723584-4FAA-4E33-82DA-002AA91B4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429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8" name="図 37">
          <a:extLst>
            <a:ext uri="{FF2B5EF4-FFF2-40B4-BE49-F238E27FC236}">
              <a16:creationId xmlns:a16="http://schemas.microsoft.com/office/drawing/2014/main" id="{A747F082-BEBD-468C-B3B1-595D0E5A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255A216C-7911-42F1-9F8B-34CD35E00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40" name="図 39">
          <a:extLst>
            <a:ext uri="{FF2B5EF4-FFF2-40B4-BE49-F238E27FC236}">
              <a16:creationId xmlns:a16="http://schemas.microsoft.com/office/drawing/2014/main" id="{9AC463DE-0150-4052-AC31-11F1325A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41" name="図 40">
          <a:extLst>
            <a:ext uri="{FF2B5EF4-FFF2-40B4-BE49-F238E27FC236}">
              <a16:creationId xmlns:a16="http://schemas.microsoft.com/office/drawing/2014/main" id="{79CC7192-AA01-49B1-90CA-D9278CFD75C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72</xdr:row>
      <xdr:rowOff>3726</xdr:rowOff>
    </xdr:from>
    <xdr:ext cx="154736" cy="144000"/>
    <xdr:pic>
      <xdr:nvPicPr>
        <xdr:cNvPr id="42" name="図 41">
          <a:extLst>
            <a:ext uri="{FF2B5EF4-FFF2-40B4-BE49-F238E27FC236}">
              <a16:creationId xmlns:a16="http://schemas.microsoft.com/office/drawing/2014/main" id="{7E2601A7-F3C5-4CB1-9EE0-3F7744B2E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110432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73</xdr:row>
      <xdr:rowOff>3726</xdr:rowOff>
    </xdr:from>
    <xdr:ext cx="154736" cy="144000"/>
    <xdr:pic>
      <xdr:nvPicPr>
        <xdr:cNvPr id="43" name="図 42">
          <a:extLst>
            <a:ext uri="{FF2B5EF4-FFF2-40B4-BE49-F238E27FC236}">
              <a16:creationId xmlns:a16="http://schemas.microsoft.com/office/drawing/2014/main" id="{B59FCA77-EFE8-4386-B754-7C3CFB87C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111956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74</xdr:row>
      <xdr:rowOff>13251</xdr:rowOff>
    </xdr:from>
    <xdr:ext cx="154736" cy="144000"/>
    <xdr:pic>
      <xdr:nvPicPr>
        <xdr:cNvPr id="44" name="図 43">
          <a:extLst>
            <a:ext uri="{FF2B5EF4-FFF2-40B4-BE49-F238E27FC236}">
              <a16:creationId xmlns:a16="http://schemas.microsoft.com/office/drawing/2014/main" id="{FB666ADB-C4EA-461D-8F89-E616377F4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1135752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45" name="図 44">
          <a:extLst>
            <a:ext uri="{FF2B5EF4-FFF2-40B4-BE49-F238E27FC236}">
              <a16:creationId xmlns:a16="http://schemas.microsoft.com/office/drawing/2014/main" id="{BAC9CEA0-3F6F-4842-9094-ED8CB9303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73</xdr:row>
      <xdr:rowOff>0</xdr:rowOff>
    </xdr:from>
    <xdr:ext cx="154736" cy="144000"/>
    <xdr:pic>
      <xdr:nvPicPr>
        <xdr:cNvPr id="46" name="図 45">
          <a:extLst>
            <a:ext uri="{FF2B5EF4-FFF2-40B4-BE49-F238E27FC236}">
              <a16:creationId xmlns:a16="http://schemas.microsoft.com/office/drawing/2014/main" id="{F9C37489-5F1D-40CA-9B9D-08003A5FF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11191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7" name="図 46">
          <a:extLst>
            <a:ext uri="{FF2B5EF4-FFF2-40B4-BE49-F238E27FC236}">
              <a16:creationId xmlns:a16="http://schemas.microsoft.com/office/drawing/2014/main" id="{271B84E8-1335-4AC3-8D61-97A05FB497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8" name="図 47">
          <a:extLst>
            <a:ext uri="{FF2B5EF4-FFF2-40B4-BE49-F238E27FC236}">
              <a16:creationId xmlns:a16="http://schemas.microsoft.com/office/drawing/2014/main" id="{677D047A-73A9-4704-B536-C215B14E1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77</xdr:row>
      <xdr:rowOff>33753</xdr:rowOff>
    </xdr:from>
    <xdr:to>
      <xdr:col>70</xdr:col>
      <xdr:colOff>122914</xdr:colOff>
      <xdr:row>78</xdr:row>
      <xdr:rowOff>114350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16164276-455D-4190-89FE-57E963C7A7DA}"/>
            </a:ext>
          </a:extLst>
        </xdr:cNvPr>
        <xdr:cNvSpPr/>
      </xdr:nvSpPr>
      <xdr:spPr bwMode="auto">
        <a:xfrm>
          <a:off x="11375749" y="118352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77</xdr:row>
      <xdr:rowOff>33131</xdr:rowOff>
    </xdr:from>
    <xdr:to>
      <xdr:col>6</xdr:col>
      <xdr:colOff>155297</xdr:colOff>
      <xdr:row>78</xdr:row>
      <xdr:rowOff>114971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D39D58A4-3EBD-404E-9AAF-25877C7FC079}"/>
            </a:ext>
          </a:extLst>
        </xdr:cNvPr>
        <xdr:cNvSpPr/>
      </xdr:nvSpPr>
      <xdr:spPr bwMode="auto">
        <a:xfrm>
          <a:off x="448089" y="118346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77</xdr:row>
      <xdr:rowOff>51434</xdr:rowOff>
    </xdr:from>
    <xdr:to>
      <xdr:col>28</xdr:col>
      <xdr:colOff>91109</xdr:colOff>
      <xdr:row>78</xdr:row>
      <xdr:rowOff>96669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780CCD2C-1935-4B42-8B48-4D928C56CA42}"/>
            </a:ext>
          </a:extLst>
        </xdr:cNvPr>
        <xdr:cNvSpPr/>
      </xdr:nvSpPr>
      <xdr:spPr bwMode="auto">
        <a:xfrm>
          <a:off x="4142833" y="118529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77</xdr:row>
      <xdr:rowOff>51434</xdr:rowOff>
    </xdr:from>
    <xdr:to>
      <xdr:col>24</xdr:col>
      <xdr:colOff>132522</xdr:colOff>
      <xdr:row>78</xdr:row>
      <xdr:rowOff>96669</xdr:rowOff>
    </xdr:to>
    <xdr:sp macro="" textlink="">
      <xdr:nvSpPr>
        <xdr:cNvPr id="52" name="フローチャート: 代替処理 51">
          <a:extLst>
            <a:ext uri="{FF2B5EF4-FFF2-40B4-BE49-F238E27FC236}">
              <a16:creationId xmlns:a16="http://schemas.microsoft.com/office/drawing/2014/main" id="{D04AED8F-9E33-4CD4-8358-C5B8F1416DF8}"/>
            </a:ext>
          </a:extLst>
        </xdr:cNvPr>
        <xdr:cNvSpPr/>
      </xdr:nvSpPr>
      <xdr:spPr bwMode="auto">
        <a:xfrm>
          <a:off x="3488922" y="118529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77</xdr:row>
      <xdr:rowOff>31475</xdr:rowOff>
    </xdr:from>
    <xdr:to>
      <xdr:col>32</xdr:col>
      <xdr:colOff>41414</xdr:colOff>
      <xdr:row>78</xdr:row>
      <xdr:rowOff>116628</xdr:rowOff>
    </xdr:to>
    <xdr:sp macro="" textlink="">
      <xdr:nvSpPr>
        <xdr:cNvPr id="53" name="フローチャート: 代替処理 52">
          <a:extLst>
            <a:ext uri="{FF2B5EF4-FFF2-40B4-BE49-F238E27FC236}">
              <a16:creationId xmlns:a16="http://schemas.microsoft.com/office/drawing/2014/main" id="{69BC319C-0BED-46E2-B899-3AA0FF544FBF}"/>
            </a:ext>
          </a:extLst>
        </xdr:cNvPr>
        <xdr:cNvSpPr/>
      </xdr:nvSpPr>
      <xdr:spPr bwMode="auto">
        <a:xfrm>
          <a:off x="5029036" y="118329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77</xdr:row>
      <xdr:rowOff>31475</xdr:rowOff>
    </xdr:from>
    <xdr:to>
      <xdr:col>34</xdr:col>
      <xdr:colOff>61293</xdr:colOff>
      <xdr:row>78</xdr:row>
      <xdr:rowOff>116628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1DF00B99-3342-48DA-8B9B-43F39B361556}"/>
            </a:ext>
          </a:extLst>
        </xdr:cNvPr>
        <xdr:cNvSpPr/>
      </xdr:nvSpPr>
      <xdr:spPr bwMode="auto">
        <a:xfrm>
          <a:off x="5372765" y="118329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55" name="図 54">
          <a:extLst>
            <a:ext uri="{FF2B5EF4-FFF2-40B4-BE49-F238E27FC236}">
              <a16:creationId xmlns:a16="http://schemas.microsoft.com/office/drawing/2014/main" id="{785F218F-2C78-403F-BF0D-EE0745B3A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56" name="図 55">
          <a:extLst>
            <a:ext uri="{FF2B5EF4-FFF2-40B4-BE49-F238E27FC236}">
              <a16:creationId xmlns:a16="http://schemas.microsoft.com/office/drawing/2014/main" id="{1E9D4C47-3780-4207-AD35-C7127E15F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7" name="図 56">
          <a:extLst>
            <a:ext uri="{FF2B5EF4-FFF2-40B4-BE49-F238E27FC236}">
              <a16:creationId xmlns:a16="http://schemas.microsoft.com/office/drawing/2014/main" id="{F44262AC-05A6-47EF-A95F-E0D85E645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8" name="図 57">
          <a:extLst>
            <a:ext uri="{FF2B5EF4-FFF2-40B4-BE49-F238E27FC236}">
              <a16:creationId xmlns:a16="http://schemas.microsoft.com/office/drawing/2014/main" id="{D80F5978-B85A-4DA5-8125-1AF79102F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FEE15600-FD56-4844-821D-2D6B3C3D3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77</xdr:row>
      <xdr:rowOff>60959</xdr:rowOff>
    </xdr:from>
    <xdr:to>
      <xdr:col>20</xdr:col>
      <xdr:colOff>142047</xdr:colOff>
      <xdr:row>78</xdr:row>
      <xdr:rowOff>106194</xdr:rowOff>
    </xdr:to>
    <xdr:sp macro="" textlink="">
      <xdr:nvSpPr>
        <xdr:cNvPr id="60" name="フローチャート: 代替処理 59">
          <a:extLst>
            <a:ext uri="{FF2B5EF4-FFF2-40B4-BE49-F238E27FC236}">
              <a16:creationId xmlns:a16="http://schemas.microsoft.com/office/drawing/2014/main" id="{1403AE4F-1FBC-4164-9FF5-741458BE61B3}"/>
            </a:ext>
          </a:extLst>
        </xdr:cNvPr>
        <xdr:cNvSpPr/>
      </xdr:nvSpPr>
      <xdr:spPr bwMode="auto">
        <a:xfrm>
          <a:off x="2850747" y="118624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72</xdr:row>
      <xdr:rowOff>16094</xdr:rowOff>
    </xdr:from>
    <xdr:ext cx="144000" cy="144000"/>
    <xdr:pic>
      <xdr:nvPicPr>
        <xdr:cNvPr id="61" name="図 60">
          <a:extLst>
            <a:ext uri="{FF2B5EF4-FFF2-40B4-BE49-F238E27FC236}">
              <a16:creationId xmlns:a16="http://schemas.microsoft.com/office/drawing/2014/main" id="{F6B6C49C-AC66-467D-8153-449DF97DF78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1105556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72</xdr:row>
      <xdr:rowOff>6569</xdr:rowOff>
    </xdr:from>
    <xdr:ext cx="144000" cy="144000"/>
    <xdr:pic>
      <xdr:nvPicPr>
        <xdr:cNvPr id="62" name="図 61">
          <a:extLst>
            <a:ext uri="{FF2B5EF4-FFF2-40B4-BE49-F238E27FC236}">
              <a16:creationId xmlns:a16="http://schemas.microsoft.com/office/drawing/2014/main" id="{C673BAF6-9ED6-4223-98EC-898C4F5EE5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1104604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73</xdr:row>
      <xdr:rowOff>6569</xdr:rowOff>
    </xdr:from>
    <xdr:ext cx="144000" cy="144000"/>
    <xdr:pic>
      <xdr:nvPicPr>
        <xdr:cNvPr id="63" name="図 62">
          <a:extLst>
            <a:ext uri="{FF2B5EF4-FFF2-40B4-BE49-F238E27FC236}">
              <a16:creationId xmlns:a16="http://schemas.microsoft.com/office/drawing/2014/main" id="{BF56042F-9597-451B-A5E5-7E7DEC8425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1119844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74</xdr:row>
      <xdr:rowOff>6569</xdr:rowOff>
    </xdr:from>
    <xdr:ext cx="144000" cy="144000"/>
    <xdr:pic>
      <xdr:nvPicPr>
        <xdr:cNvPr id="64" name="図 63">
          <a:extLst>
            <a:ext uri="{FF2B5EF4-FFF2-40B4-BE49-F238E27FC236}">
              <a16:creationId xmlns:a16="http://schemas.microsoft.com/office/drawing/2014/main" id="{114F75D9-307D-495B-A38F-8BCF3B57400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1135084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77</xdr:row>
      <xdr:rowOff>41373</xdr:rowOff>
    </xdr:from>
    <xdr:to>
      <xdr:col>65</xdr:col>
      <xdr:colOff>115294</xdr:colOff>
      <xdr:row>78</xdr:row>
      <xdr:rowOff>121970</xdr:rowOff>
    </xdr:to>
    <xdr:sp macro="" textlink="">
      <xdr:nvSpPr>
        <xdr:cNvPr id="65" name="フローチャート: 代替処理 64">
          <a:extLst>
            <a:ext uri="{FF2B5EF4-FFF2-40B4-BE49-F238E27FC236}">
              <a16:creationId xmlns:a16="http://schemas.microsoft.com/office/drawing/2014/main" id="{6DD8C46B-7730-48EB-B4BB-733793D95C58}"/>
            </a:ext>
          </a:extLst>
        </xdr:cNvPr>
        <xdr:cNvSpPr/>
      </xdr:nvSpPr>
      <xdr:spPr bwMode="auto">
        <a:xfrm>
          <a:off x="10524214" y="118428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66" name="図 65">
          <a:extLst>
            <a:ext uri="{FF2B5EF4-FFF2-40B4-BE49-F238E27FC236}">
              <a16:creationId xmlns:a16="http://schemas.microsoft.com/office/drawing/2014/main" id="{0942021A-6221-4DAB-845C-0EA398C1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67" name="図 66">
          <a:extLst>
            <a:ext uri="{FF2B5EF4-FFF2-40B4-BE49-F238E27FC236}">
              <a16:creationId xmlns:a16="http://schemas.microsoft.com/office/drawing/2014/main" id="{40CAB9E3-53C1-4C72-95EB-5A492DDF54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127</xdr:row>
      <xdr:rowOff>24434</xdr:rowOff>
    </xdr:from>
    <xdr:to>
      <xdr:col>7</xdr:col>
      <xdr:colOff>65432</xdr:colOff>
      <xdr:row>128</xdr:row>
      <xdr:rowOff>106274</xdr:rowOff>
    </xdr:to>
    <xdr:sp macro="" textlink="">
      <xdr:nvSpPr>
        <xdr:cNvPr id="68" name="フローチャート: 代替処理 67">
          <a:extLst>
            <a:ext uri="{FF2B5EF4-FFF2-40B4-BE49-F238E27FC236}">
              <a16:creationId xmlns:a16="http://schemas.microsoft.com/office/drawing/2014/main" id="{43483393-34EF-4086-8E96-E744357C902A}"/>
            </a:ext>
          </a:extLst>
        </xdr:cNvPr>
        <xdr:cNvSpPr/>
      </xdr:nvSpPr>
      <xdr:spPr bwMode="auto">
        <a:xfrm>
          <a:off x="522633" y="196554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127</xdr:row>
      <xdr:rowOff>24434</xdr:rowOff>
    </xdr:from>
    <xdr:to>
      <xdr:col>61</xdr:col>
      <xdr:colOff>151157</xdr:colOff>
      <xdr:row>128</xdr:row>
      <xdr:rowOff>106274</xdr:rowOff>
    </xdr:to>
    <xdr:sp macro="" textlink="">
      <xdr:nvSpPr>
        <xdr:cNvPr id="69" name="フローチャート: 代替処理 68">
          <a:extLst>
            <a:ext uri="{FF2B5EF4-FFF2-40B4-BE49-F238E27FC236}">
              <a16:creationId xmlns:a16="http://schemas.microsoft.com/office/drawing/2014/main" id="{FE356259-AC73-4B6B-A1AC-7CE7A62D5178}"/>
            </a:ext>
          </a:extLst>
        </xdr:cNvPr>
        <xdr:cNvSpPr/>
      </xdr:nvSpPr>
      <xdr:spPr bwMode="auto">
        <a:xfrm>
          <a:off x="9809508" y="196554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102</xdr:row>
      <xdr:rowOff>9525</xdr:rowOff>
    </xdr:from>
    <xdr:ext cx="121422" cy="146538"/>
    <xdr:pic>
      <xdr:nvPicPr>
        <xdr:cNvPr id="70" name="図 69">
          <a:extLst>
            <a:ext uri="{FF2B5EF4-FFF2-40B4-BE49-F238E27FC236}">
              <a16:creationId xmlns:a16="http://schemas.microsoft.com/office/drawing/2014/main" id="{2CF6B1CB-FF86-4334-9BBB-52AA5078D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5830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106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5017A5EB-9482-44A0-AB5C-AD0DB5444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107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1C5EFC8C-9B4E-437A-B0CF-65C8556E2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106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0F82EC65-878A-4667-B455-B6238FC6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107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31EB6D9D-5438-410E-889E-57F652DB3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106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EDBCDFAB-39AF-4E2B-9655-738354DD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107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4C95FB79-84B3-417F-B60A-FED765CEB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107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14BB5686-7DF5-4F95-8E0C-6693E6829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108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79C846C8-188B-4BBF-82D2-D0A731ADC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107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795E7810-F6FE-460B-ACD8-6AEDF6F25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108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39266BD4-A3C8-48F8-9963-5F6BDCE9A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107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85D2A223-41E9-4D6F-9EC7-457154B45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108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31339F85-ADFE-4ADD-849C-0259640CB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106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6F4FE5B5-F1FD-434D-AFBB-A86C421B8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107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38D0828D-E277-4E9A-9AC5-AD74354FD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106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7B1B6D60-2146-4AAA-BB96-AF940D4C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107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FA2C7946-14E5-47B1-B67D-9FA4C673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106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E3DE7533-1B28-4DA0-8C37-24D1346E2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107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5A06225E-B6C1-4652-8B69-97EB279C0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107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C01DD03C-4161-40DF-9115-725A022D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108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8560AD9B-35CC-42C6-8E98-CE5C98C2B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107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04120D1F-E42E-4E85-AED2-B05EBFF0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766ED353-F47D-43C5-860F-062C11D4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107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610032A4-0805-49B7-B263-DD90674A2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108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0AB837BE-631B-41C6-A6EC-63103A57A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106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FCA9ADB8-F340-44DC-A73D-9578DBFA6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107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385B9E4F-6C62-4C93-B866-5C3808C18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107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29E14EB0-B398-477F-98EB-578814F8C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108</xdr:row>
      <xdr:rowOff>7327</xdr:rowOff>
    </xdr:from>
    <xdr:ext cx="154736" cy="144000"/>
    <xdr:pic>
      <xdr:nvPicPr>
        <xdr:cNvPr id="98" name="図 97">
          <a:extLst>
            <a:ext uri="{FF2B5EF4-FFF2-40B4-BE49-F238E27FC236}">
              <a16:creationId xmlns:a16="http://schemas.microsoft.com/office/drawing/2014/main" id="{184EB160-539F-4521-9F7F-44DA778D4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106</xdr:row>
      <xdr:rowOff>7327</xdr:rowOff>
    </xdr:from>
    <xdr:ext cx="154736" cy="144000"/>
    <xdr:pic>
      <xdr:nvPicPr>
        <xdr:cNvPr id="99" name="図 98">
          <a:extLst>
            <a:ext uri="{FF2B5EF4-FFF2-40B4-BE49-F238E27FC236}">
              <a16:creationId xmlns:a16="http://schemas.microsoft.com/office/drawing/2014/main" id="{59B74DCE-E447-48F2-8EDC-76743DA44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107</xdr:row>
      <xdr:rowOff>7327</xdr:rowOff>
    </xdr:from>
    <xdr:ext cx="154736" cy="144000"/>
    <xdr:pic>
      <xdr:nvPicPr>
        <xdr:cNvPr id="100" name="図 99">
          <a:extLst>
            <a:ext uri="{FF2B5EF4-FFF2-40B4-BE49-F238E27FC236}">
              <a16:creationId xmlns:a16="http://schemas.microsoft.com/office/drawing/2014/main" id="{47238DB3-1120-411F-B122-8C91D0ECF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107</xdr:row>
      <xdr:rowOff>7327</xdr:rowOff>
    </xdr:from>
    <xdr:ext cx="154736" cy="144000"/>
    <xdr:pic>
      <xdr:nvPicPr>
        <xdr:cNvPr id="101" name="図 100">
          <a:extLst>
            <a:ext uri="{FF2B5EF4-FFF2-40B4-BE49-F238E27FC236}">
              <a16:creationId xmlns:a16="http://schemas.microsoft.com/office/drawing/2014/main" id="{20DE6A22-C63C-44E3-B32B-CE7E2B653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108</xdr:row>
      <xdr:rowOff>7327</xdr:rowOff>
    </xdr:from>
    <xdr:ext cx="154736" cy="144000"/>
    <xdr:pic>
      <xdr:nvPicPr>
        <xdr:cNvPr id="102" name="図 101">
          <a:extLst>
            <a:ext uri="{FF2B5EF4-FFF2-40B4-BE49-F238E27FC236}">
              <a16:creationId xmlns:a16="http://schemas.microsoft.com/office/drawing/2014/main" id="{DA1DF738-2FDE-4A6F-BF4A-D6890840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106</xdr:row>
      <xdr:rowOff>7327</xdr:rowOff>
    </xdr:from>
    <xdr:ext cx="154736" cy="144000"/>
    <xdr:pic>
      <xdr:nvPicPr>
        <xdr:cNvPr id="103" name="図 102">
          <a:extLst>
            <a:ext uri="{FF2B5EF4-FFF2-40B4-BE49-F238E27FC236}">
              <a16:creationId xmlns:a16="http://schemas.microsoft.com/office/drawing/2014/main" id="{6572F0E3-60A6-4F01-AD63-4B5D3016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437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107</xdr:row>
      <xdr:rowOff>7327</xdr:rowOff>
    </xdr:from>
    <xdr:ext cx="154736" cy="144000"/>
    <xdr:pic>
      <xdr:nvPicPr>
        <xdr:cNvPr id="104" name="図 103">
          <a:extLst>
            <a:ext uri="{FF2B5EF4-FFF2-40B4-BE49-F238E27FC236}">
              <a16:creationId xmlns:a16="http://schemas.microsoft.com/office/drawing/2014/main" id="{E886D6DC-D303-45DE-8DD9-A9347861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107</xdr:row>
      <xdr:rowOff>7327</xdr:rowOff>
    </xdr:from>
    <xdr:ext cx="154736" cy="144000"/>
    <xdr:pic>
      <xdr:nvPicPr>
        <xdr:cNvPr id="105" name="図 104">
          <a:extLst>
            <a:ext uri="{FF2B5EF4-FFF2-40B4-BE49-F238E27FC236}">
              <a16:creationId xmlns:a16="http://schemas.microsoft.com/office/drawing/2014/main" id="{8A7E6B76-99DD-4575-92AB-7F60EAE6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590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108</xdr:row>
      <xdr:rowOff>7327</xdr:rowOff>
    </xdr:from>
    <xdr:ext cx="154736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9EED4550-13DB-4310-AC3C-FB38CC4B2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6742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100</xdr:row>
      <xdr:rowOff>7327</xdr:rowOff>
    </xdr:from>
    <xdr:ext cx="154736" cy="144000"/>
    <xdr:pic>
      <xdr:nvPicPr>
        <xdr:cNvPr id="107" name="図 106">
          <a:extLst>
            <a:ext uri="{FF2B5EF4-FFF2-40B4-BE49-F238E27FC236}">
              <a16:creationId xmlns:a16="http://schemas.microsoft.com/office/drawing/2014/main" id="{8AF88790-BC7A-4D37-9371-297F6495D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100</xdr:row>
      <xdr:rowOff>7327</xdr:rowOff>
    </xdr:from>
    <xdr:ext cx="154736" cy="144000"/>
    <xdr:pic>
      <xdr:nvPicPr>
        <xdr:cNvPr id="108" name="図 107">
          <a:extLst>
            <a:ext uri="{FF2B5EF4-FFF2-40B4-BE49-F238E27FC236}">
              <a16:creationId xmlns:a16="http://schemas.microsoft.com/office/drawing/2014/main" id="{BE1E4C51-B491-4BCB-B988-95EED5D00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115</xdr:row>
      <xdr:rowOff>23648</xdr:rowOff>
    </xdr:from>
    <xdr:ext cx="121422" cy="146538"/>
    <xdr:pic>
      <xdr:nvPicPr>
        <xdr:cNvPr id="109" name="図 108">
          <a:extLst>
            <a:ext uri="{FF2B5EF4-FFF2-40B4-BE49-F238E27FC236}">
              <a16:creationId xmlns:a16="http://schemas.microsoft.com/office/drawing/2014/main" id="{8B24827E-B66F-4591-9EF2-2271198B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78258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89</xdr:row>
      <xdr:rowOff>91109</xdr:rowOff>
    </xdr:from>
    <xdr:to>
      <xdr:col>52</xdr:col>
      <xdr:colOff>49696</xdr:colOff>
      <xdr:row>103</xdr:row>
      <xdr:rowOff>57978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BAB3897F-7EE8-4735-9FAE-A2AF8AFFD1F1}"/>
            </a:ext>
          </a:extLst>
        </xdr:cNvPr>
        <xdr:cNvSpPr/>
      </xdr:nvSpPr>
      <xdr:spPr bwMode="auto">
        <a:xfrm>
          <a:off x="419100" y="139309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115</xdr:row>
      <xdr:rowOff>14123</xdr:rowOff>
    </xdr:from>
    <xdr:ext cx="121422" cy="146538"/>
    <xdr:pic>
      <xdr:nvPicPr>
        <xdr:cNvPr id="111" name="図 110">
          <a:extLst>
            <a:ext uri="{FF2B5EF4-FFF2-40B4-BE49-F238E27FC236}">
              <a16:creationId xmlns:a16="http://schemas.microsoft.com/office/drawing/2014/main" id="{7B47E198-8E74-4E2F-A535-47DE835A3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7816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127</xdr:row>
      <xdr:rowOff>24434</xdr:rowOff>
    </xdr:from>
    <xdr:to>
      <xdr:col>56</xdr:col>
      <xdr:colOff>13997</xdr:colOff>
      <xdr:row>128</xdr:row>
      <xdr:rowOff>106274</xdr:rowOff>
    </xdr:to>
    <xdr:sp macro="" textlink="">
      <xdr:nvSpPr>
        <xdr:cNvPr id="112" name="フローチャート: 代替処理 111">
          <a:extLst>
            <a:ext uri="{FF2B5EF4-FFF2-40B4-BE49-F238E27FC236}">
              <a16:creationId xmlns:a16="http://schemas.microsoft.com/office/drawing/2014/main" id="{C6CD01A2-114B-401F-9019-773D3653B7CE}"/>
            </a:ext>
          </a:extLst>
        </xdr:cNvPr>
        <xdr:cNvSpPr/>
      </xdr:nvSpPr>
      <xdr:spPr bwMode="auto">
        <a:xfrm>
          <a:off x="8853198" y="196554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90</xdr:row>
      <xdr:rowOff>9525</xdr:rowOff>
    </xdr:from>
    <xdr:ext cx="121422" cy="146538"/>
    <xdr:pic>
      <xdr:nvPicPr>
        <xdr:cNvPr id="113" name="図 112">
          <a:extLst>
            <a:ext uri="{FF2B5EF4-FFF2-40B4-BE49-F238E27FC236}">
              <a16:creationId xmlns:a16="http://schemas.microsoft.com/office/drawing/2014/main" id="{467A1ACF-536F-4F71-85B9-B861D4061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40017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117</xdr:row>
      <xdr:rowOff>147473</xdr:rowOff>
    </xdr:from>
    <xdr:ext cx="121422" cy="146538"/>
    <xdr:pic>
      <xdr:nvPicPr>
        <xdr:cNvPr id="114" name="図 113">
          <a:extLst>
            <a:ext uri="{FF2B5EF4-FFF2-40B4-BE49-F238E27FC236}">
              <a16:creationId xmlns:a16="http://schemas.microsoft.com/office/drawing/2014/main" id="{4088C633-6B48-4BF5-97D5-9C027847A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82544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115</xdr:row>
      <xdr:rowOff>23648</xdr:rowOff>
    </xdr:from>
    <xdr:ext cx="121422" cy="146538"/>
    <xdr:pic>
      <xdr:nvPicPr>
        <xdr:cNvPr id="115" name="図 114">
          <a:extLst>
            <a:ext uri="{FF2B5EF4-FFF2-40B4-BE49-F238E27FC236}">
              <a16:creationId xmlns:a16="http://schemas.microsoft.com/office/drawing/2014/main" id="{9E24294D-8545-46C7-B4E0-A766B1C8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78258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118</xdr:row>
      <xdr:rowOff>0</xdr:rowOff>
    </xdr:from>
    <xdr:ext cx="154736" cy="144000"/>
    <xdr:pic>
      <xdr:nvPicPr>
        <xdr:cNvPr id="116" name="図 115">
          <a:extLst>
            <a:ext uri="{FF2B5EF4-FFF2-40B4-BE49-F238E27FC236}">
              <a16:creationId xmlns:a16="http://schemas.microsoft.com/office/drawing/2014/main" id="{F4E35861-84E8-4382-B514-7D0DBBF66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82594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90</xdr:row>
      <xdr:rowOff>25619</xdr:rowOff>
    </xdr:from>
    <xdr:ext cx="144000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29C70FDF-B061-4F49-9F45-155AE6E67C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40178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94</xdr:row>
      <xdr:rowOff>6569</xdr:rowOff>
    </xdr:from>
    <xdr:ext cx="144000" cy="144000"/>
    <xdr:pic>
      <xdr:nvPicPr>
        <xdr:cNvPr id="118" name="図 117">
          <a:extLst>
            <a:ext uri="{FF2B5EF4-FFF2-40B4-BE49-F238E27FC236}">
              <a16:creationId xmlns:a16="http://schemas.microsoft.com/office/drawing/2014/main" id="{D973B3E3-61A8-47EC-B46F-C19C3F5ED06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4608394"/>
          <a:ext cx="144000" cy="144000"/>
        </a:xfrm>
        <a:prstGeom prst="rect">
          <a:avLst/>
        </a:prstGeom>
      </xdr:spPr>
    </xdr:pic>
    <xdr:clientData/>
  </xdr:oneCellAnchor>
  <xdr:twoCellAnchor>
    <xdr:from>
      <xdr:col>2</xdr:col>
      <xdr:colOff>177248</xdr:colOff>
      <xdr:row>192</xdr:row>
      <xdr:rowOff>36445</xdr:rowOff>
    </xdr:from>
    <xdr:to>
      <xdr:col>7</xdr:col>
      <xdr:colOff>993</xdr:colOff>
      <xdr:row>193</xdr:row>
      <xdr:rowOff>121598</xdr:rowOff>
    </xdr:to>
    <xdr:sp macro="" textlink="">
      <xdr:nvSpPr>
        <xdr:cNvPr id="119" name="フローチャート: 代替処理 118">
          <a:extLst>
            <a:ext uri="{FF2B5EF4-FFF2-40B4-BE49-F238E27FC236}">
              <a16:creationId xmlns:a16="http://schemas.microsoft.com/office/drawing/2014/main" id="{76DAFB8F-BAD0-406A-85B9-67B53AA0AAB5}"/>
            </a:ext>
          </a:extLst>
        </xdr:cNvPr>
        <xdr:cNvSpPr/>
      </xdr:nvSpPr>
      <xdr:spPr bwMode="auto">
        <a:xfrm>
          <a:off x="501098" y="2978302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22</xdr:col>
      <xdr:colOff>76200</xdr:colOff>
      <xdr:row>192</xdr:row>
      <xdr:rowOff>40752</xdr:rowOff>
    </xdr:from>
    <xdr:to>
      <xdr:col>27</xdr:col>
      <xdr:colOff>66508</xdr:colOff>
      <xdr:row>193</xdr:row>
      <xdr:rowOff>125905</xdr:rowOff>
    </xdr:to>
    <xdr:sp macro="" textlink="">
      <xdr:nvSpPr>
        <xdr:cNvPr id="120" name="フローチャート: 代替処理 119">
          <a:extLst>
            <a:ext uri="{FF2B5EF4-FFF2-40B4-BE49-F238E27FC236}">
              <a16:creationId xmlns:a16="http://schemas.microsoft.com/office/drawing/2014/main" id="{C35B25E1-7993-4FA8-998F-E9942ACED7BA}"/>
            </a:ext>
          </a:extLst>
        </xdr:cNvPr>
        <xdr:cNvSpPr/>
      </xdr:nvSpPr>
      <xdr:spPr bwMode="auto">
        <a:xfrm>
          <a:off x="3657600" y="29787327"/>
          <a:ext cx="89518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詳細入力</a:t>
          </a:r>
        </a:p>
      </xdr:txBody>
    </xdr:sp>
    <xdr:clientData/>
  </xdr:twoCellAnchor>
  <xdr:twoCellAnchor>
    <xdr:from>
      <xdr:col>71</xdr:col>
      <xdr:colOff>55908</xdr:colOff>
      <xdr:row>192</xdr:row>
      <xdr:rowOff>14909</xdr:rowOff>
    </xdr:from>
    <xdr:to>
      <xdr:col>77</xdr:col>
      <xdr:colOff>65432</xdr:colOff>
      <xdr:row>193</xdr:row>
      <xdr:rowOff>96749</xdr:rowOff>
    </xdr:to>
    <xdr:sp macro="" textlink="">
      <xdr:nvSpPr>
        <xdr:cNvPr id="121" name="フローチャート: 代替処理 120">
          <a:extLst>
            <a:ext uri="{FF2B5EF4-FFF2-40B4-BE49-F238E27FC236}">
              <a16:creationId xmlns:a16="http://schemas.microsoft.com/office/drawing/2014/main" id="{154BC80F-CE4D-4841-812D-39F93E1628D9}"/>
            </a:ext>
          </a:extLst>
        </xdr:cNvPr>
        <xdr:cNvSpPr/>
      </xdr:nvSpPr>
      <xdr:spPr bwMode="auto">
        <a:xfrm>
          <a:off x="12181233" y="29761484"/>
          <a:ext cx="10382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66</xdr:col>
      <xdr:colOff>66675</xdr:colOff>
      <xdr:row>112</xdr:row>
      <xdr:rowOff>85725</xdr:rowOff>
    </xdr:from>
    <xdr:to>
      <xdr:col>76</xdr:col>
      <xdr:colOff>142875</xdr:colOff>
      <xdr:row>118</xdr:row>
      <xdr:rowOff>0</xdr:rowOff>
    </xdr:to>
    <xdr:sp macro="" textlink="">
      <xdr:nvSpPr>
        <xdr:cNvPr id="122" name="吹き出し: 四角形 121">
          <a:extLst>
            <a:ext uri="{FF2B5EF4-FFF2-40B4-BE49-F238E27FC236}">
              <a16:creationId xmlns:a16="http://schemas.microsoft.com/office/drawing/2014/main" id="{01723D51-D4C5-4E1D-836E-F232D9BFE39F}"/>
            </a:ext>
          </a:extLst>
        </xdr:cNvPr>
        <xdr:cNvSpPr/>
      </xdr:nvSpPr>
      <xdr:spPr>
        <a:xfrm>
          <a:off x="11334750" y="17430750"/>
          <a:ext cx="1790700" cy="828675"/>
        </a:xfrm>
        <a:prstGeom prst="wedgeRectCallout">
          <a:avLst>
            <a:gd name="adj1" fmla="val -252216"/>
            <a:gd name="adj2" fmla="val 4850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受注区分：加工製品の場合は未入力</a:t>
          </a:r>
        </a:p>
      </xdr:txBody>
    </xdr:sp>
    <xdr:clientData/>
  </xdr:twoCellAnchor>
  <xdr:twoCellAnchor editAs="oneCell">
    <xdr:from>
      <xdr:col>7</xdr:col>
      <xdr:colOff>76200</xdr:colOff>
      <xdr:row>233</xdr:row>
      <xdr:rowOff>19050</xdr:rowOff>
    </xdr:from>
    <xdr:to>
      <xdr:col>18</xdr:col>
      <xdr:colOff>66675</xdr:colOff>
      <xdr:row>235</xdr:row>
      <xdr:rowOff>142875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A1EC8002-072E-40F1-B9D4-5DE47DF1C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36223575"/>
          <a:ext cx="177165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32</xdr:col>
      <xdr:colOff>64377</xdr:colOff>
      <xdr:row>118</xdr:row>
      <xdr:rowOff>0</xdr:rowOff>
    </xdr:from>
    <xdr:ext cx="121422" cy="146538"/>
    <xdr:pic>
      <xdr:nvPicPr>
        <xdr:cNvPr id="124" name="図 123">
          <a:extLst>
            <a:ext uri="{FF2B5EF4-FFF2-40B4-BE49-F238E27FC236}">
              <a16:creationId xmlns:a16="http://schemas.microsoft.com/office/drawing/2014/main" id="{C419FF5B-E0A3-433E-829E-0F2343D9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82594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118</xdr:row>
      <xdr:rowOff>0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48F66B44-3F2F-4ACD-BE5D-60835FED6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82594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118</xdr:row>
      <xdr:rowOff>0</xdr:rowOff>
    </xdr:from>
    <xdr:ext cx="121422" cy="146538"/>
    <xdr:pic>
      <xdr:nvPicPr>
        <xdr:cNvPr id="126" name="図 125">
          <a:extLst>
            <a:ext uri="{FF2B5EF4-FFF2-40B4-BE49-F238E27FC236}">
              <a16:creationId xmlns:a16="http://schemas.microsoft.com/office/drawing/2014/main" id="{21A0234D-F87E-4007-BF58-AE53BFBE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82594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118</xdr:row>
      <xdr:rowOff>3726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AB506A96-4D74-48AE-A31F-81E177B4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8263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118</xdr:row>
      <xdr:rowOff>0</xdr:rowOff>
    </xdr:from>
    <xdr:ext cx="121422" cy="146538"/>
    <xdr:pic>
      <xdr:nvPicPr>
        <xdr:cNvPr id="128" name="図 127">
          <a:extLst>
            <a:ext uri="{FF2B5EF4-FFF2-40B4-BE49-F238E27FC236}">
              <a16:creationId xmlns:a16="http://schemas.microsoft.com/office/drawing/2014/main" id="{CF269180-4156-4359-97C5-F97EA6C4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82594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118</xdr:row>
      <xdr:rowOff>3726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0E5248FC-A991-4181-8165-E62134250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8263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118</xdr:row>
      <xdr:rowOff>0</xdr:rowOff>
    </xdr:from>
    <xdr:ext cx="121422" cy="146538"/>
    <xdr:pic>
      <xdr:nvPicPr>
        <xdr:cNvPr id="130" name="図 129">
          <a:extLst>
            <a:ext uri="{FF2B5EF4-FFF2-40B4-BE49-F238E27FC236}">
              <a16:creationId xmlns:a16="http://schemas.microsoft.com/office/drawing/2014/main" id="{47B4C779-34B3-4795-A916-69369C759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82594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118</xdr:row>
      <xdr:rowOff>3726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7341BED9-9EBB-4BFD-BC1F-B431A84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8263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118</xdr:row>
      <xdr:rowOff>14123</xdr:rowOff>
    </xdr:from>
    <xdr:ext cx="121422" cy="146538"/>
    <xdr:pic>
      <xdr:nvPicPr>
        <xdr:cNvPr id="132" name="図 131">
          <a:extLst>
            <a:ext uri="{FF2B5EF4-FFF2-40B4-BE49-F238E27FC236}">
              <a16:creationId xmlns:a16="http://schemas.microsoft.com/office/drawing/2014/main" id="{7E635070-621C-4067-98AA-2544427E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82735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EBD0280D-15A0-4DA8-800A-9AD20E39C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529727EC-842F-4F2E-95B4-C1A033A6B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5136FBAD-32E2-482D-8575-31E1F197A8CE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4B79C471-B149-4C59-830E-046DBEBF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F4F634C5-B598-4D05-88C5-DE00B87FF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2C7D274F-2185-40CB-B3F4-EE50D2B56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A2FADF3D-5A61-4EF5-B700-8E6A62497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6EDE5BC6-DB95-41D0-A16C-3CD73815CFD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54C57F3A-E2AE-49CE-8186-B12DF7A4D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C9D4C960-1283-434E-AC16-C91E34957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11827128-138B-45CB-BDE7-D1F67753C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46513125-4820-4F31-9BFC-95B1CD902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231B7026-9DAB-4792-8B84-E9F93CC8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4D078C4F-1BBE-4805-AF29-5786F73604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B4C1B8DD-6901-41CF-9524-AAA42E9A1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700CAB56-D53F-455D-84DF-74FFC701ED61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03F5EBAD-958C-4242-8324-DB844514BE4F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A0581385-1295-43DF-9A41-54217D779E67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D232BCEA-CDC2-4AFF-A63F-27A348A776D4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887F023E-5711-4894-A3D5-599A2B676A5B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3A1F7B55-AB8B-4E9E-80DF-C93BB295ABC2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C4D81535-ED58-4BC4-8198-EC757E65F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867D9B6C-10D7-4B3C-8150-3B09FEDB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41414</xdr:colOff>
      <xdr:row>308</xdr:row>
      <xdr:rowOff>33132</xdr:rowOff>
    </xdr:from>
    <xdr:to>
      <xdr:col>18</xdr:col>
      <xdr:colOff>72224</xdr:colOff>
      <xdr:row>309</xdr:row>
      <xdr:rowOff>118285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71EB5A15-4618-47BB-BF53-9D02353E4E83}"/>
            </a:ext>
          </a:extLst>
        </xdr:cNvPr>
        <xdr:cNvSpPr/>
      </xdr:nvSpPr>
      <xdr:spPr bwMode="auto">
        <a:xfrm>
          <a:off x="2327414" y="48296307"/>
          <a:ext cx="67851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18</xdr:col>
      <xdr:colOff>163665</xdr:colOff>
      <xdr:row>308</xdr:row>
      <xdr:rowOff>33132</xdr:rowOff>
    </xdr:from>
    <xdr:to>
      <xdr:col>23</xdr:col>
      <xdr:colOff>21203</xdr:colOff>
      <xdr:row>309</xdr:row>
      <xdr:rowOff>118285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3A6BC9E4-B9E9-4A9D-B2C2-60C3CEC10533}"/>
            </a:ext>
          </a:extLst>
        </xdr:cNvPr>
        <xdr:cNvSpPr/>
      </xdr:nvSpPr>
      <xdr:spPr bwMode="auto">
        <a:xfrm>
          <a:off x="3097365" y="48296307"/>
          <a:ext cx="66716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</xdr:col>
      <xdr:colOff>177248</xdr:colOff>
      <xdr:row>308</xdr:row>
      <xdr:rowOff>36445</xdr:rowOff>
    </xdr:from>
    <xdr:to>
      <xdr:col>7</xdr:col>
      <xdr:colOff>993</xdr:colOff>
      <xdr:row>309</xdr:row>
      <xdr:rowOff>121598</xdr:rowOff>
    </xdr:to>
    <xdr:sp macro="" textlink="">
      <xdr:nvSpPr>
        <xdr:cNvPr id="27" name="フローチャート: 代替処理 26">
          <a:extLst>
            <a:ext uri="{FF2B5EF4-FFF2-40B4-BE49-F238E27FC236}">
              <a16:creationId xmlns:a16="http://schemas.microsoft.com/office/drawing/2014/main" id="{F308DD14-968C-4EB7-89A4-31D33B55670C}"/>
            </a:ext>
          </a:extLst>
        </xdr:cNvPr>
        <xdr:cNvSpPr/>
      </xdr:nvSpPr>
      <xdr:spPr bwMode="auto">
        <a:xfrm>
          <a:off x="501098" y="4829962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46</xdr:col>
      <xdr:colOff>53837</xdr:colOff>
      <xdr:row>308</xdr:row>
      <xdr:rowOff>33959</xdr:rowOff>
    </xdr:from>
    <xdr:to>
      <xdr:col>50</xdr:col>
      <xdr:colOff>126137</xdr:colOff>
      <xdr:row>309</xdr:row>
      <xdr:rowOff>108916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26ED868D-76A4-48E0-800C-2E648A371943}"/>
            </a:ext>
          </a:extLst>
        </xdr:cNvPr>
        <xdr:cNvSpPr/>
      </xdr:nvSpPr>
      <xdr:spPr bwMode="auto">
        <a:xfrm>
          <a:off x="7978637" y="48297134"/>
          <a:ext cx="720000" cy="22735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9" name="図 28">
          <a:extLst>
            <a:ext uri="{FF2B5EF4-FFF2-40B4-BE49-F238E27FC236}">
              <a16:creationId xmlns:a16="http://schemas.microsoft.com/office/drawing/2014/main" id="{5B6D71D2-7E8A-4A18-B9F5-F390D3AD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30" name="図 29">
          <a:extLst>
            <a:ext uri="{FF2B5EF4-FFF2-40B4-BE49-F238E27FC236}">
              <a16:creationId xmlns:a16="http://schemas.microsoft.com/office/drawing/2014/main" id="{8780F98F-28A5-44ED-B84A-ABD2F2174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31" name="図 30">
          <a:extLst>
            <a:ext uri="{FF2B5EF4-FFF2-40B4-BE49-F238E27FC236}">
              <a16:creationId xmlns:a16="http://schemas.microsoft.com/office/drawing/2014/main" id="{6B1EB0AF-D780-4C0C-8FF5-3B977566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32" name="フローチャート: 代替処理 31">
          <a:extLst>
            <a:ext uri="{FF2B5EF4-FFF2-40B4-BE49-F238E27FC236}">
              <a16:creationId xmlns:a16="http://schemas.microsoft.com/office/drawing/2014/main" id="{6A960A04-180A-48DC-8514-FBA697223758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33" name="図 32">
          <a:extLst>
            <a:ext uri="{FF2B5EF4-FFF2-40B4-BE49-F238E27FC236}">
              <a16:creationId xmlns:a16="http://schemas.microsoft.com/office/drawing/2014/main" id="{52236D8A-886C-4B71-BFE8-6882101960C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4" name="図 33">
          <a:extLst>
            <a:ext uri="{FF2B5EF4-FFF2-40B4-BE49-F238E27FC236}">
              <a16:creationId xmlns:a16="http://schemas.microsoft.com/office/drawing/2014/main" id="{E3AE01A7-D43D-42D7-9148-379E70A539B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5" name="図 34">
          <a:extLst>
            <a:ext uri="{FF2B5EF4-FFF2-40B4-BE49-F238E27FC236}">
              <a16:creationId xmlns:a16="http://schemas.microsoft.com/office/drawing/2014/main" id="{33334E65-E476-4E3A-82EB-D721FC56532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6" name="図 35">
          <a:extLst>
            <a:ext uri="{FF2B5EF4-FFF2-40B4-BE49-F238E27FC236}">
              <a16:creationId xmlns:a16="http://schemas.microsoft.com/office/drawing/2014/main" id="{F0E3552F-6F0D-4748-99F3-DD7AF6CB857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7" name="フローチャート: 代替処理 36">
          <a:extLst>
            <a:ext uri="{FF2B5EF4-FFF2-40B4-BE49-F238E27FC236}">
              <a16:creationId xmlns:a16="http://schemas.microsoft.com/office/drawing/2014/main" id="{F55E1513-932D-447F-86F1-8E09CE73CB92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15</xdr:col>
      <xdr:colOff>0</xdr:colOff>
      <xdr:row>67</xdr:row>
      <xdr:rowOff>0</xdr:rowOff>
    </xdr:from>
    <xdr:ext cx="154736" cy="144000"/>
    <xdr:pic>
      <xdr:nvPicPr>
        <xdr:cNvPr id="38" name="図 37">
          <a:extLst>
            <a:ext uri="{FF2B5EF4-FFF2-40B4-BE49-F238E27FC236}">
              <a16:creationId xmlns:a16="http://schemas.microsoft.com/office/drawing/2014/main" id="{0C14A120-CA65-417B-ABF6-C1B8C5EA3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2774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D2C64611-6F75-4DCD-B861-ECEA50563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0" name="図 39">
          <a:extLst>
            <a:ext uri="{FF2B5EF4-FFF2-40B4-BE49-F238E27FC236}">
              <a16:creationId xmlns:a16="http://schemas.microsoft.com/office/drawing/2014/main" id="{2316B7A4-04E0-4F6F-9364-C85D3D83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41" name="図 40">
          <a:extLst>
            <a:ext uri="{FF2B5EF4-FFF2-40B4-BE49-F238E27FC236}">
              <a16:creationId xmlns:a16="http://schemas.microsoft.com/office/drawing/2014/main" id="{E57F927C-D9A4-422D-962C-23195B57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42" name="図 41">
          <a:extLst>
            <a:ext uri="{FF2B5EF4-FFF2-40B4-BE49-F238E27FC236}">
              <a16:creationId xmlns:a16="http://schemas.microsoft.com/office/drawing/2014/main" id="{7C1C1500-67D8-4E32-9921-1A8B2E61D1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43" name="図 42">
          <a:extLst>
            <a:ext uri="{FF2B5EF4-FFF2-40B4-BE49-F238E27FC236}">
              <a16:creationId xmlns:a16="http://schemas.microsoft.com/office/drawing/2014/main" id="{41223999-0961-4B2C-885C-DD605CC08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4" name="図 43">
          <a:extLst>
            <a:ext uri="{FF2B5EF4-FFF2-40B4-BE49-F238E27FC236}">
              <a16:creationId xmlns:a16="http://schemas.microsoft.com/office/drawing/2014/main" id="{A243FA77-A356-44D7-98EC-2C03140BF22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5" name="図 44">
          <a:extLst>
            <a:ext uri="{FF2B5EF4-FFF2-40B4-BE49-F238E27FC236}">
              <a16:creationId xmlns:a16="http://schemas.microsoft.com/office/drawing/2014/main" id="{29370CAE-1B48-4C1C-8CE8-7F24AA305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24037176-2CEE-4D41-95AE-4ED2C70050C0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E172997A-C751-4AB3-AF4A-876DACDDD5BD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8" name="フローチャート: 代替処理 47">
          <a:extLst>
            <a:ext uri="{FF2B5EF4-FFF2-40B4-BE49-F238E27FC236}">
              <a16:creationId xmlns:a16="http://schemas.microsoft.com/office/drawing/2014/main" id="{8B203587-B462-48BC-962F-D421CE15EDFE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B94ADDB3-DEA3-4745-850E-E0748218CE5B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B21628D2-EA45-425D-92B6-FFC324CE3336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9C1D78C4-0A41-4F57-A555-4E5E3E8318BA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52" name="図 51">
          <a:extLst>
            <a:ext uri="{FF2B5EF4-FFF2-40B4-BE49-F238E27FC236}">
              <a16:creationId xmlns:a16="http://schemas.microsoft.com/office/drawing/2014/main" id="{56254999-7029-4759-AE27-E10E388C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53" name="図 52">
          <a:extLst>
            <a:ext uri="{FF2B5EF4-FFF2-40B4-BE49-F238E27FC236}">
              <a16:creationId xmlns:a16="http://schemas.microsoft.com/office/drawing/2014/main" id="{E3E6F909-8A1C-4BE9-A00A-1712A6899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4" name="図 53">
          <a:extLst>
            <a:ext uri="{FF2B5EF4-FFF2-40B4-BE49-F238E27FC236}">
              <a16:creationId xmlns:a16="http://schemas.microsoft.com/office/drawing/2014/main" id="{C09F4207-61B1-442B-841E-81F84C1C7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5" name="図 54">
          <a:extLst>
            <a:ext uri="{FF2B5EF4-FFF2-40B4-BE49-F238E27FC236}">
              <a16:creationId xmlns:a16="http://schemas.microsoft.com/office/drawing/2014/main" id="{B5366432-FA96-4092-8960-4332D990B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6" name="図 55">
          <a:extLst>
            <a:ext uri="{FF2B5EF4-FFF2-40B4-BE49-F238E27FC236}">
              <a16:creationId xmlns:a16="http://schemas.microsoft.com/office/drawing/2014/main" id="{7C476329-9E55-4558-8BD3-24769F3B0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F1940F5E-B620-4026-BF5D-FBD919A44A57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54B7CDE3-4B4B-4F55-92CD-ADC665628CEA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977BD23E-2591-4B77-A7DC-510239599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60" name="図 59">
          <a:extLst>
            <a:ext uri="{FF2B5EF4-FFF2-40B4-BE49-F238E27FC236}">
              <a16:creationId xmlns:a16="http://schemas.microsoft.com/office/drawing/2014/main" id="{3DB99CDD-8707-4B61-A293-06647854EBB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119</xdr:row>
      <xdr:rowOff>24434</xdr:rowOff>
    </xdr:from>
    <xdr:to>
      <xdr:col>7</xdr:col>
      <xdr:colOff>65432</xdr:colOff>
      <xdr:row>120</xdr:row>
      <xdr:rowOff>106274</xdr:rowOff>
    </xdr:to>
    <xdr:sp macro="" textlink="">
      <xdr:nvSpPr>
        <xdr:cNvPr id="61" name="フローチャート: 代替処理 60">
          <a:extLst>
            <a:ext uri="{FF2B5EF4-FFF2-40B4-BE49-F238E27FC236}">
              <a16:creationId xmlns:a16="http://schemas.microsoft.com/office/drawing/2014/main" id="{EDD18F2B-F9A8-4FB5-9431-B0601509779B}"/>
            </a:ext>
          </a:extLst>
        </xdr:cNvPr>
        <xdr:cNvSpPr/>
      </xdr:nvSpPr>
      <xdr:spPr bwMode="auto">
        <a:xfrm>
          <a:off x="522633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119</xdr:row>
      <xdr:rowOff>24434</xdr:rowOff>
    </xdr:from>
    <xdr:to>
      <xdr:col>61</xdr:col>
      <xdr:colOff>151157</xdr:colOff>
      <xdr:row>120</xdr:row>
      <xdr:rowOff>106274</xdr:rowOff>
    </xdr:to>
    <xdr:sp macro="" textlink="">
      <xdr:nvSpPr>
        <xdr:cNvPr id="62" name="フローチャート: 代替処理 61">
          <a:extLst>
            <a:ext uri="{FF2B5EF4-FFF2-40B4-BE49-F238E27FC236}">
              <a16:creationId xmlns:a16="http://schemas.microsoft.com/office/drawing/2014/main" id="{54292499-7805-4DB4-A4F0-475D847D1CA1}"/>
            </a:ext>
          </a:extLst>
        </xdr:cNvPr>
        <xdr:cNvSpPr/>
      </xdr:nvSpPr>
      <xdr:spPr bwMode="auto">
        <a:xfrm>
          <a:off x="9809508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94</xdr:row>
      <xdr:rowOff>9525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845A02EB-4AC4-47E8-99F8-B1E358181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611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690E1E2A-8865-4876-B5B3-1CC018DA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74884625-0674-4BB0-8274-1994341A0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DE3F3F45-B787-483C-879E-2A1ABD620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3C5AF2BC-9470-4ACE-8A30-00556734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6859A967-13BA-4310-B653-86ABC593B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EC1D39C2-750B-4668-B40E-03A27E82A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8254DF30-9911-4267-85FC-C576BB308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51EEB6D5-EE34-474C-A754-A12E501B9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07109B71-AEB2-4B93-BB57-F7D2DA7A3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D8208B19-6313-4101-8041-C7D2A999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172B3987-DE9F-4098-A335-3556861B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98395763-0ED2-47E3-AA24-42A0E4DC7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442FBED5-2FB4-4A25-9BFB-D2300079C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73478351-1731-49DD-9958-7E9C5A56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7851E7AF-5D2C-4461-80DF-E745110F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D7738FAB-32EC-4B5A-A8BF-4F5D585EB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3E9A2834-A04C-4B91-86A1-762EBDA97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B1CE85B9-42C4-4324-BCD2-50596B5C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46D2D844-039D-41A3-8630-B02782D19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84CABB2D-EA3C-4167-9C15-52A606D52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DB2A69D7-741B-4CA6-BDC6-06988E7C2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23DB795E-CA62-4644-99C2-3CFD59979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7BC005AC-000D-4857-824A-5897D979B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02441FA5-CC6A-4FBB-B326-B661BDA56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0FBD5579-22D9-4DEA-A111-61B5D2663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B05E02FC-5DD3-44A3-9E94-1AA0E93C7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B3E94452-FD6F-48FC-B377-2311145B2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B65698A8-5319-4365-8293-D5A2AB3A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DA9B0E90-71E3-404F-82E5-CEC2C4B3D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618556F0-C170-4001-B76B-AFA5F1A48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4FBD584F-58CF-4885-9ED1-63C27B9A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26A01195-E744-4D40-98B6-AA86FAAB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9C0F15F5-5463-4DCE-BE2D-71454EDD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FBA53FEA-4391-47B3-9207-FFB238C6E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8" name="図 97">
          <a:extLst>
            <a:ext uri="{FF2B5EF4-FFF2-40B4-BE49-F238E27FC236}">
              <a16:creationId xmlns:a16="http://schemas.microsoft.com/office/drawing/2014/main" id="{85A9330E-094D-4C51-9F51-54B760B00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9" name="図 98">
          <a:extLst>
            <a:ext uri="{FF2B5EF4-FFF2-40B4-BE49-F238E27FC236}">
              <a16:creationId xmlns:a16="http://schemas.microsoft.com/office/drawing/2014/main" id="{C0B11296-D20B-461C-B539-12C2517BC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100" name="図 99">
          <a:extLst>
            <a:ext uri="{FF2B5EF4-FFF2-40B4-BE49-F238E27FC236}">
              <a16:creationId xmlns:a16="http://schemas.microsoft.com/office/drawing/2014/main" id="{47EBB77E-BF1C-4CCF-80DF-CB02660E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101" name="図 100">
          <a:extLst>
            <a:ext uri="{FF2B5EF4-FFF2-40B4-BE49-F238E27FC236}">
              <a16:creationId xmlns:a16="http://schemas.microsoft.com/office/drawing/2014/main" id="{A1B8FE2B-E1D0-433A-8E35-18865CBE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102" name="図 101">
          <a:extLst>
            <a:ext uri="{FF2B5EF4-FFF2-40B4-BE49-F238E27FC236}">
              <a16:creationId xmlns:a16="http://schemas.microsoft.com/office/drawing/2014/main" id="{EC0265C1-6395-4043-BFA1-3E6FB1D0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81</xdr:row>
      <xdr:rowOff>91109</xdr:rowOff>
    </xdr:from>
    <xdr:to>
      <xdr:col>52</xdr:col>
      <xdr:colOff>49696</xdr:colOff>
      <xdr:row>95</xdr:row>
      <xdr:rowOff>57978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49708D65-1A7C-45AE-BFAC-F3B1600F7473}"/>
            </a:ext>
          </a:extLst>
        </xdr:cNvPr>
        <xdr:cNvSpPr/>
      </xdr:nvSpPr>
      <xdr:spPr bwMode="auto">
        <a:xfrm>
          <a:off x="419100" y="127117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107</xdr:row>
      <xdr:rowOff>14123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994779BA-A044-4E21-9221-62D4E766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5971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119</xdr:row>
      <xdr:rowOff>24434</xdr:rowOff>
    </xdr:from>
    <xdr:to>
      <xdr:col>56</xdr:col>
      <xdr:colOff>13997</xdr:colOff>
      <xdr:row>120</xdr:row>
      <xdr:rowOff>106274</xdr:rowOff>
    </xdr:to>
    <xdr:sp macro="" textlink="">
      <xdr:nvSpPr>
        <xdr:cNvPr id="105" name="フローチャート: 代替処理 104">
          <a:extLst>
            <a:ext uri="{FF2B5EF4-FFF2-40B4-BE49-F238E27FC236}">
              <a16:creationId xmlns:a16="http://schemas.microsoft.com/office/drawing/2014/main" id="{A6BCBBFC-0A69-4C66-A294-5E0A37A097B8}"/>
            </a:ext>
          </a:extLst>
        </xdr:cNvPr>
        <xdr:cNvSpPr/>
      </xdr:nvSpPr>
      <xdr:spPr bwMode="auto">
        <a:xfrm>
          <a:off x="8853198" y="184362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82</xdr:row>
      <xdr:rowOff>9525</xdr:rowOff>
    </xdr:from>
    <xdr:ext cx="121422" cy="146538"/>
    <xdr:pic>
      <xdr:nvPicPr>
        <xdr:cNvPr id="106" name="図 105">
          <a:extLst>
            <a:ext uri="{FF2B5EF4-FFF2-40B4-BE49-F238E27FC236}">
              <a16:creationId xmlns:a16="http://schemas.microsoft.com/office/drawing/2014/main" id="{459A55A9-4C92-4AFA-9629-810B933E3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782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109</xdr:row>
      <xdr:rowOff>147473</xdr:rowOff>
    </xdr:from>
    <xdr:ext cx="121422" cy="146538"/>
    <xdr:pic>
      <xdr:nvPicPr>
        <xdr:cNvPr id="107" name="図 106">
          <a:extLst>
            <a:ext uri="{FF2B5EF4-FFF2-40B4-BE49-F238E27FC236}">
              <a16:creationId xmlns:a16="http://schemas.microsoft.com/office/drawing/2014/main" id="{89C1A722-1046-4DF7-9665-E517798C6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35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108" name="図 107">
          <a:extLst>
            <a:ext uri="{FF2B5EF4-FFF2-40B4-BE49-F238E27FC236}">
              <a16:creationId xmlns:a16="http://schemas.microsoft.com/office/drawing/2014/main" id="{4B96E5BE-FAF1-42A8-B58C-DB2719D08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0</xdr:rowOff>
    </xdr:from>
    <xdr:ext cx="154736" cy="144000"/>
    <xdr:pic>
      <xdr:nvPicPr>
        <xdr:cNvPr id="109" name="図 108">
          <a:extLst>
            <a:ext uri="{FF2B5EF4-FFF2-40B4-BE49-F238E27FC236}">
              <a16:creationId xmlns:a16="http://schemas.microsoft.com/office/drawing/2014/main" id="{F79ECB34-97AE-4FDA-AEA2-54D5A75B8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02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82</xdr:row>
      <xdr:rowOff>25619</xdr:rowOff>
    </xdr:from>
    <xdr:ext cx="144000" cy="144000"/>
    <xdr:pic>
      <xdr:nvPicPr>
        <xdr:cNvPr id="110" name="図 109">
          <a:extLst>
            <a:ext uri="{FF2B5EF4-FFF2-40B4-BE49-F238E27FC236}">
              <a16:creationId xmlns:a16="http://schemas.microsoft.com/office/drawing/2014/main" id="{769CC01F-091C-4F09-99D5-51B03D176F6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7986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86</xdr:row>
      <xdr:rowOff>6569</xdr:rowOff>
    </xdr:from>
    <xdr:ext cx="144000" cy="144000"/>
    <xdr:pic>
      <xdr:nvPicPr>
        <xdr:cNvPr id="111" name="図 110">
          <a:extLst>
            <a:ext uri="{FF2B5EF4-FFF2-40B4-BE49-F238E27FC236}">
              <a16:creationId xmlns:a16="http://schemas.microsoft.com/office/drawing/2014/main" id="{94E63E4F-7644-45F9-9E4B-F83F03678C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389194"/>
          <a:ext cx="144000" cy="144000"/>
        </a:xfrm>
        <a:prstGeom prst="rect">
          <a:avLst/>
        </a:prstGeom>
      </xdr:spPr>
    </xdr:pic>
    <xdr:clientData/>
  </xdr:oneCellAnchor>
  <xdr:twoCellAnchor>
    <xdr:from>
      <xdr:col>2</xdr:col>
      <xdr:colOff>177248</xdr:colOff>
      <xdr:row>236</xdr:row>
      <xdr:rowOff>36445</xdr:rowOff>
    </xdr:from>
    <xdr:to>
      <xdr:col>7</xdr:col>
      <xdr:colOff>993</xdr:colOff>
      <xdr:row>237</xdr:row>
      <xdr:rowOff>121598</xdr:rowOff>
    </xdr:to>
    <xdr:sp macro="" textlink="">
      <xdr:nvSpPr>
        <xdr:cNvPr id="112" name="フローチャート: 代替処理 111">
          <a:extLst>
            <a:ext uri="{FF2B5EF4-FFF2-40B4-BE49-F238E27FC236}">
              <a16:creationId xmlns:a16="http://schemas.microsoft.com/office/drawing/2014/main" id="{493036E9-9EDF-4043-A3FC-A5BDC3D0C4F7}"/>
            </a:ext>
          </a:extLst>
        </xdr:cNvPr>
        <xdr:cNvSpPr/>
      </xdr:nvSpPr>
      <xdr:spPr bwMode="auto">
        <a:xfrm>
          <a:off x="501098" y="3669817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22</xdr:col>
      <xdr:colOff>76200</xdr:colOff>
      <xdr:row>236</xdr:row>
      <xdr:rowOff>40752</xdr:rowOff>
    </xdr:from>
    <xdr:to>
      <xdr:col>27</xdr:col>
      <xdr:colOff>66508</xdr:colOff>
      <xdr:row>237</xdr:row>
      <xdr:rowOff>125905</xdr:rowOff>
    </xdr:to>
    <xdr:sp macro="" textlink="">
      <xdr:nvSpPr>
        <xdr:cNvPr id="113" name="フローチャート: 代替処理 112">
          <a:extLst>
            <a:ext uri="{FF2B5EF4-FFF2-40B4-BE49-F238E27FC236}">
              <a16:creationId xmlns:a16="http://schemas.microsoft.com/office/drawing/2014/main" id="{FBCFE7D6-F292-4FC8-90F7-FFA25CEF4D85}"/>
            </a:ext>
          </a:extLst>
        </xdr:cNvPr>
        <xdr:cNvSpPr/>
      </xdr:nvSpPr>
      <xdr:spPr bwMode="auto">
        <a:xfrm>
          <a:off x="3657600" y="36702477"/>
          <a:ext cx="89518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詳細入力</a:t>
          </a:r>
        </a:p>
      </xdr:txBody>
    </xdr:sp>
    <xdr:clientData/>
  </xdr:twoCellAnchor>
  <xdr:twoCellAnchor>
    <xdr:from>
      <xdr:col>71</xdr:col>
      <xdr:colOff>55908</xdr:colOff>
      <xdr:row>236</xdr:row>
      <xdr:rowOff>14909</xdr:rowOff>
    </xdr:from>
    <xdr:to>
      <xdr:col>77</xdr:col>
      <xdr:colOff>65432</xdr:colOff>
      <xdr:row>237</xdr:row>
      <xdr:rowOff>96749</xdr:rowOff>
    </xdr:to>
    <xdr:sp macro="" textlink="">
      <xdr:nvSpPr>
        <xdr:cNvPr id="114" name="フローチャート: 代替処理 113">
          <a:extLst>
            <a:ext uri="{FF2B5EF4-FFF2-40B4-BE49-F238E27FC236}">
              <a16:creationId xmlns:a16="http://schemas.microsoft.com/office/drawing/2014/main" id="{894C2EE4-B5EC-4413-B7A2-026D66549E50}"/>
            </a:ext>
          </a:extLst>
        </xdr:cNvPr>
        <xdr:cNvSpPr/>
      </xdr:nvSpPr>
      <xdr:spPr bwMode="auto">
        <a:xfrm>
          <a:off x="12181233" y="36676634"/>
          <a:ext cx="10382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12</xdr:col>
      <xdr:colOff>22364</xdr:colOff>
      <xdr:row>236</xdr:row>
      <xdr:rowOff>23607</xdr:rowOff>
    </xdr:from>
    <xdr:to>
      <xdr:col>16</xdr:col>
      <xdr:colOff>53174</xdr:colOff>
      <xdr:row>237</xdr:row>
      <xdr:rowOff>108760</xdr:rowOff>
    </xdr:to>
    <xdr:sp macro="" textlink="">
      <xdr:nvSpPr>
        <xdr:cNvPr id="115" name="フローチャート: 代替処理 114">
          <a:extLst>
            <a:ext uri="{FF2B5EF4-FFF2-40B4-BE49-F238E27FC236}">
              <a16:creationId xmlns:a16="http://schemas.microsoft.com/office/drawing/2014/main" id="{CD871B5B-C256-4E88-B8A4-8DBE0D43B355}"/>
            </a:ext>
          </a:extLst>
        </xdr:cNvPr>
        <xdr:cNvSpPr/>
      </xdr:nvSpPr>
      <xdr:spPr bwMode="auto">
        <a:xfrm>
          <a:off x="1984514" y="36685332"/>
          <a:ext cx="67851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16</xdr:col>
      <xdr:colOff>144615</xdr:colOff>
      <xdr:row>236</xdr:row>
      <xdr:rowOff>23607</xdr:rowOff>
    </xdr:from>
    <xdr:to>
      <xdr:col>21</xdr:col>
      <xdr:colOff>2153</xdr:colOff>
      <xdr:row>237</xdr:row>
      <xdr:rowOff>108760</xdr:rowOff>
    </xdr:to>
    <xdr:sp macro="" textlink="">
      <xdr:nvSpPr>
        <xdr:cNvPr id="116" name="フローチャート: 代替処理 115">
          <a:extLst>
            <a:ext uri="{FF2B5EF4-FFF2-40B4-BE49-F238E27FC236}">
              <a16:creationId xmlns:a16="http://schemas.microsoft.com/office/drawing/2014/main" id="{9D661D39-62FC-478F-9512-1B179F53EF7B}"/>
            </a:ext>
          </a:extLst>
        </xdr:cNvPr>
        <xdr:cNvSpPr/>
      </xdr:nvSpPr>
      <xdr:spPr bwMode="auto">
        <a:xfrm>
          <a:off x="2754465" y="36685332"/>
          <a:ext cx="66716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66</xdr:col>
      <xdr:colOff>66675</xdr:colOff>
      <xdr:row>104</xdr:row>
      <xdr:rowOff>85725</xdr:rowOff>
    </xdr:from>
    <xdr:to>
      <xdr:col>83</xdr:col>
      <xdr:colOff>123825</xdr:colOff>
      <xdr:row>110</xdr:row>
      <xdr:rowOff>0</xdr:rowOff>
    </xdr:to>
    <xdr:sp macro="" textlink="">
      <xdr:nvSpPr>
        <xdr:cNvPr id="117" name="吹き出し: 四角形 116">
          <a:extLst>
            <a:ext uri="{FF2B5EF4-FFF2-40B4-BE49-F238E27FC236}">
              <a16:creationId xmlns:a16="http://schemas.microsoft.com/office/drawing/2014/main" id="{042A4CFC-1293-4DDE-9B4E-4922A4E82ADE}"/>
            </a:ext>
          </a:extLst>
        </xdr:cNvPr>
        <xdr:cNvSpPr/>
      </xdr:nvSpPr>
      <xdr:spPr>
        <a:xfrm>
          <a:off x="11334750" y="16211550"/>
          <a:ext cx="2971800" cy="828675"/>
        </a:xfrm>
        <a:prstGeom prst="wedgeRectCallout">
          <a:avLst>
            <a:gd name="adj1" fmla="val -187878"/>
            <a:gd name="adj2" fmla="val 4850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受注区分：</a:t>
          </a:r>
          <a:r>
            <a:rPr kumimoji="1" lang="en-US" altLang="ja-JP" sz="1100"/>
            <a:t>10:</a:t>
          </a:r>
          <a:r>
            <a:rPr kumimoji="1" lang="ja-JP" altLang="en-US" sz="1100"/>
            <a:t>シート製品の場合は未入力</a:t>
          </a:r>
        </a:p>
      </xdr:txBody>
    </xdr:sp>
    <xdr:clientData/>
  </xdr:twoCellAnchor>
  <xdr:twoCellAnchor>
    <xdr:from>
      <xdr:col>63</xdr:col>
      <xdr:colOff>47625</xdr:colOff>
      <xdr:row>60</xdr:row>
      <xdr:rowOff>47625</xdr:rowOff>
    </xdr:from>
    <xdr:to>
      <xdr:col>81</xdr:col>
      <xdr:colOff>161925</xdr:colOff>
      <xdr:row>65</xdr:row>
      <xdr:rowOff>47625</xdr:rowOff>
    </xdr:to>
    <xdr:sp macro="" textlink="">
      <xdr:nvSpPr>
        <xdr:cNvPr id="118" name="吹き出し: 四角形 117">
          <a:extLst>
            <a:ext uri="{FF2B5EF4-FFF2-40B4-BE49-F238E27FC236}">
              <a16:creationId xmlns:a16="http://schemas.microsoft.com/office/drawing/2014/main" id="{A802E60E-8CDD-4EED-9E05-3BB1F75AC9B7}"/>
            </a:ext>
          </a:extLst>
        </xdr:cNvPr>
        <xdr:cNvSpPr/>
      </xdr:nvSpPr>
      <xdr:spPr>
        <a:xfrm>
          <a:off x="10801350" y="9258300"/>
          <a:ext cx="3200400" cy="762000"/>
        </a:xfrm>
        <a:prstGeom prst="wedgeRectCallout">
          <a:avLst>
            <a:gd name="adj1" fmla="val -94940"/>
            <a:gd name="adj2" fmla="val 8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受注区分でシートを選択時、受注明細が非表示となる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178</xdr:row>
      <xdr:rowOff>24434</xdr:rowOff>
    </xdr:from>
    <xdr:to>
      <xdr:col>7</xdr:col>
      <xdr:colOff>65432</xdr:colOff>
      <xdr:row>179</xdr:row>
      <xdr:rowOff>106274</xdr:rowOff>
    </xdr:to>
    <xdr:sp macro="" textlink="">
      <xdr:nvSpPr>
        <xdr:cNvPr id="119" name="フローチャート: 代替処理 118">
          <a:extLst>
            <a:ext uri="{FF2B5EF4-FFF2-40B4-BE49-F238E27FC236}">
              <a16:creationId xmlns:a16="http://schemas.microsoft.com/office/drawing/2014/main" id="{3707B329-BD46-4219-96BF-C12134A4DFF4}"/>
            </a:ext>
          </a:extLst>
        </xdr:cNvPr>
        <xdr:cNvSpPr/>
      </xdr:nvSpPr>
      <xdr:spPr bwMode="auto">
        <a:xfrm>
          <a:off x="522633" y="276374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178</xdr:row>
      <xdr:rowOff>24434</xdr:rowOff>
    </xdr:from>
    <xdr:to>
      <xdr:col>61</xdr:col>
      <xdr:colOff>151157</xdr:colOff>
      <xdr:row>179</xdr:row>
      <xdr:rowOff>106274</xdr:rowOff>
    </xdr:to>
    <xdr:sp macro="" textlink="">
      <xdr:nvSpPr>
        <xdr:cNvPr id="120" name="フローチャート: 代替処理 119">
          <a:extLst>
            <a:ext uri="{FF2B5EF4-FFF2-40B4-BE49-F238E27FC236}">
              <a16:creationId xmlns:a16="http://schemas.microsoft.com/office/drawing/2014/main" id="{7487C08F-C7F5-425E-AA66-126ED872C653}"/>
            </a:ext>
          </a:extLst>
        </xdr:cNvPr>
        <xdr:cNvSpPr/>
      </xdr:nvSpPr>
      <xdr:spPr bwMode="auto">
        <a:xfrm>
          <a:off x="9809508" y="276374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153</xdr:row>
      <xdr:rowOff>9525</xdr:rowOff>
    </xdr:from>
    <xdr:ext cx="121422" cy="146538"/>
    <xdr:pic>
      <xdr:nvPicPr>
        <xdr:cNvPr id="121" name="図 120">
          <a:extLst>
            <a:ext uri="{FF2B5EF4-FFF2-40B4-BE49-F238E27FC236}">
              <a16:creationId xmlns:a16="http://schemas.microsoft.com/office/drawing/2014/main" id="{F4541499-ECA0-49A7-A511-AADF06098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38125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22" name="図 121">
          <a:extLst>
            <a:ext uri="{FF2B5EF4-FFF2-40B4-BE49-F238E27FC236}">
              <a16:creationId xmlns:a16="http://schemas.microsoft.com/office/drawing/2014/main" id="{2E075E98-750A-4E12-8ED7-6C0EC88C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23" name="図 122">
          <a:extLst>
            <a:ext uri="{FF2B5EF4-FFF2-40B4-BE49-F238E27FC236}">
              <a16:creationId xmlns:a16="http://schemas.microsoft.com/office/drawing/2014/main" id="{4BD53E8C-D9FB-4774-A4DD-A1AA75677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157</xdr:row>
      <xdr:rowOff>7327</xdr:rowOff>
    </xdr:from>
    <xdr:ext cx="154736" cy="144000"/>
    <xdr:pic>
      <xdr:nvPicPr>
        <xdr:cNvPr id="124" name="図 123">
          <a:extLst>
            <a:ext uri="{FF2B5EF4-FFF2-40B4-BE49-F238E27FC236}">
              <a16:creationId xmlns:a16="http://schemas.microsoft.com/office/drawing/2014/main" id="{E51E40AE-31F6-4227-BEDF-33C21DF68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DEB9BFD5-67B0-4A8E-879B-3F1583E3B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157</xdr:row>
      <xdr:rowOff>7327</xdr:rowOff>
    </xdr:from>
    <xdr:ext cx="154736" cy="144000"/>
    <xdr:pic>
      <xdr:nvPicPr>
        <xdr:cNvPr id="126" name="図 125">
          <a:extLst>
            <a:ext uri="{FF2B5EF4-FFF2-40B4-BE49-F238E27FC236}">
              <a16:creationId xmlns:a16="http://schemas.microsoft.com/office/drawing/2014/main" id="{77302432-B9F7-469B-8A9F-AE358E82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BCD1CC6C-4BE5-45C5-B895-8BA637048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28" name="図 127">
          <a:extLst>
            <a:ext uri="{FF2B5EF4-FFF2-40B4-BE49-F238E27FC236}">
              <a16:creationId xmlns:a16="http://schemas.microsoft.com/office/drawing/2014/main" id="{E6244118-2FFF-4514-A010-773E496F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95536685-BB95-4C0E-BD53-11C3C3895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73681A60-B4CD-41CA-B4C1-CA953E4B9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952DC1DA-B771-4871-873B-E52152F7C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DD3ED09B-B235-4983-B4B0-C5A1B848C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C898BE67-E370-4010-8781-2E99D1BC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35E96929-310B-454E-B347-18B2BB158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8F943958-FEAA-42DF-9FE9-8F661FEEF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157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C4C75890-8916-4761-A621-F0284B1AA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FE898BE6-CA77-4B68-BD8A-DBF6318D9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157</xdr:row>
      <xdr:rowOff>7327</xdr:rowOff>
    </xdr:from>
    <xdr:ext cx="154736" cy="144000"/>
    <xdr:pic>
      <xdr:nvPicPr>
        <xdr:cNvPr id="138" name="図 137">
          <a:extLst>
            <a:ext uri="{FF2B5EF4-FFF2-40B4-BE49-F238E27FC236}">
              <a16:creationId xmlns:a16="http://schemas.microsoft.com/office/drawing/2014/main" id="{93CCD8EB-2C47-42ED-99DA-6D7D79B23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39" name="図 138">
          <a:extLst>
            <a:ext uri="{FF2B5EF4-FFF2-40B4-BE49-F238E27FC236}">
              <a16:creationId xmlns:a16="http://schemas.microsoft.com/office/drawing/2014/main" id="{ACE30EFD-FA5F-4D8D-B1B2-4C564979A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0" name="図 139">
          <a:extLst>
            <a:ext uri="{FF2B5EF4-FFF2-40B4-BE49-F238E27FC236}">
              <a16:creationId xmlns:a16="http://schemas.microsoft.com/office/drawing/2014/main" id="{19F57DEB-0D62-4A56-A2DF-95B9D2570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41" name="図 140">
          <a:extLst>
            <a:ext uri="{FF2B5EF4-FFF2-40B4-BE49-F238E27FC236}">
              <a16:creationId xmlns:a16="http://schemas.microsoft.com/office/drawing/2014/main" id="{253282A2-557C-45E6-944B-67274D9E7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42" name="図 141">
          <a:extLst>
            <a:ext uri="{FF2B5EF4-FFF2-40B4-BE49-F238E27FC236}">
              <a16:creationId xmlns:a16="http://schemas.microsoft.com/office/drawing/2014/main" id="{905911B2-7E50-43B9-8A4A-AF197B4A9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43" name="図 142">
          <a:extLst>
            <a:ext uri="{FF2B5EF4-FFF2-40B4-BE49-F238E27FC236}">
              <a16:creationId xmlns:a16="http://schemas.microsoft.com/office/drawing/2014/main" id="{9475614C-99B4-4CBC-877B-057C471EB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44" name="図 143">
          <a:extLst>
            <a:ext uri="{FF2B5EF4-FFF2-40B4-BE49-F238E27FC236}">
              <a16:creationId xmlns:a16="http://schemas.microsoft.com/office/drawing/2014/main" id="{406C03EB-ED76-4D0F-A6E8-29A10956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45" name="図 144">
          <a:extLst>
            <a:ext uri="{FF2B5EF4-FFF2-40B4-BE49-F238E27FC236}">
              <a16:creationId xmlns:a16="http://schemas.microsoft.com/office/drawing/2014/main" id="{4802C02C-8544-4847-9489-8692A826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46" name="図 145">
          <a:extLst>
            <a:ext uri="{FF2B5EF4-FFF2-40B4-BE49-F238E27FC236}">
              <a16:creationId xmlns:a16="http://schemas.microsoft.com/office/drawing/2014/main" id="{931FE47E-6E0D-45CF-A550-1B693F4F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7" name="図 146">
          <a:extLst>
            <a:ext uri="{FF2B5EF4-FFF2-40B4-BE49-F238E27FC236}">
              <a16:creationId xmlns:a16="http://schemas.microsoft.com/office/drawing/2014/main" id="{54DF13E7-795D-4140-866F-AC71BBD8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8" name="図 147">
          <a:extLst>
            <a:ext uri="{FF2B5EF4-FFF2-40B4-BE49-F238E27FC236}">
              <a16:creationId xmlns:a16="http://schemas.microsoft.com/office/drawing/2014/main" id="{9A0AB479-C3DA-4843-8DB8-A5D0CE5A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49" name="図 148">
          <a:extLst>
            <a:ext uri="{FF2B5EF4-FFF2-40B4-BE49-F238E27FC236}">
              <a16:creationId xmlns:a16="http://schemas.microsoft.com/office/drawing/2014/main" id="{4EF39C66-6DC3-4DA3-B528-C50D3AA70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157</xdr:row>
      <xdr:rowOff>7327</xdr:rowOff>
    </xdr:from>
    <xdr:ext cx="154736" cy="144000"/>
    <xdr:pic>
      <xdr:nvPicPr>
        <xdr:cNvPr id="150" name="図 149">
          <a:extLst>
            <a:ext uri="{FF2B5EF4-FFF2-40B4-BE49-F238E27FC236}">
              <a16:creationId xmlns:a16="http://schemas.microsoft.com/office/drawing/2014/main" id="{8E9455BC-9454-44BB-8B61-C89B93651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51" name="図 150">
          <a:extLst>
            <a:ext uri="{FF2B5EF4-FFF2-40B4-BE49-F238E27FC236}">
              <a16:creationId xmlns:a16="http://schemas.microsoft.com/office/drawing/2014/main" id="{FEBE5035-94D5-4E27-B036-1171301C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52" name="図 151">
          <a:extLst>
            <a:ext uri="{FF2B5EF4-FFF2-40B4-BE49-F238E27FC236}">
              <a16:creationId xmlns:a16="http://schemas.microsoft.com/office/drawing/2014/main" id="{5396BEA7-90B4-4709-9F41-7B2CE68FD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53" name="図 152">
          <a:extLst>
            <a:ext uri="{FF2B5EF4-FFF2-40B4-BE49-F238E27FC236}">
              <a16:creationId xmlns:a16="http://schemas.microsoft.com/office/drawing/2014/main" id="{87201417-E1D2-4CC5-8DFD-E7AC9863B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157</xdr:row>
      <xdr:rowOff>7327</xdr:rowOff>
    </xdr:from>
    <xdr:ext cx="154736" cy="144000"/>
    <xdr:pic>
      <xdr:nvPicPr>
        <xdr:cNvPr id="154" name="図 153">
          <a:extLst>
            <a:ext uri="{FF2B5EF4-FFF2-40B4-BE49-F238E27FC236}">
              <a16:creationId xmlns:a16="http://schemas.microsoft.com/office/drawing/2014/main" id="{E2089DD8-D2EF-46D0-8078-B1F17CB6F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55" name="図 154">
          <a:extLst>
            <a:ext uri="{FF2B5EF4-FFF2-40B4-BE49-F238E27FC236}">
              <a16:creationId xmlns:a16="http://schemas.microsoft.com/office/drawing/2014/main" id="{5A73BB5B-EE8B-4A79-B8F9-815C747D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56" name="図 155">
          <a:extLst>
            <a:ext uri="{FF2B5EF4-FFF2-40B4-BE49-F238E27FC236}">
              <a16:creationId xmlns:a16="http://schemas.microsoft.com/office/drawing/2014/main" id="{B108CF64-14AD-4022-B8F6-D2FAD6B4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57" name="図 156">
          <a:extLst>
            <a:ext uri="{FF2B5EF4-FFF2-40B4-BE49-F238E27FC236}">
              <a16:creationId xmlns:a16="http://schemas.microsoft.com/office/drawing/2014/main" id="{C4B9DBB9-4BB4-4BB0-95C8-579A0B83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151</xdr:row>
      <xdr:rowOff>7327</xdr:rowOff>
    </xdr:from>
    <xdr:ext cx="154736" cy="144000"/>
    <xdr:pic>
      <xdr:nvPicPr>
        <xdr:cNvPr id="158" name="図 157">
          <a:extLst>
            <a:ext uri="{FF2B5EF4-FFF2-40B4-BE49-F238E27FC236}">
              <a16:creationId xmlns:a16="http://schemas.microsoft.com/office/drawing/2014/main" id="{4C2A950A-FFDE-48E2-BEAC-9166B94E5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505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151</xdr:row>
      <xdr:rowOff>7327</xdr:rowOff>
    </xdr:from>
    <xdr:ext cx="154736" cy="144000"/>
    <xdr:pic>
      <xdr:nvPicPr>
        <xdr:cNvPr id="159" name="図 158">
          <a:extLst>
            <a:ext uri="{FF2B5EF4-FFF2-40B4-BE49-F238E27FC236}">
              <a16:creationId xmlns:a16="http://schemas.microsoft.com/office/drawing/2014/main" id="{E87AC9FC-25CC-4C50-A313-909E86174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505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166</xdr:row>
      <xdr:rowOff>23648</xdr:rowOff>
    </xdr:from>
    <xdr:ext cx="121422" cy="146538"/>
    <xdr:pic>
      <xdr:nvPicPr>
        <xdr:cNvPr id="160" name="図 159">
          <a:extLst>
            <a:ext uri="{FF2B5EF4-FFF2-40B4-BE49-F238E27FC236}">
              <a16:creationId xmlns:a16="http://schemas.microsoft.com/office/drawing/2014/main" id="{409D4E23-A9DF-453B-8C56-AF1F73814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8078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140</xdr:row>
      <xdr:rowOff>91109</xdr:rowOff>
    </xdr:from>
    <xdr:to>
      <xdr:col>52</xdr:col>
      <xdr:colOff>49696</xdr:colOff>
      <xdr:row>154</xdr:row>
      <xdr:rowOff>57978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EF58350B-B66C-45C6-984F-3CB63213BC4C}"/>
            </a:ext>
          </a:extLst>
        </xdr:cNvPr>
        <xdr:cNvSpPr/>
      </xdr:nvSpPr>
      <xdr:spPr bwMode="auto">
        <a:xfrm>
          <a:off x="419100" y="2191288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166</xdr:row>
      <xdr:rowOff>14123</xdr:rowOff>
    </xdr:from>
    <xdr:ext cx="121422" cy="146538"/>
    <xdr:pic>
      <xdr:nvPicPr>
        <xdr:cNvPr id="162" name="図 161">
          <a:extLst>
            <a:ext uri="{FF2B5EF4-FFF2-40B4-BE49-F238E27FC236}">
              <a16:creationId xmlns:a16="http://schemas.microsoft.com/office/drawing/2014/main" id="{AB200CB3-E044-417D-AC3F-A4DB8BFCF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5798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178</xdr:row>
      <xdr:rowOff>24434</xdr:rowOff>
    </xdr:from>
    <xdr:to>
      <xdr:col>56</xdr:col>
      <xdr:colOff>13997</xdr:colOff>
      <xdr:row>179</xdr:row>
      <xdr:rowOff>106274</xdr:rowOff>
    </xdr:to>
    <xdr:sp macro="" textlink="">
      <xdr:nvSpPr>
        <xdr:cNvPr id="163" name="フローチャート: 代替処理 162">
          <a:extLst>
            <a:ext uri="{FF2B5EF4-FFF2-40B4-BE49-F238E27FC236}">
              <a16:creationId xmlns:a16="http://schemas.microsoft.com/office/drawing/2014/main" id="{589F7A0A-EC67-48D5-8211-E6CDCAE23251}"/>
            </a:ext>
          </a:extLst>
        </xdr:cNvPr>
        <xdr:cNvSpPr/>
      </xdr:nvSpPr>
      <xdr:spPr bwMode="auto">
        <a:xfrm>
          <a:off x="8853198" y="276374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141</xdr:row>
      <xdr:rowOff>9525</xdr:rowOff>
    </xdr:from>
    <xdr:ext cx="121422" cy="146538"/>
    <xdr:pic>
      <xdr:nvPicPr>
        <xdr:cNvPr id="164" name="図 163">
          <a:extLst>
            <a:ext uri="{FF2B5EF4-FFF2-40B4-BE49-F238E27FC236}">
              <a16:creationId xmlns:a16="http://schemas.microsoft.com/office/drawing/2014/main" id="{2CB1B120-D3E3-4985-8D64-E0F4CD332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19837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168</xdr:row>
      <xdr:rowOff>147473</xdr:rowOff>
    </xdr:from>
    <xdr:ext cx="121422" cy="146538"/>
    <xdr:pic>
      <xdr:nvPicPr>
        <xdr:cNvPr id="165" name="図 164">
          <a:extLst>
            <a:ext uri="{FF2B5EF4-FFF2-40B4-BE49-F238E27FC236}">
              <a16:creationId xmlns:a16="http://schemas.microsoft.com/office/drawing/2014/main" id="{775FE16D-B55C-48D8-91AA-EA4F8382A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2364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166</xdr:row>
      <xdr:rowOff>23648</xdr:rowOff>
    </xdr:from>
    <xdr:ext cx="121422" cy="146538"/>
    <xdr:pic>
      <xdr:nvPicPr>
        <xdr:cNvPr id="166" name="図 165">
          <a:extLst>
            <a:ext uri="{FF2B5EF4-FFF2-40B4-BE49-F238E27FC236}">
              <a16:creationId xmlns:a16="http://schemas.microsoft.com/office/drawing/2014/main" id="{59AB77B4-14BE-4F5D-BDA7-E22A35C3F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8078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169</xdr:row>
      <xdr:rowOff>0</xdr:rowOff>
    </xdr:from>
    <xdr:ext cx="154736" cy="144000"/>
    <xdr:pic>
      <xdr:nvPicPr>
        <xdr:cNvPr id="167" name="図 166">
          <a:extLst>
            <a:ext uri="{FF2B5EF4-FFF2-40B4-BE49-F238E27FC236}">
              <a16:creationId xmlns:a16="http://schemas.microsoft.com/office/drawing/2014/main" id="{DA2E59FD-26E1-44A5-9A2E-E0E8BC8D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2413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141</xdr:row>
      <xdr:rowOff>25619</xdr:rowOff>
    </xdr:from>
    <xdr:ext cx="144000" cy="144000"/>
    <xdr:pic>
      <xdr:nvPicPr>
        <xdr:cNvPr id="168" name="図 167">
          <a:extLst>
            <a:ext uri="{FF2B5EF4-FFF2-40B4-BE49-F238E27FC236}">
              <a16:creationId xmlns:a16="http://schemas.microsoft.com/office/drawing/2014/main" id="{AB187B1E-E4C4-4511-8FB5-DCBC39CA3D7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2199979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145</xdr:row>
      <xdr:rowOff>6569</xdr:rowOff>
    </xdr:from>
    <xdr:ext cx="144000" cy="144000"/>
    <xdr:pic>
      <xdr:nvPicPr>
        <xdr:cNvPr id="169" name="図 168">
          <a:extLst>
            <a:ext uri="{FF2B5EF4-FFF2-40B4-BE49-F238E27FC236}">
              <a16:creationId xmlns:a16="http://schemas.microsoft.com/office/drawing/2014/main" id="{42C909D8-0557-4A2D-B9B0-25FE8C792FC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22590344"/>
          <a:ext cx="144000" cy="144000"/>
        </a:xfrm>
        <a:prstGeom prst="rect">
          <a:avLst/>
        </a:prstGeom>
      </xdr:spPr>
    </xdr:pic>
    <xdr:clientData/>
  </xdr:oneCellAnchor>
  <xdr:twoCellAnchor>
    <xdr:from>
      <xdr:col>66</xdr:col>
      <xdr:colOff>66674</xdr:colOff>
      <xdr:row>163</xdr:row>
      <xdr:rowOff>85725</xdr:rowOff>
    </xdr:from>
    <xdr:to>
      <xdr:col>84</xdr:col>
      <xdr:colOff>19049</xdr:colOff>
      <xdr:row>169</xdr:row>
      <xdr:rowOff>0</xdr:rowOff>
    </xdr:to>
    <xdr:sp macro="" textlink="">
      <xdr:nvSpPr>
        <xdr:cNvPr id="170" name="吹き出し: 四角形 169">
          <a:extLst>
            <a:ext uri="{FF2B5EF4-FFF2-40B4-BE49-F238E27FC236}">
              <a16:creationId xmlns:a16="http://schemas.microsoft.com/office/drawing/2014/main" id="{FCB23083-F8F1-4253-94D6-65FD1ADF0038}"/>
            </a:ext>
          </a:extLst>
        </xdr:cNvPr>
        <xdr:cNvSpPr/>
      </xdr:nvSpPr>
      <xdr:spPr>
        <a:xfrm>
          <a:off x="11334749" y="25412700"/>
          <a:ext cx="3038475" cy="828675"/>
        </a:xfrm>
        <a:prstGeom prst="wedgeRectCallout">
          <a:avLst>
            <a:gd name="adj1" fmla="val -172204"/>
            <a:gd name="adj2" fmla="val 43501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受注区分：</a:t>
          </a:r>
          <a:r>
            <a:rPr kumimoji="1" lang="en-US" altLang="ja-JP" sz="1100"/>
            <a:t>10:</a:t>
          </a:r>
          <a:r>
            <a:rPr kumimoji="1" lang="ja-JP" altLang="en-US" sz="1100"/>
            <a:t>シート製品の場合は未入力</a:t>
          </a:r>
        </a:p>
      </xdr:txBody>
    </xdr:sp>
    <xdr:clientData/>
  </xdr:twoCellAnchor>
  <xdr:twoCellAnchor>
    <xdr:from>
      <xdr:col>2</xdr:col>
      <xdr:colOff>152400</xdr:colOff>
      <xdr:row>272</xdr:row>
      <xdr:rowOff>0</xdr:rowOff>
    </xdr:from>
    <xdr:to>
      <xdr:col>7</xdr:col>
      <xdr:colOff>12375</xdr:colOff>
      <xdr:row>273</xdr:row>
      <xdr:rowOff>80670</xdr:rowOff>
    </xdr:to>
    <xdr:sp macro="" textlink="">
      <xdr:nvSpPr>
        <xdr:cNvPr id="171" name="フローチャート: 代替処理 170">
          <a:extLst>
            <a:ext uri="{FF2B5EF4-FFF2-40B4-BE49-F238E27FC236}">
              <a16:creationId xmlns:a16="http://schemas.microsoft.com/office/drawing/2014/main" id="{AECCB19F-22E0-4F98-B878-4504FB807BE7}"/>
            </a:ext>
          </a:extLst>
        </xdr:cNvPr>
        <xdr:cNvSpPr/>
      </xdr:nvSpPr>
      <xdr:spPr bwMode="auto">
        <a:xfrm>
          <a:off x="476250" y="42357675"/>
          <a:ext cx="68865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7</xdr:col>
      <xdr:colOff>105106</xdr:colOff>
      <xdr:row>272</xdr:row>
      <xdr:rowOff>0</xdr:rowOff>
    </xdr:from>
    <xdr:to>
      <xdr:col>11</xdr:col>
      <xdr:colOff>127006</xdr:colOff>
      <xdr:row>273</xdr:row>
      <xdr:rowOff>80670</xdr:rowOff>
    </xdr:to>
    <xdr:sp macro="" textlink="">
      <xdr:nvSpPr>
        <xdr:cNvPr id="172" name="フローチャート: 代替処理 171">
          <a:extLst>
            <a:ext uri="{FF2B5EF4-FFF2-40B4-BE49-F238E27FC236}">
              <a16:creationId xmlns:a16="http://schemas.microsoft.com/office/drawing/2014/main" id="{C25FEA29-01F8-4EFD-A849-5BE6DD1D5EEE}"/>
            </a:ext>
          </a:extLst>
        </xdr:cNvPr>
        <xdr:cNvSpPr/>
      </xdr:nvSpPr>
      <xdr:spPr bwMode="auto">
        <a:xfrm>
          <a:off x="1257631" y="42357675"/>
          <a:ext cx="66960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60</xdr:col>
      <xdr:colOff>47438</xdr:colOff>
      <xdr:row>272</xdr:row>
      <xdr:rowOff>20544</xdr:rowOff>
    </xdr:from>
    <xdr:to>
      <xdr:col>64</xdr:col>
      <xdr:colOff>88714</xdr:colOff>
      <xdr:row>273</xdr:row>
      <xdr:rowOff>93370</xdr:rowOff>
    </xdr:to>
    <xdr:sp macro="" textlink="">
      <xdr:nvSpPr>
        <xdr:cNvPr id="173" name="フローチャート: 代替処理 172">
          <a:extLst>
            <a:ext uri="{FF2B5EF4-FFF2-40B4-BE49-F238E27FC236}">
              <a16:creationId xmlns:a16="http://schemas.microsoft.com/office/drawing/2014/main" id="{A98D8230-29FF-45FD-B7C1-85E2348D60C8}"/>
            </a:ext>
          </a:extLst>
        </xdr:cNvPr>
        <xdr:cNvSpPr/>
      </xdr:nvSpPr>
      <xdr:spPr bwMode="auto">
        <a:xfrm>
          <a:off x="10239188" y="42378219"/>
          <a:ext cx="774701" cy="225226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工程へ反映</a:t>
          </a:r>
        </a:p>
      </xdr:txBody>
    </xdr:sp>
    <xdr:clientData/>
  </xdr:twoCellAnchor>
  <xdr:twoCellAnchor>
    <xdr:from>
      <xdr:col>2</xdr:col>
      <xdr:colOff>152400</xdr:colOff>
      <xdr:row>272</xdr:row>
      <xdr:rowOff>0</xdr:rowOff>
    </xdr:from>
    <xdr:to>
      <xdr:col>7</xdr:col>
      <xdr:colOff>12375</xdr:colOff>
      <xdr:row>273</xdr:row>
      <xdr:rowOff>80670</xdr:rowOff>
    </xdr:to>
    <xdr:sp macro="" textlink="">
      <xdr:nvSpPr>
        <xdr:cNvPr id="174" name="フローチャート: 代替処理 173">
          <a:extLst>
            <a:ext uri="{FF2B5EF4-FFF2-40B4-BE49-F238E27FC236}">
              <a16:creationId xmlns:a16="http://schemas.microsoft.com/office/drawing/2014/main" id="{D22FA702-79E3-4890-B1D6-882ADFF23EB0}"/>
            </a:ext>
          </a:extLst>
        </xdr:cNvPr>
        <xdr:cNvSpPr/>
      </xdr:nvSpPr>
      <xdr:spPr bwMode="auto">
        <a:xfrm>
          <a:off x="476250" y="42357675"/>
          <a:ext cx="68865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7</xdr:col>
      <xdr:colOff>105106</xdr:colOff>
      <xdr:row>272</xdr:row>
      <xdr:rowOff>0</xdr:rowOff>
    </xdr:from>
    <xdr:to>
      <xdr:col>11</xdr:col>
      <xdr:colOff>127006</xdr:colOff>
      <xdr:row>273</xdr:row>
      <xdr:rowOff>80670</xdr:rowOff>
    </xdr:to>
    <xdr:sp macro="" textlink="">
      <xdr:nvSpPr>
        <xdr:cNvPr id="175" name="フローチャート: 代替処理 174">
          <a:extLst>
            <a:ext uri="{FF2B5EF4-FFF2-40B4-BE49-F238E27FC236}">
              <a16:creationId xmlns:a16="http://schemas.microsoft.com/office/drawing/2014/main" id="{B397F359-4C3F-40E3-BEA7-45912B747418}"/>
            </a:ext>
          </a:extLst>
        </xdr:cNvPr>
        <xdr:cNvSpPr/>
      </xdr:nvSpPr>
      <xdr:spPr bwMode="auto">
        <a:xfrm>
          <a:off x="1257631" y="42357675"/>
          <a:ext cx="66960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oneCellAnchor>
    <xdr:from>
      <xdr:col>32</xdr:col>
      <xdr:colOff>64377</xdr:colOff>
      <xdr:row>110</xdr:row>
      <xdr:rowOff>0</xdr:rowOff>
    </xdr:from>
    <xdr:ext cx="121422" cy="146538"/>
    <xdr:pic>
      <xdr:nvPicPr>
        <xdr:cNvPr id="176" name="図 175">
          <a:extLst>
            <a:ext uri="{FF2B5EF4-FFF2-40B4-BE49-F238E27FC236}">
              <a16:creationId xmlns:a16="http://schemas.microsoft.com/office/drawing/2014/main" id="{4760D4F3-E277-466F-823F-0F9364486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402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77" name="図 176">
          <a:extLst>
            <a:ext uri="{FF2B5EF4-FFF2-40B4-BE49-F238E27FC236}">
              <a16:creationId xmlns:a16="http://schemas.microsoft.com/office/drawing/2014/main" id="{5FED3DB9-0A31-4920-906E-89C3726C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110</xdr:row>
      <xdr:rowOff>0</xdr:rowOff>
    </xdr:from>
    <xdr:ext cx="121422" cy="146538"/>
    <xdr:pic>
      <xdr:nvPicPr>
        <xdr:cNvPr id="178" name="図 177">
          <a:extLst>
            <a:ext uri="{FF2B5EF4-FFF2-40B4-BE49-F238E27FC236}">
              <a16:creationId xmlns:a16="http://schemas.microsoft.com/office/drawing/2014/main" id="{ED7233F2-193C-4D4E-AC65-C436C5A67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402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79" name="図 178">
          <a:extLst>
            <a:ext uri="{FF2B5EF4-FFF2-40B4-BE49-F238E27FC236}">
              <a16:creationId xmlns:a16="http://schemas.microsoft.com/office/drawing/2014/main" id="{DF7C757E-8F6D-4576-AE4D-2E843684C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110</xdr:row>
      <xdr:rowOff>0</xdr:rowOff>
    </xdr:from>
    <xdr:ext cx="121422" cy="146538"/>
    <xdr:pic>
      <xdr:nvPicPr>
        <xdr:cNvPr id="180" name="図 179">
          <a:extLst>
            <a:ext uri="{FF2B5EF4-FFF2-40B4-BE49-F238E27FC236}">
              <a16:creationId xmlns:a16="http://schemas.microsoft.com/office/drawing/2014/main" id="{5C8E59A4-EF88-4046-962F-ABC03406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402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81" name="図 180">
          <a:extLst>
            <a:ext uri="{FF2B5EF4-FFF2-40B4-BE49-F238E27FC236}">
              <a16:creationId xmlns:a16="http://schemas.microsoft.com/office/drawing/2014/main" id="{D0739633-87EE-43DD-A9F0-AAB28A20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110</xdr:row>
      <xdr:rowOff>14123</xdr:rowOff>
    </xdr:from>
    <xdr:ext cx="121422" cy="146538"/>
    <xdr:pic>
      <xdr:nvPicPr>
        <xdr:cNvPr id="182" name="図 181">
          <a:extLst>
            <a:ext uri="{FF2B5EF4-FFF2-40B4-BE49-F238E27FC236}">
              <a16:creationId xmlns:a16="http://schemas.microsoft.com/office/drawing/2014/main" id="{D1A47BFF-6B5E-4492-BE09-4608C47B0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7054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169</xdr:row>
      <xdr:rowOff>0</xdr:rowOff>
    </xdr:from>
    <xdr:ext cx="121422" cy="146538"/>
    <xdr:pic>
      <xdr:nvPicPr>
        <xdr:cNvPr id="183" name="図 182">
          <a:extLst>
            <a:ext uri="{FF2B5EF4-FFF2-40B4-BE49-F238E27FC236}">
              <a16:creationId xmlns:a16="http://schemas.microsoft.com/office/drawing/2014/main" id="{7993B50E-B455-4268-AF3A-84FC36EC2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2413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169</xdr:row>
      <xdr:rowOff>0</xdr:rowOff>
    </xdr:from>
    <xdr:ext cx="154736" cy="144000"/>
    <xdr:pic>
      <xdr:nvPicPr>
        <xdr:cNvPr id="184" name="図 183">
          <a:extLst>
            <a:ext uri="{FF2B5EF4-FFF2-40B4-BE49-F238E27FC236}">
              <a16:creationId xmlns:a16="http://schemas.microsoft.com/office/drawing/2014/main" id="{FEB4A6C6-A111-42C7-BE44-6668C4E4F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2413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169</xdr:row>
      <xdr:rowOff>0</xdr:rowOff>
    </xdr:from>
    <xdr:ext cx="121422" cy="146538"/>
    <xdr:pic>
      <xdr:nvPicPr>
        <xdr:cNvPr id="185" name="図 184">
          <a:extLst>
            <a:ext uri="{FF2B5EF4-FFF2-40B4-BE49-F238E27FC236}">
              <a16:creationId xmlns:a16="http://schemas.microsoft.com/office/drawing/2014/main" id="{37B71336-5F58-4C39-8E63-D9F407B61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2413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169</xdr:row>
      <xdr:rowOff>3726</xdr:rowOff>
    </xdr:from>
    <xdr:ext cx="154736" cy="144000"/>
    <xdr:pic>
      <xdr:nvPicPr>
        <xdr:cNvPr id="186" name="図 185">
          <a:extLst>
            <a:ext uri="{FF2B5EF4-FFF2-40B4-BE49-F238E27FC236}">
              <a16:creationId xmlns:a16="http://schemas.microsoft.com/office/drawing/2014/main" id="{B5D37E29-3BC0-4591-80A1-EE5C7F05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2451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169</xdr:row>
      <xdr:rowOff>0</xdr:rowOff>
    </xdr:from>
    <xdr:ext cx="121422" cy="146538"/>
    <xdr:pic>
      <xdr:nvPicPr>
        <xdr:cNvPr id="187" name="図 186">
          <a:extLst>
            <a:ext uri="{FF2B5EF4-FFF2-40B4-BE49-F238E27FC236}">
              <a16:creationId xmlns:a16="http://schemas.microsoft.com/office/drawing/2014/main" id="{08F011F3-0A82-475E-BC0D-F1EB1483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2413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169</xdr:row>
      <xdr:rowOff>3726</xdr:rowOff>
    </xdr:from>
    <xdr:ext cx="154736" cy="144000"/>
    <xdr:pic>
      <xdr:nvPicPr>
        <xdr:cNvPr id="188" name="図 187">
          <a:extLst>
            <a:ext uri="{FF2B5EF4-FFF2-40B4-BE49-F238E27FC236}">
              <a16:creationId xmlns:a16="http://schemas.microsoft.com/office/drawing/2014/main" id="{EF00BE5F-5B94-43B6-97F3-ED10D9D8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2451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169</xdr:row>
      <xdr:rowOff>0</xdr:rowOff>
    </xdr:from>
    <xdr:ext cx="121422" cy="146538"/>
    <xdr:pic>
      <xdr:nvPicPr>
        <xdr:cNvPr id="189" name="図 188">
          <a:extLst>
            <a:ext uri="{FF2B5EF4-FFF2-40B4-BE49-F238E27FC236}">
              <a16:creationId xmlns:a16="http://schemas.microsoft.com/office/drawing/2014/main" id="{057EF342-2AC6-460D-9863-1E33CAC93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2413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169</xdr:row>
      <xdr:rowOff>3726</xdr:rowOff>
    </xdr:from>
    <xdr:ext cx="154736" cy="144000"/>
    <xdr:pic>
      <xdr:nvPicPr>
        <xdr:cNvPr id="190" name="図 189">
          <a:extLst>
            <a:ext uri="{FF2B5EF4-FFF2-40B4-BE49-F238E27FC236}">
              <a16:creationId xmlns:a16="http://schemas.microsoft.com/office/drawing/2014/main" id="{BFF8A5A7-B7D5-44B5-A027-B9A971212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2451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169</xdr:row>
      <xdr:rowOff>14123</xdr:rowOff>
    </xdr:from>
    <xdr:ext cx="121422" cy="146538"/>
    <xdr:pic>
      <xdr:nvPicPr>
        <xdr:cNvPr id="191" name="図 190">
          <a:extLst>
            <a:ext uri="{FF2B5EF4-FFF2-40B4-BE49-F238E27FC236}">
              <a16:creationId xmlns:a16="http://schemas.microsoft.com/office/drawing/2014/main" id="{712A78C8-4060-4C8F-A3A5-9149CFED9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2554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BACA1074-A20E-4CD4-810E-7C481F439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EADB7CCC-1B36-4C67-8628-B251F4022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9A7F536A-3D62-48F0-A320-D956026362A9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B1B64DF3-ABB6-4473-BDDA-B44E4A917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4CCF5DC6-2320-496C-B717-DD46C0E2D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E342571A-A8AA-4435-9FC9-813D4CFFD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D5CB7D0E-1584-45EF-8072-6DD7405B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6FF0837C-D5F2-4CD9-8627-FD1745A9F31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47190203-0DAA-4795-9DDA-61108C90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F5BDF5D3-0182-42DA-85E1-BFA89AA6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4D6F0FD7-138D-46AD-9B75-581EFDC7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997BB5B0-7D4E-41E7-B038-5DB037427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2D6021A9-CBBC-4B79-8D20-B6FAD725C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E732DD47-059D-44C1-AC97-68B97638E2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490AB76E-9B7B-4EBA-AB1D-753799D5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8839B8D1-87E2-4B89-B057-A90029373CFE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7A02C0DD-E117-449F-9717-6A7C4DC3C208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77A85869-795E-4E1B-8932-74910B588D7D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FF843B53-CB52-436C-B7D8-36E9D77BCD61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B4D692AB-9315-4C7D-8A4D-C6D753789644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6D642759-0C39-4258-A12D-D634D8DA42EC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DEF8C486-F7F0-495A-91FA-FE036B669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B08B0750-CB2E-42E8-A65D-9A57032C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5" name="図 24">
          <a:extLst>
            <a:ext uri="{FF2B5EF4-FFF2-40B4-BE49-F238E27FC236}">
              <a16:creationId xmlns:a16="http://schemas.microsoft.com/office/drawing/2014/main" id="{4032FA71-431C-495B-BDEC-37BFCA74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B9023D76-221E-496D-9536-F160BA39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27" name="図 26">
          <a:extLst>
            <a:ext uri="{FF2B5EF4-FFF2-40B4-BE49-F238E27FC236}">
              <a16:creationId xmlns:a16="http://schemas.microsoft.com/office/drawing/2014/main" id="{DFF8DA0D-1009-4CAA-A606-2684D1CD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DAA2562A-5A3F-4399-8E1C-988FB9A20EE3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29" name="図 28">
          <a:extLst>
            <a:ext uri="{FF2B5EF4-FFF2-40B4-BE49-F238E27FC236}">
              <a16:creationId xmlns:a16="http://schemas.microsoft.com/office/drawing/2014/main" id="{CD7BEBC8-F6B5-42F5-BEEA-DBFE7C30D66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0" name="図 29">
          <a:extLst>
            <a:ext uri="{FF2B5EF4-FFF2-40B4-BE49-F238E27FC236}">
              <a16:creationId xmlns:a16="http://schemas.microsoft.com/office/drawing/2014/main" id="{7CA2804B-F318-4BE1-A17C-F4365B5BE7A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1" name="図 30">
          <a:extLst>
            <a:ext uri="{FF2B5EF4-FFF2-40B4-BE49-F238E27FC236}">
              <a16:creationId xmlns:a16="http://schemas.microsoft.com/office/drawing/2014/main" id="{8BA9436B-92E7-4877-9C35-822DED0DAA7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2" name="図 31">
          <a:extLst>
            <a:ext uri="{FF2B5EF4-FFF2-40B4-BE49-F238E27FC236}">
              <a16:creationId xmlns:a16="http://schemas.microsoft.com/office/drawing/2014/main" id="{E42970C1-3074-48C5-9928-9563EFD5D38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911F4669-9D0D-4684-90F4-F5E631947FAF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15</xdr:col>
      <xdr:colOff>0</xdr:colOff>
      <xdr:row>67</xdr:row>
      <xdr:rowOff>0</xdr:rowOff>
    </xdr:from>
    <xdr:ext cx="154736" cy="144000"/>
    <xdr:pic>
      <xdr:nvPicPr>
        <xdr:cNvPr id="34" name="図 33">
          <a:extLst>
            <a:ext uri="{FF2B5EF4-FFF2-40B4-BE49-F238E27FC236}">
              <a16:creationId xmlns:a16="http://schemas.microsoft.com/office/drawing/2014/main" id="{6595B9D7-9AF8-4F4D-B69E-FE6975F37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2774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5" name="図 34">
          <a:extLst>
            <a:ext uri="{FF2B5EF4-FFF2-40B4-BE49-F238E27FC236}">
              <a16:creationId xmlns:a16="http://schemas.microsoft.com/office/drawing/2014/main" id="{9A516D2D-E6FA-43C0-BC34-1254CCBA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36" name="図 35">
          <a:extLst>
            <a:ext uri="{FF2B5EF4-FFF2-40B4-BE49-F238E27FC236}">
              <a16:creationId xmlns:a16="http://schemas.microsoft.com/office/drawing/2014/main" id="{18511E79-6B26-4090-BF87-CCDAABE90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37" name="図 36">
          <a:extLst>
            <a:ext uri="{FF2B5EF4-FFF2-40B4-BE49-F238E27FC236}">
              <a16:creationId xmlns:a16="http://schemas.microsoft.com/office/drawing/2014/main" id="{FFB185BA-DA04-4355-9E4A-FD4E5C0EE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38" name="図 37">
          <a:extLst>
            <a:ext uri="{FF2B5EF4-FFF2-40B4-BE49-F238E27FC236}">
              <a16:creationId xmlns:a16="http://schemas.microsoft.com/office/drawing/2014/main" id="{C7F945D7-105C-44C2-9BCD-5818C36044D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3B68D423-54A4-4A33-AFDC-1F8CE371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0" name="図 39">
          <a:extLst>
            <a:ext uri="{FF2B5EF4-FFF2-40B4-BE49-F238E27FC236}">
              <a16:creationId xmlns:a16="http://schemas.microsoft.com/office/drawing/2014/main" id="{40572387-1FAE-4C29-80A3-12B0F54347D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1" name="図 40">
          <a:extLst>
            <a:ext uri="{FF2B5EF4-FFF2-40B4-BE49-F238E27FC236}">
              <a16:creationId xmlns:a16="http://schemas.microsoft.com/office/drawing/2014/main" id="{80B91FB3-A949-4E8B-A5D2-CB2CBF6C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2" name="フローチャート: 代替処理 41">
          <a:extLst>
            <a:ext uri="{FF2B5EF4-FFF2-40B4-BE49-F238E27FC236}">
              <a16:creationId xmlns:a16="http://schemas.microsoft.com/office/drawing/2014/main" id="{127486E0-E589-4906-8068-CDEE2294D7A2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DC5FA44B-7529-496D-A030-3BD4451BA288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4" name="フローチャート: 代替処理 43">
          <a:extLst>
            <a:ext uri="{FF2B5EF4-FFF2-40B4-BE49-F238E27FC236}">
              <a16:creationId xmlns:a16="http://schemas.microsoft.com/office/drawing/2014/main" id="{C1A48FB1-F6E5-4BF8-A1CF-18DB72CEAAD2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5" name="フローチャート: 代替処理 44">
          <a:extLst>
            <a:ext uri="{FF2B5EF4-FFF2-40B4-BE49-F238E27FC236}">
              <a16:creationId xmlns:a16="http://schemas.microsoft.com/office/drawing/2014/main" id="{BD584325-1EA7-4EB9-B8F2-96C8661BFDAD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448CE9B9-CFBB-41B0-85EB-07A3D03C843D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518FDE94-7F39-4C78-9509-A6EDDDA9A8EE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48" name="図 47">
          <a:extLst>
            <a:ext uri="{FF2B5EF4-FFF2-40B4-BE49-F238E27FC236}">
              <a16:creationId xmlns:a16="http://schemas.microsoft.com/office/drawing/2014/main" id="{F4442D6B-589A-46EA-9A8E-70AA55C27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49" name="図 48">
          <a:extLst>
            <a:ext uri="{FF2B5EF4-FFF2-40B4-BE49-F238E27FC236}">
              <a16:creationId xmlns:a16="http://schemas.microsoft.com/office/drawing/2014/main" id="{7950FAF1-C7E4-4ABE-820A-E7D69073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0" name="図 49">
          <a:extLst>
            <a:ext uri="{FF2B5EF4-FFF2-40B4-BE49-F238E27FC236}">
              <a16:creationId xmlns:a16="http://schemas.microsoft.com/office/drawing/2014/main" id="{6C8DD3D0-06C6-4D2B-B6E3-24F2BCD9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1" name="図 50">
          <a:extLst>
            <a:ext uri="{FF2B5EF4-FFF2-40B4-BE49-F238E27FC236}">
              <a16:creationId xmlns:a16="http://schemas.microsoft.com/office/drawing/2014/main" id="{FD44AB4D-7502-45E0-AF1C-BB6F58F58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2" name="図 51">
          <a:extLst>
            <a:ext uri="{FF2B5EF4-FFF2-40B4-BE49-F238E27FC236}">
              <a16:creationId xmlns:a16="http://schemas.microsoft.com/office/drawing/2014/main" id="{C50D9EB9-731E-40CC-9024-D13CAF0A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3" name="フローチャート: 代替処理 52">
          <a:extLst>
            <a:ext uri="{FF2B5EF4-FFF2-40B4-BE49-F238E27FC236}">
              <a16:creationId xmlns:a16="http://schemas.microsoft.com/office/drawing/2014/main" id="{45BEB37C-8E89-4559-B94F-84AD03CE6D14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86D4CF0F-722C-40FE-9028-A3ADEEFEB408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5" name="図 54">
          <a:extLst>
            <a:ext uri="{FF2B5EF4-FFF2-40B4-BE49-F238E27FC236}">
              <a16:creationId xmlns:a16="http://schemas.microsoft.com/office/drawing/2014/main" id="{9E51CFA2-3330-4B6A-B14D-8FCFB0D17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56" name="図 55">
          <a:extLst>
            <a:ext uri="{FF2B5EF4-FFF2-40B4-BE49-F238E27FC236}">
              <a16:creationId xmlns:a16="http://schemas.microsoft.com/office/drawing/2014/main" id="{9331BFBB-F6DD-4665-8EEE-5FB8E22DA31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119</xdr:row>
      <xdr:rowOff>24434</xdr:rowOff>
    </xdr:from>
    <xdr:to>
      <xdr:col>7</xdr:col>
      <xdr:colOff>65432</xdr:colOff>
      <xdr:row>120</xdr:row>
      <xdr:rowOff>106274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6EE62FF8-C68A-4F82-AA3E-E34A218DCFEA}"/>
            </a:ext>
          </a:extLst>
        </xdr:cNvPr>
        <xdr:cNvSpPr/>
      </xdr:nvSpPr>
      <xdr:spPr bwMode="auto">
        <a:xfrm>
          <a:off x="522633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119</xdr:row>
      <xdr:rowOff>24434</xdr:rowOff>
    </xdr:from>
    <xdr:to>
      <xdr:col>61</xdr:col>
      <xdr:colOff>151157</xdr:colOff>
      <xdr:row>120</xdr:row>
      <xdr:rowOff>106274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BBB54E74-5829-40DA-990F-180859EE35C9}"/>
            </a:ext>
          </a:extLst>
        </xdr:cNvPr>
        <xdr:cNvSpPr/>
      </xdr:nvSpPr>
      <xdr:spPr bwMode="auto">
        <a:xfrm>
          <a:off x="9809508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94</xdr:row>
      <xdr:rowOff>9525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0E410B67-35F5-4514-A80A-57410FE9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611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B144EC07-E3C1-4680-AAD5-4459EA29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1" name="図 60">
          <a:extLst>
            <a:ext uri="{FF2B5EF4-FFF2-40B4-BE49-F238E27FC236}">
              <a16:creationId xmlns:a16="http://schemas.microsoft.com/office/drawing/2014/main" id="{DA3B4826-AE14-490A-BE90-246F2BA3F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62" name="図 61">
          <a:extLst>
            <a:ext uri="{FF2B5EF4-FFF2-40B4-BE49-F238E27FC236}">
              <a16:creationId xmlns:a16="http://schemas.microsoft.com/office/drawing/2014/main" id="{FDAAC978-FFA1-46A5-B7B4-8FCFA494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3" name="図 62">
          <a:extLst>
            <a:ext uri="{FF2B5EF4-FFF2-40B4-BE49-F238E27FC236}">
              <a16:creationId xmlns:a16="http://schemas.microsoft.com/office/drawing/2014/main" id="{FE78C84B-1ACA-40D7-B486-48B64A90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6CBF8620-4D9F-41DC-AC90-8681C8C2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0D5B85FF-0BD6-4922-83BC-7A30185D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58A910BC-CF88-4F30-AC1B-A90758F4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B17048D7-84D7-4491-9A1F-F9870D7D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0D3F713C-CE23-42DE-A8DD-F9028C1AD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2692A5D0-3131-4B50-99A7-11660090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AC14DB4E-FFCB-4155-BA81-434BFC6C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8F2E0FCD-B5FC-4F5C-8983-5936A86E6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7E16820E-E695-49B8-9B74-7F7642F17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FBD8DD01-41E9-4A77-9A72-8B1A4978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A599492B-E05B-4E16-82EC-183854514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7D08DACE-EEEA-4C27-9732-E732F23EC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A9C231E4-21FD-4716-BB54-072AD1C4B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5A716695-A80D-404F-9641-6C5D7E228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74104B9C-AD03-4A1B-8B2A-98E3D7D4B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BD06AD51-9703-44DE-AB2C-FC6287622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84F0ABF9-1A12-4FAC-B4A4-0ABF7B7E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D317F480-ED59-4118-885B-A5FC7DD9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744B94E0-C859-4FE2-AED9-51F5FA91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C242A7E9-3D36-42F0-AEF7-DEDB511D0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C45662B2-6F66-475E-8833-616427F1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8CF22571-F512-42B8-BC15-3EE17562C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62BF89B5-6F99-4E11-815A-D83EBAE4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CC27DAB1-7EA0-4EBB-A1F9-59A99C173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186FF5F9-FC32-45E6-B016-BF0F1C6FD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B75D9500-CA23-4C63-BEA8-4794AA49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3C6EC614-9F33-4350-9C14-9619F42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35E8105C-4EF9-4A96-BB7C-4C75DFC01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B07C75D7-241D-4A6B-B509-24B3797F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04699BA3-AD02-4367-91E1-F7CF9CC42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DE7649E8-97FC-40B7-ACA0-D695A0801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A486132A-96A2-42AE-AD71-FE1EBB7AD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59EC0828-8510-4CF3-B992-69808497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4853A3B4-6836-402A-A901-6116A32DF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98" name="図 97">
          <a:extLst>
            <a:ext uri="{FF2B5EF4-FFF2-40B4-BE49-F238E27FC236}">
              <a16:creationId xmlns:a16="http://schemas.microsoft.com/office/drawing/2014/main" id="{FC06329B-0818-4FE0-A357-8BCA21C00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81</xdr:row>
      <xdr:rowOff>91109</xdr:rowOff>
    </xdr:from>
    <xdr:to>
      <xdr:col>52</xdr:col>
      <xdr:colOff>49696</xdr:colOff>
      <xdr:row>95</xdr:row>
      <xdr:rowOff>57978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C2ED7A47-2549-4489-A93F-8AE90F5D1491}"/>
            </a:ext>
          </a:extLst>
        </xdr:cNvPr>
        <xdr:cNvSpPr/>
      </xdr:nvSpPr>
      <xdr:spPr bwMode="auto">
        <a:xfrm>
          <a:off x="419100" y="127117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107</xdr:row>
      <xdr:rowOff>14123</xdr:rowOff>
    </xdr:from>
    <xdr:ext cx="121422" cy="146538"/>
    <xdr:pic>
      <xdr:nvPicPr>
        <xdr:cNvPr id="100" name="図 99">
          <a:extLst>
            <a:ext uri="{FF2B5EF4-FFF2-40B4-BE49-F238E27FC236}">
              <a16:creationId xmlns:a16="http://schemas.microsoft.com/office/drawing/2014/main" id="{1BFB60A2-010D-44DB-96D9-AA0195F1F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5971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119</xdr:row>
      <xdr:rowOff>24434</xdr:rowOff>
    </xdr:from>
    <xdr:to>
      <xdr:col>56</xdr:col>
      <xdr:colOff>13997</xdr:colOff>
      <xdr:row>120</xdr:row>
      <xdr:rowOff>106274</xdr:rowOff>
    </xdr:to>
    <xdr:sp macro="" textlink="">
      <xdr:nvSpPr>
        <xdr:cNvPr id="101" name="フローチャート: 代替処理 100">
          <a:extLst>
            <a:ext uri="{FF2B5EF4-FFF2-40B4-BE49-F238E27FC236}">
              <a16:creationId xmlns:a16="http://schemas.microsoft.com/office/drawing/2014/main" id="{03D4A747-E351-447A-8210-D58B13125F6F}"/>
            </a:ext>
          </a:extLst>
        </xdr:cNvPr>
        <xdr:cNvSpPr/>
      </xdr:nvSpPr>
      <xdr:spPr bwMode="auto">
        <a:xfrm>
          <a:off x="8853198" y="184362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82</xdr:row>
      <xdr:rowOff>9525</xdr:rowOff>
    </xdr:from>
    <xdr:ext cx="121422" cy="146538"/>
    <xdr:pic>
      <xdr:nvPicPr>
        <xdr:cNvPr id="102" name="図 101">
          <a:extLst>
            <a:ext uri="{FF2B5EF4-FFF2-40B4-BE49-F238E27FC236}">
              <a16:creationId xmlns:a16="http://schemas.microsoft.com/office/drawing/2014/main" id="{3DBEF027-E8C2-4EB6-B826-798B062BC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782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109</xdr:row>
      <xdr:rowOff>147473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CF8C8C4B-1777-40AB-89FF-D6DB99634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35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DFC9FD64-1B80-40B8-8450-521813534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05" name="図 104">
          <a:extLst>
            <a:ext uri="{FF2B5EF4-FFF2-40B4-BE49-F238E27FC236}">
              <a16:creationId xmlns:a16="http://schemas.microsoft.com/office/drawing/2014/main" id="{66C8876B-E4AB-40A3-8F7E-2DD841E9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82</xdr:row>
      <xdr:rowOff>25619</xdr:rowOff>
    </xdr:from>
    <xdr:ext cx="144000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1F18EC00-0025-4E3A-9132-22E35DA6FFA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7986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86</xdr:row>
      <xdr:rowOff>6569</xdr:rowOff>
    </xdr:from>
    <xdr:ext cx="144000" cy="144000"/>
    <xdr:pic>
      <xdr:nvPicPr>
        <xdr:cNvPr id="107" name="図 106">
          <a:extLst>
            <a:ext uri="{FF2B5EF4-FFF2-40B4-BE49-F238E27FC236}">
              <a16:creationId xmlns:a16="http://schemas.microsoft.com/office/drawing/2014/main" id="{15E6FB28-0A37-446B-A777-372437C0EE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389194"/>
          <a:ext cx="144000" cy="144000"/>
        </a:xfrm>
        <a:prstGeom prst="rect">
          <a:avLst/>
        </a:prstGeom>
      </xdr:spPr>
    </xdr:pic>
    <xdr:clientData/>
  </xdr:oneCellAnchor>
  <xdr:twoCellAnchor>
    <xdr:from>
      <xdr:col>63</xdr:col>
      <xdr:colOff>133350</xdr:colOff>
      <xdr:row>59</xdr:row>
      <xdr:rowOff>0</xdr:rowOff>
    </xdr:from>
    <xdr:to>
      <xdr:col>82</xdr:col>
      <xdr:colOff>76200</xdr:colOff>
      <xdr:row>64</xdr:row>
      <xdr:rowOff>0</xdr:rowOff>
    </xdr:to>
    <xdr:sp macro="" textlink="">
      <xdr:nvSpPr>
        <xdr:cNvPr id="108" name="吹き出し: 四角形 107">
          <a:extLst>
            <a:ext uri="{FF2B5EF4-FFF2-40B4-BE49-F238E27FC236}">
              <a16:creationId xmlns:a16="http://schemas.microsoft.com/office/drawing/2014/main" id="{528B5C1D-ABF1-46E9-B8FF-4EFC4D7AB192}"/>
            </a:ext>
          </a:extLst>
        </xdr:cNvPr>
        <xdr:cNvSpPr/>
      </xdr:nvSpPr>
      <xdr:spPr>
        <a:xfrm>
          <a:off x="10887075" y="9058275"/>
          <a:ext cx="3200400" cy="762000"/>
        </a:xfrm>
        <a:prstGeom prst="wedgeRectCallout">
          <a:avLst>
            <a:gd name="adj1" fmla="val -114583"/>
            <a:gd name="adj2" fmla="val -4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受注区分で加工品以外を選択時、受注明細が非表示となる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180</xdr:row>
      <xdr:rowOff>24434</xdr:rowOff>
    </xdr:from>
    <xdr:to>
      <xdr:col>7</xdr:col>
      <xdr:colOff>65432</xdr:colOff>
      <xdr:row>181</xdr:row>
      <xdr:rowOff>106274</xdr:rowOff>
    </xdr:to>
    <xdr:sp macro="" textlink="">
      <xdr:nvSpPr>
        <xdr:cNvPr id="109" name="フローチャート: 代替処理 108">
          <a:extLst>
            <a:ext uri="{FF2B5EF4-FFF2-40B4-BE49-F238E27FC236}">
              <a16:creationId xmlns:a16="http://schemas.microsoft.com/office/drawing/2014/main" id="{D6E3684C-120C-40BC-A0E2-D09FD4A7EC7D}"/>
            </a:ext>
          </a:extLst>
        </xdr:cNvPr>
        <xdr:cNvSpPr/>
      </xdr:nvSpPr>
      <xdr:spPr bwMode="auto">
        <a:xfrm>
          <a:off x="522633" y="279422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180</xdr:row>
      <xdr:rowOff>24434</xdr:rowOff>
    </xdr:from>
    <xdr:to>
      <xdr:col>61</xdr:col>
      <xdr:colOff>151157</xdr:colOff>
      <xdr:row>181</xdr:row>
      <xdr:rowOff>106274</xdr:rowOff>
    </xdr:to>
    <xdr:sp macro="" textlink="">
      <xdr:nvSpPr>
        <xdr:cNvPr id="110" name="フローチャート: 代替処理 109">
          <a:extLst>
            <a:ext uri="{FF2B5EF4-FFF2-40B4-BE49-F238E27FC236}">
              <a16:creationId xmlns:a16="http://schemas.microsoft.com/office/drawing/2014/main" id="{6255F518-3BB8-49E3-8D89-6EB70C28238D}"/>
            </a:ext>
          </a:extLst>
        </xdr:cNvPr>
        <xdr:cNvSpPr/>
      </xdr:nvSpPr>
      <xdr:spPr bwMode="auto">
        <a:xfrm>
          <a:off x="9809508" y="279422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11</xdr:col>
      <xdr:colOff>38100</xdr:colOff>
      <xdr:row>155</xdr:row>
      <xdr:rowOff>9525</xdr:rowOff>
    </xdr:from>
    <xdr:ext cx="121422" cy="146538"/>
    <xdr:pic>
      <xdr:nvPicPr>
        <xdr:cNvPr id="111" name="図 110">
          <a:extLst>
            <a:ext uri="{FF2B5EF4-FFF2-40B4-BE49-F238E27FC236}">
              <a16:creationId xmlns:a16="http://schemas.microsoft.com/office/drawing/2014/main" id="{E7D35139-90D7-4507-89A8-61B0BD091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41173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12" name="図 111">
          <a:extLst>
            <a:ext uri="{FF2B5EF4-FFF2-40B4-BE49-F238E27FC236}">
              <a16:creationId xmlns:a16="http://schemas.microsoft.com/office/drawing/2014/main" id="{EFB1CA56-B87F-4FC9-9B81-3DA5EB8AC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13" name="図 112">
          <a:extLst>
            <a:ext uri="{FF2B5EF4-FFF2-40B4-BE49-F238E27FC236}">
              <a16:creationId xmlns:a16="http://schemas.microsoft.com/office/drawing/2014/main" id="{B11A9FC0-E63A-4F44-8F34-6AE9A332E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14" name="図 113">
          <a:extLst>
            <a:ext uri="{FF2B5EF4-FFF2-40B4-BE49-F238E27FC236}">
              <a16:creationId xmlns:a16="http://schemas.microsoft.com/office/drawing/2014/main" id="{4E869F7A-2BD1-4E32-93AA-2C00FCE8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15" name="図 114">
          <a:extLst>
            <a:ext uri="{FF2B5EF4-FFF2-40B4-BE49-F238E27FC236}">
              <a16:creationId xmlns:a16="http://schemas.microsoft.com/office/drawing/2014/main" id="{C2F8DC73-B1D6-42A7-B9E5-D0D5FA84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16" name="図 115">
          <a:extLst>
            <a:ext uri="{FF2B5EF4-FFF2-40B4-BE49-F238E27FC236}">
              <a16:creationId xmlns:a16="http://schemas.microsoft.com/office/drawing/2014/main" id="{D12BEF71-1281-4E14-A160-DA4C9EAE7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7D6D8CE2-D3C1-4C1F-AB7D-89B86B11A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18" name="図 117">
          <a:extLst>
            <a:ext uri="{FF2B5EF4-FFF2-40B4-BE49-F238E27FC236}">
              <a16:creationId xmlns:a16="http://schemas.microsoft.com/office/drawing/2014/main" id="{3B2202B7-7178-4079-8657-FF66D3E25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19" name="図 118">
          <a:extLst>
            <a:ext uri="{FF2B5EF4-FFF2-40B4-BE49-F238E27FC236}">
              <a16:creationId xmlns:a16="http://schemas.microsoft.com/office/drawing/2014/main" id="{C6618836-DA2E-463C-A527-1453695D0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20" name="図 119">
          <a:extLst>
            <a:ext uri="{FF2B5EF4-FFF2-40B4-BE49-F238E27FC236}">
              <a16:creationId xmlns:a16="http://schemas.microsoft.com/office/drawing/2014/main" id="{51018AAF-65A5-47AF-AC02-E931FFF4B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161</xdr:row>
      <xdr:rowOff>7327</xdr:rowOff>
    </xdr:from>
    <xdr:ext cx="154736" cy="144000"/>
    <xdr:pic>
      <xdr:nvPicPr>
        <xdr:cNvPr id="121" name="図 120">
          <a:extLst>
            <a:ext uri="{FF2B5EF4-FFF2-40B4-BE49-F238E27FC236}">
              <a16:creationId xmlns:a16="http://schemas.microsoft.com/office/drawing/2014/main" id="{090CFE7C-F6B0-4A3C-B80A-98FF4D047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22" name="図 121">
          <a:extLst>
            <a:ext uri="{FF2B5EF4-FFF2-40B4-BE49-F238E27FC236}">
              <a16:creationId xmlns:a16="http://schemas.microsoft.com/office/drawing/2014/main" id="{3DA4F61D-4147-4900-995B-6F9090253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161</xdr:row>
      <xdr:rowOff>7327</xdr:rowOff>
    </xdr:from>
    <xdr:ext cx="154736" cy="144000"/>
    <xdr:pic>
      <xdr:nvPicPr>
        <xdr:cNvPr id="123" name="図 122">
          <a:extLst>
            <a:ext uri="{FF2B5EF4-FFF2-40B4-BE49-F238E27FC236}">
              <a16:creationId xmlns:a16="http://schemas.microsoft.com/office/drawing/2014/main" id="{26389641-6179-433F-89C0-0075656E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24" name="図 123">
          <a:extLst>
            <a:ext uri="{FF2B5EF4-FFF2-40B4-BE49-F238E27FC236}">
              <a16:creationId xmlns:a16="http://schemas.microsoft.com/office/drawing/2014/main" id="{29F28B62-2B38-4D75-B352-45048B9A2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6D8D79E3-919C-4413-AE81-035A1C9B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26" name="図 125">
          <a:extLst>
            <a:ext uri="{FF2B5EF4-FFF2-40B4-BE49-F238E27FC236}">
              <a16:creationId xmlns:a16="http://schemas.microsoft.com/office/drawing/2014/main" id="{62B942A8-8265-4092-A9D1-57ED8A86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16DF7B2F-B451-46BD-87A9-FEA0FFB6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28" name="図 127">
          <a:extLst>
            <a:ext uri="{FF2B5EF4-FFF2-40B4-BE49-F238E27FC236}">
              <a16:creationId xmlns:a16="http://schemas.microsoft.com/office/drawing/2014/main" id="{A0605DEB-4132-4786-90B9-78EED0E49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1B5B98CC-320C-45C0-8C91-767FD736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2F2968ED-20DC-4F07-AC79-BFC874F3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14D473B3-7FBC-4B9E-8849-977A3E57F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61F6C6B2-325D-4E0F-A177-51792E12F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161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BA8D5990-B079-4363-AEEF-A6CABFBE6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AB3A67CB-568D-4631-A4DE-A9DA4A9D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161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8FD01035-9FE0-4EBD-82C7-9CBB6FFF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E3AB0D10-BBE0-4671-98EC-B10FBD5B5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98645D87-2E62-4E73-844E-31B2F4CF1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8" name="図 137">
          <a:extLst>
            <a:ext uri="{FF2B5EF4-FFF2-40B4-BE49-F238E27FC236}">
              <a16:creationId xmlns:a16="http://schemas.microsoft.com/office/drawing/2014/main" id="{FF9BFFBB-2414-43B6-BF5A-70DC682F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39" name="図 138">
          <a:extLst>
            <a:ext uri="{FF2B5EF4-FFF2-40B4-BE49-F238E27FC236}">
              <a16:creationId xmlns:a16="http://schemas.microsoft.com/office/drawing/2014/main" id="{27B0DCBA-F60F-40D2-A1B2-E4508E12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0" name="図 139">
          <a:extLst>
            <a:ext uri="{FF2B5EF4-FFF2-40B4-BE49-F238E27FC236}">
              <a16:creationId xmlns:a16="http://schemas.microsoft.com/office/drawing/2014/main" id="{D0B302C1-0A4D-4DC1-B737-BE0FC8FC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1" name="図 140">
          <a:extLst>
            <a:ext uri="{FF2B5EF4-FFF2-40B4-BE49-F238E27FC236}">
              <a16:creationId xmlns:a16="http://schemas.microsoft.com/office/drawing/2014/main" id="{DCC7FBAD-E800-4B86-9A76-840393734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2" name="図 141">
          <a:extLst>
            <a:ext uri="{FF2B5EF4-FFF2-40B4-BE49-F238E27FC236}">
              <a16:creationId xmlns:a16="http://schemas.microsoft.com/office/drawing/2014/main" id="{1A346D4C-F44C-4A45-A30E-E8756E7C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161</xdr:row>
      <xdr:rowOff>7327</xdr:rowOff>
    </xdr:from>
    <xdr:ext cx="154736" cy="144000"/>
    <xdr:pic>
      <xdr:nvPicPr>
        <xdr:cNvPr id="143" name="図 142">
          <a:extLst>
            <a:ext uri="{FF2B5EF4-FFF2-40B4-BE49-F238E27FC236}">
              <a16:creationId xmlns:a16="http://schemas.microsoft.com/office/drawing/2014/main" id="{D85D59A2-8C11-4F6A-9678-DF1BDAE72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4" name="図 143">
          <a:extLst>
            <a:ext uri="{FF2B5EF4-FFF2-40B4-BE49-F238E27FC236}">
              <a16:creationId xmlns:a16="http://schemas.microsoft.com/office/drawing/2014/main" id="{F5BB5F17-6D68-4594-A270-3EE5253CC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5" name="図 144">
          <a:extLst>
            <a:ext uri="{FF2B5EF4-FFF2-40B4-BE49-F238E27FC236}">
              <a16:creationId xmlns:a16="http://schemas.microsoft.com/office/drawing/2014/main" id="{899CED6D-FF63-40E3-983B-78C7CF3A0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6" name="図 145">
          <a:extLst>
            <a:ext uri="{FF2B5EF4-FFF2-40B4-BE49-F238E27FC236}">
              <a16:creationId xmlns:a16="http://schemas.microsoft.com/office/drawing/2014/main" id="{CE359F1B-51D0-459B-8F06-5B9A7BBF6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161</xdr:row>
      <xdr:rowOff>7327</xdr:rowOff>
    </xdr:from>
    <xdr:ext cx="154736" cy="144000"/>
    <xdr:pic>
      <xdr:nvPicPr>
        <xdr:cNvPr id="147" name="図 146">
          <a:extLst>
            <a:ext uri="{FF2B5EF4-FFF2-40B4-BE49-F238E27FC236}">
              <a16:creationId xmlns:a16="http://schemas.microsoft.com/office/drawing/2014/main" id="{BC037494-2DF7-4346-AD61-DF528F21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153</xdr:row>
      <xdr:rowOff>7327</xdr:rowOff>
    </xdr:from>
    <xdr:ext cx="154736" cy="144000"/>
    <xdr:pic>
      <xdr:nvPicPr>
        <xdr:cNvPr id="148" name="図 147">
          <a:extLst>
            <a:ext uri="{FF2B5EF4-FFF2-40B4-BE49-F238E27FC236}">
              <a16:creationId xmlns:a16="http://schemas.microsoft.com/office/drawing/2014/main" id="{F6178692-9FD1-4DAC-A724-D55562405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810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153</xdr:row>
      <xdr:rowOff>7327</xdr:rowOff>
    </xdr:from>
    <xdr:ext cx="154736" cy="144000"/>
    <xdr:pic>
      <xdr:nvPicPr>
        <xdr:cNvPr id="149" name="図 148">
          <a:extLst>
            <a:ext uri="{FF2B5EF4-FFF2-40B4-BE49-F238E27FC236}">
              <a16:creationId xmlns:a16="http://schemas.microsoft.com/office/drawing/2014/main" id="{58ADAB29-C08E-44EA-B0B2-C426BA1A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810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168</xdr:row>
      <xdr:rowOff>23648</xdr:rowOff>
    </xdr:from>
    <xdr:ext cx="121422" cy="146538"/>
    <xdr:pic>
      <xdr:nvPicPr>
        <xdr:cNvPr id="150" name="図 149">
          <a:extLst>
            <a:ext uri="{FF2B5EF4-FFF2-40B4-BE49-F238E27FC236}">
              <a16:creationId xmlns:a16="http://schemas.microsoft.com/office/drawing/2014/main" id="{E60C1FC7-06A3-44D5-A5BB-4D46C925F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61126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142</xdr:row>
      <xdr:rowOff>91109</xdr:rowOff>
    </xdr:from>
    <xdr:to>
      <xdr:col>52</xdr:col>
      <xdr:colOff>49696</xdr:colOff>
      <xdr:row>156</xdr:row>
      <xdr:rowOff>57978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0DEEC9D0-A007-4B18-AD03-31E92AFDECC9}"/>
            </a:ext>
          </a:extLst>
        </xdr:cNvPr>
        <xdr:cNvSpPr/>
      </xdr:nvSpPr>
      <xdr:spPr bwMode="auto">
        <a:xfrm>
          <a:off x="419100" y="2221768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168</xdr:row>
      <xdr:rowOff>14123</xdr:rowOff>
    </xdr:from>
    <xdr:ext cx="121422" cy="146538"/>
    <xdr:pic>
      <xdr:nvPicPr>
        <xdr:cNvPr id="152" name="図 151">
          <a:extLst>
            <a:ext uri="{FF2B5EF4-FFF2-40B4-BE49-F238E27FC236}">
              <a16:creationId xmlns:a16="http://schemas.microsoft.com/office/drawing/2014/main" id="{E3CF67A1-07A5-4B19-B7A3-E850AABB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1030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180</xdr:row>
      <xdr:rowOff>24434</xdr:rowOff>
    </xdr:from>
    <xdr:to>
      <xdr:col>56</xdr:col>
      <xdr:colOff>13997</xdr:colOff>
      <xdr:row>181</xdr:row>
      <xdr:rowOff>106274</xdr:rowOff>
    </xdr:to>
    <xdr:sp macro="" textlink="">
      <xdr:nvSpPr>
        <xdr:cNvPr id="153" name="フローチャート: 代替処理 152">
          <a:extLst>
            <a:ext uri="{FF2B5EF4-FFF2-40B4-BE49-F238E27FC236}">
              <a16:creationId xmlns:a16="http://schemas.microsoft.com/office/drawing/2014/main" id="{FFF3B913-7B64-4864-8852-9F221EFB7B05}"/>
            </a:ext>
          </a:extLst>
        </xdr:cNvPr>
        <xdr:cNvSpPr/>
      </xdr:nvSpPr>
      <xdr:spPr bwMode="auto">
        <a:xfrm>
          <a:off x="8853198" y="279422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143</xdr:row>
      <xdr:rowOff>9525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2DD78FCF-3714-410A-B110-6F6FC9FB4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22885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170</xdr:row>
      <xdr:rowOff>147473</xdr:rowOff>
    </xdr:from>
    <xdr:ext cx="121422" cy="146538"/>
    <xdr:pic>
      <xdr:nvPicPr>
        <xdr:cNvPr id="155" name="図 154">
          <a:extLst>
            <a:ext uri="{FF2B5EF4-FFF2-40B4-BE49-F238E27FC236}">
              <a16:creationId xmlns:a16="http://schemas.microsoft.com/office/drawing/2014/main" id="{DF61F447-E23B-4ADA-9073-B2B48277F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12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168</xdr:row>
      <xdr:rowOff>23648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FC4D63A5-D6C7-489E-8310-FCB52A7F7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61126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0</xdr:rowOff>
    </xdr:from>
    <xdr:ext cx="154736" cy="144000"/>
    <xdr:pic>
      <xdr:nvPicPr>
        <xdr:cNvPr id="157" name="図 156">
          <a:extLst>
            <a:ext uri="{FF2B5EF4-FFF2-40B4-BE49-F238E27FC236}">
              <a16:creationId xmlns:a16="http://schemas.microsoft.com/office/drawing/2014/main" id="{C0886FFE-3E7F-466D-8E82-602EA210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61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143</xdr:row>
      <xdr:rowOff>25619</xdr:rowOff>
    </xdr:from>
    <xdr:ext cx="144000" cy="144000"/>
    <xdr:pic>
      <xdr:nvPicPr>
        <xdr:cNvPr id="158" name="図 157">
          <a:extLst>
            <a:ext uri="{FF2B5EF4-FFF2-40B4-BE49-F238E27FC236}">
              <a16:creationId xmlns:a16="http://schemas.microsoft.com/office/drawing/2014/main" id="{FC9AEEFD-D08E-4945-BA90-9F96E9F124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2230459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147</xdr:row>
      <xdr:rowOff>6569</xdr:rowOff>
    </xdr:from>
    <xdr:ext cx="144000" cy="144000"/>
    <xdr:pic>
      <xdr:nvPicPr>
        <xdr:cNvPr id="159" name="図 158">
          <a:extLst>
            <a:ext uri="{FF2B5EF4-FFF2-40B4-BE49-F238E27FC236}">
              <a16:creationId xmlns:a16="http://schemas.microsoft.com/office/drawing/2014/main" id="{64532A0B-CDD9-45B5-B395-629A72B87C7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22895144"/>
          <a:ext cx="144000" cy="144000"/>
        </a:xfrm>
        <a:prstGeom prst="rect">
          <a:avLst/>
        </a:prstGeom>
      </xdr:spPr>
    </xdr:pic>
    <xdr:clientData/>
  </xdr:oneCellAnchor>
  <xdr:oneCellAnchor>
    <xdr:from>
      <xdr:col>32</xdr:col>
      <xdr:colOff>64377</xdr:colOff>
      <xdr:row>110</xdr:row>
      <xdr:rowOff>0</xdr:rowOff>
    </xdr:from>
    <xdr:ext cx="121422" cy="146538"/>
    <xdr:pic>
      <xdr:nvPicPr>
        <xdr:cNvPr id="160" name="図 159">
          <a:extLst>
            <a:ext uri="{FF2B5EF4-FFF2-40B4-BE49-F238E27FC236}">
              <a16:creationId xmlns:a16="http://schemas.microsoft.com/office/drawing/2014/main" id="{B866EC3B-703C-4D5E-A969-1DDD760CC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402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61" name="図 160">
          <a:extLst>
            <a:ext uri="{FF2B5EF4-FFF2-40B4-BE49-F238E27FC236}">
              <a16:creationId xmlns:a16="http://schemas.microsoft.com/office/drawing/2014/main" id="{A6E2EC3D-D513-4F41-8426-A63F077D5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110</xdr:row>
      <xdr:rowOff>0</xdr:rowOff>
    </xdr:from>
    <xdr:ext cx="121422" cy="146538"/>
    <xdr:pic>
      <xdr:nvPicPr>
        <xdr:cNvPr id="162" name="図 161">
          <a:extLst>
            <a:ext uri="{FF2B5EF4-FFF2-40B4-BE49-F238E27FC236}">
              <a16:creationId xmlns:a16="http://schemas.microsoft.com/office/drawing/2014/main" id="{065AF7EF-180E-460F-9CBB-FBA26438B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402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63" name="図 162">
          <a:extLst>
            <a:ext uri="{FF2B5EF4-FFF2-40B4-BE49-F238E27FC236}">
              <a16:creationId xmlns:a16="http://schemas.microsoft.com/office/drawing/2014/main" id="{D8FE2D78-F439-435B-A10F-674BEEA7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64" name="図 163">
          <a:extLst>
            <a:ext uri="{FF2B5EF4-FFF2-40B4-BE49-F238E27FC236}">
              <a16:creationId xmlns:a16="http://schemas.microsoft.com/office/drawing/2014/main" id="{82F87B4A-0E16-4E3A-9184-B098D33A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110</xdr:row>
      <xdr:rowOff>14123</xdr:rowOff>
    </xdr:from>
    <xdr:ext cx="121422" cy="146538"/>
    <xdr:pic>
      <xdr:nvPicPr>
        <xdr:cNvPr id="165" name="図 164">
          <a:extLst>
            <a:ext uri="{FF2B5EF4-FFF2-40B4-BE49-F238E27FC236}">
              <a16:creationId xmlns:a16="http://schemas.microsoft.com/office/drawing/2014/main" id="{EBFCD0D3-3435-4F3D-BF7B-41DE4312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7054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171</xdr:row>
      <xdr:rowOff>0</xdr:rowOff>
    </xdr:from>
    <xdr:ext cx="121422" cy="146538"/>
    <xdr:pic>
      <xdr:nvPicPr>
        <xdr:cNvPr id="166" name="図 165">
          <a:extLst>
            <a:ext uri="{FF2B5EF4-FFF2-40B4-BE49-F238E27FC236}">
              <a16:creationId xmlns:a16="http://schemas.microsoft.com/office/drawing/2014/main" id="{9D422062-82DA-43E6-9F6F-FD0561CC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61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7" name="図 166">
          <a:extLst>
            <a:ext uri="{FF2B5EF4-FFF2-40B4-BE49-F238E27FC236}">
              <a16:creationId xmlns:a16="http://schemas.microsoft.com/office/drawing/2014/main" id="{72E9E6C2-55BD-4877-A751-FD7D4676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171</xdr:row>
      <xdr:rowOff>0</xdr:rowOff>
    </xdr:from>
    <xdr:ext cx="121422" cy="146538"/>
    <xdr:pic>
      <xdr:nvPicPr>
        <xdr:cNvPr id="168" name="図 167">
          <a:extLst>
            <a:ext uri="{FF2B5EF4-FFF2-40B4-BE49-F238E27FC236}">
              <a16:creationId xmlns:a16="http://schemas.microsoft.com/office/drawing/2014/main" id="{E0A78DD2-BACF-4314-80E2-74025A997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61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9" name="図 168">
          <a:extLst>
            <a:ext uri="{FF2B5EF4-FFF2-40B4-BE49-F238E27FC236}">
              <a16:creationId xmlns:a16="http://schemas.microsoft.com/office/drawing/2014/main" id="{A4537E3E-A46C-4619-8CC8-E2FC06C0A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171</xdr:row>
      <xdr:rowOff>0</xdr:rowOff>
    </xdr:from>
    <xdr:ext cx="121422" cy="146538"/>
    <xdr:pic>
      <xdr:nvPicPr>
        <xdr:cNvPr id="170" name="図 169">
          <a:extLst>
            <a:ext uri="{FF2B5EF4-FFF2-40B4-BE49-F238E27FC236}">
              <a16:creationId xmlns:a16="http://schemas.microsoft.com/office/drawing/2014/main" id="{B392FDA5-26BD-4434-A3DF-9BE66BA9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61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71" name="図 170">
          <a:extLst>
            <a:ext uri="{FF2B5EF4-FFF2-40B4-BE49-F238E27FC236}">
              <a16:creationId xmlns:a16="http://schemas.microsoft.com/office/drawing/2014/main" id="{10A6AA69-EDC2-4804-B8A3-B1A1D9A5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72" name="図 171">
          <a:extLst>
            <a:ext uri="{FF2B5EF4-FFF2-40B4-BE49-F238E27FC236}">
              <a16:creationId xmlns:a16="http://schemas.microsoft.com/office/drawing/2014/main" id="{CDCD7914-068B-4F1D-9BE8-904B86D9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171</xdr:row>
      <xdr:rowOff>14123</xdr:rowOff>
    </xdr:from>
    <xdr:ext cx="121422" cy="146538"/>
    <xdr:pic>
      <xdr:nvPicPr>
        <xdr:cNvPr id="173" name="図 172">
          <a:extLst>
            <a:ext uri="{FF2B5EF4-FFF2-40B4-BE49-F238E27FC236}">
              <a16:creationId xmlns:a16="http://schemas.microsoft.com/office/drawing/2014/main" id="{3B96912A-CEDA-46E5-83C6-279CDE1BE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560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33DDBBA4-CAA7-4AF3-B5F1-17F1BDFA1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320F012A-B63B-4497-853C-995B9DD4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D4CE821E-9317-4B99-89C8-9007E4CE0820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23E45334-6362-4764-A8B0-7B1C2137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51EC829B-6157-4814-95B6-E49B335E3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E448B7F8-6E84-43A1-ABC6-12830CA8B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13197A88-447E-4896-9C39-7A49102F6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4A0EF14E-11FB-476F-B6B8-05811E2214A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9E3C734A-CDF0-404E-8C8F-8B98E5C60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34412887-0AE6-4BA3-9ECA-4CE0CF4F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D28DDFDB-AE59-411A-8A78-4F2630EA3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8311B7CC-ADE6-4031-9794-9459868F7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56ABCADE-C42C-4D43-A0C5-ECC4D2C18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1AEEAEC3-B34F-4B95-9A19-D9E409AC6D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E4C434D3-A05C-4F6E-AB18-6F5DF848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A411C990-C7CE-4589-B400-0997D07572F0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3CEE60B7-59AB-49B3-AADA-078D56085117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5764D0C4-4F4C-44E5-AB80-1FC6BD8D7122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1CAC3EA7-5A68-4379-98BF-B6BE95FF6120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D8084F41-8E40-47D6-8BDA-3A2CCE6A3096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6BEDEE86-47DA-45A0-8CF2-D9955134C770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98E981BF-C982-4728-8E3D-0D071074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3C22AA8D-C4C1-4BCB-ACCD-6B237DD6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5" name="図 24">
          <a:extLst>
            <a:ext uri="{FF2B5EF4-FFF2-40B4-BE49-F238E27FC236}">
              <a16:creationId xmlns:a16="http://schemas.microsoft.com/office/drawing/2014/main" id="{7B05BEE9-76B6-4FDD-9544-29FF29D25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513C2341-20D3-4738-8659-773D3B85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27" name="図 26">
          <a:extLst>
            <a:ext uri="{FF2B5EF4-FFF2-40B4-BE49-F238E27FC236}">
              <a16:creationId xmlns:a16="http://schemas.microsoft.com/office/drawing/2014/main" id="{A82F5E2D-D9B7-413A-B6DD-844127CF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57C3D611-4A3D-474A-8C67-6C0666D63A5E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29" name="図 28">
          <a:extLst>
            <a:ext uri="{FF2B5EF4-FFF2-40B4-BE49-F238E27FC236}">
              <a16:creationId xmlns:a16="http://schemas.microsoft.com/office/drawing/2014/main" id="{88B35642-BF0F-4054-937F-A2C7399FF1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0" name="図 29">
          <a:extLst>
            <a:ext uri="{FF2B5EF4-FFF2-40B4-BE49-F238E27FC236}">
              <a16:creationId xmlns:a16="http://schemas.microsoft.com/office/drawing/2014/main" id="{72FEA40B-B375-4957-A49E-74D78BB0CEC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1" name="図 30">
          <a:extLst>
            <a:ext uri="{FF2B5EF4-FFF2-40B4-BE49-F238E27FC236}">
              <a16:creationId xmlns:a16="http://schemas.microsoft.com/office/drawing/2014/main" id="{C45677B1-B616-49EA-8470-9630B09FC81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2" name="図 31">
          <a:extLst>
            <a:ext uri="{FF2B5EF4-FFF2-40B4-BE49-F238E27FC236}">
              <a16:creationId xmlns:a16="http://schemas.microsoft.com/office/drawing/2014/main" id="{57C125A0-1BDF-40D1-A386-59C18BAAD17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3E119D11-506C-4E19-99A4-5EC592780B12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4" name="図 33">
          <a:extLst>
            <a:ext uri="{FF2B5EF4-FFF2-40B4-BE49-F238E27FC236}">
              <a16:creationId xmlns:a16="http://schemas.microsoft.com/office/drawing/2014/main" id="{EFEFB37C-B934-4FD2-A004-79F1D0920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35" name="図 34">
          <a:extLst>
            <a:ext uri="{FF2B5EF4-FFF2-40B4-BE49-F238E27FC236}">
              <a16:creationId xmlns:a16="http://schemas.microsoft.com/office/drawing/2014/main" id="{0CD18BBB-B910-41A2-8644-65AF4A36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36" name="図 35">
          <a:extLst>
            <a:ext uri="{FF2B5EF4-FFF2-40B4-BE49-F238E27FC236}">
              <a16:creationId xmlns:a16="http://schemas.microsoft.com/office/drawing/2014/main" id="{A5C03B95-D173-42C1-97DE-B61137C8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37" name="図 36">
          <a:extLst>
            <a:ext uri="{FF2B5EF4-FFF2-40B4-BE49-F238E27FC236}">
              <a16:creationId xmlns:a16="http://schemas.microsoft.com/office/drawing/2014/main" id="{0312D86F-FC7D-415A-BDE3-C0DCD83330F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38" name="図 37">
          <a:extLst>
            <a:ext uri="{FF2B5EF4-FFF2-40B4-BE49-F238E27FC236}">
              <a16:creationId xmlns:a16="http://schemas.microsoft.com/office/drawing/2014/main" id="{B03B8077-60FE-40A1-970F-7528EC253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39" name="図 38">
          <a:extLst>
            <a:ext uri="{FF2B5EF4-FFF2-40B4-BE49-F238E27FC236}">
              <a16:creationId xmlns:a16="http://schemas.microsoft.com/office/drawing/2014/main" id="{A573F618-EFE7-4BB4-B391-778AA16A10B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0" name="図 39">
          <a:extLst>
            <a:ext uri="{FF2B5EF4-FFF2-40B4-BE49-F238E27FC236}">
              <a16:creationId xmlns:a16="http://schemas.microsoft.com/office/drawing/2014/main" id="{08EAF8EB-0353-4123-B625-3C9EE89F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1" name="フローチャート: 代替処理 40">
          <a:extLst>
            <a:ext uri="{FF2B5EF4-FFF2-40B4-BE49-F238E27FC236}">
              <a16:creationId xmlns:a16="http://schemas.microsoft.com/office/drawing/2014/main" id="{19438D77-6C78-4603-B233-2BEE110F7E78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2" name="フローチャート: 代替処理 41">
          <a:extLst>
            <a:ext uri="{FF2B5EF4-FFF2-40B4-BE49-F238E27FC236}">
              <a16:creationId xmlns:a16="http://schemas.microsoft.com/office/drawing/2014/main" id="{691494CE-E256-440D-88A0-79548EFF2E04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16232968-54B8-43D3-A183-1C3B9F9C0423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4" name="フローチャート: 代替処理 43">
          <a:extLst>
            <a:ext uri="{FF2B5EF4-FFF2-40B4-BE49-F238E27FC236}">
              <a16:creationId xmlns:a16="http://schemas.microsoft.com/office/drawing/2014/main" id="{72B41BA7-FA64-4F8D-9068-DFC7CC7F5787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45" name="フローチャート: 代替処理 44">
          <a:extLst>
            <a:ext uri="{FF2B5EF4-FFF2-40B4-BE49-F238E27FC236}">
              <a16:creationId xmlns:a16="http://schemas.microsoft.com/office/drawing/2014/main" id="{FAFD2A80-D545-4221-AD81-872D9C77398F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A4D77DFF-395B-4E1A-81C8-07B5C6DDFDE6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47" name="図 46">
          <a:extLst>
            <a:ext uri="{FF2B5EF4-FFF2-40B4-BE49-F238E27FC236}">
              <a16:creationId xmlns:a16="http://schemas.microsoft.com/office/drawing/2014/main" id="{E64F3503-D5FF-4F5F-8E9B-21A5D974B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48" name="図 47">
          <a:extLst>
            <a:ext uri="{FF2B5EF4-FFF2-40B4-BE49-F238E27FC236}">
              <a16:creationId xmlns:a16="http://schemas.microsoft.com/office/drawing/2014/main" id="{8B9CD983-1C72-4E94-8452-FA90D181A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49" name="図 48">
          <a:extLst>
            <a:ext uri="{FF2B5EF4-FFF2-40B4-BE49-F238E27FC236}">
              <a16:creationId xmlns:a16="http://schemas.microsoft.com/office/drawing/2014/main" id="{166150DA-C842-4A14-BC12-108B61025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0" name="図 49">
          <a:extLst>
            <a:ext uri="{FF2B5EF4-FFF2-40B4-BE49-F238E27FC236}">
              <a16:creationId xmlns:a16="http://schemas.microsoft.com/office/drawing/2014/main" id="{24C93A07-7B85-4018-AC70-1A99B7E73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1" name="図 50">
          <a:extLst>
            <a:ext uri="{FF2B5EF4-FFF2-40B4-BE49-F238E27FC236}">
              <a16:creationId xmlns:a16="http://schemas.microsoft.com/office/drawing/2014/main" id="{E0432190-548C-4DB1-9C71-BE5432D7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2" name="フローチャート: 代替処理 51">
          <a:extLst>
            <a:ext uri="{FF2B5EF4-FFF2-40B4-BE49-F238E27FC236}">
              <a16:creationId xmlns:a16="http://schemas.microsoft.com/office/drawing/2014/main" id="{90D1BD95-AFD7-49BC-BCE5-AFA123F9A945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3" name="フローチャート: 代替処理 52">
          <a:extLst>
            <a:ext uri="{FF2B5EF4-FFF2-40B4-BE49-F238E27FC236}">
              <a16:creationId xmlns:a16="http://schemas.microsoft.com/office/drawing/2014/main" id="{E561B9E8-7459-4624-BC75-8C5F2195F481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4" name="図 53">
          <a:extLst>
            <a:ext uri="{FF2B5EF4-FFF2-40B4-BE49-F238E27FC236}">
              <a16:creationId xmlns:a16="http://schemas.microsoft.com/office/drawing/2014/main" id="{0E16DB61-8F65-4563-A3DD-E52F1C267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55" name="図 54">
          <a:extLst>
            <a:ext uri="{FF2B5EF4-FFF2-40B4-BE49-F238E27FC236}">
              <a16:creationId xmlns:a16="http://schemas.microsoft.com/office/drawing/2014/main" id="{FACEBA5A-3E1F-43A4-ACD3-89DCEEF18E5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63</xdr:col>
      <xdr:colOff>133350</xdr:colOff>
      <xdr:row>59</xdr:row>
      <xdr:rowOff>0</xdr:rowOff>
    </xdr:from>
    <xdr:to>
      <xdr:col>82</xdr:col>
      <xdr:colOff>76200</xdr:colOff>
      <xdr:row>64</xdr:row>
      <xdr:rowOff>0</xdr:rowOff>
    </xdr:to>
    <xdr:sp macro="" textlink="">
      <xdr:nvSpPr>
        <xdr:cNvPr id="56" name="吹き出し: 四角形 55">
          <a:extLst>
            <a:ext uri="{FF2B5EF4-FFF2-40B4-BE49-F238E27FC236}">
              <a16:creationId xmlns:a16="http://schemas.microsoft.com/office/drawing/2014/main" id="{466D109D-26E8-4D72-9FFB-383EC77F5A29}"/>
            </a:ext>
          </a:extLst>
        </xdr:cNvPr>
        <xdr:cNvSpPr/>
      </xdr:nvSpPr>
      <xdr:spPr>
        <a:xfrm>
          <a:off x="10887075" y="9058275"/>
          <a:ext cx="3200400" cy="762000"/>
        </a:xfrm>
        <a:prstGeom prst="wedgeRectCallout">
          <a:avLst>
            <a:gd name="adj1" fmla="val -114583"/>
            <a:gd name="adj2" fmla="val -4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受注区分で加工品以外を選択時、受注明細が非表示となる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120</xdr:row>
      <xdr:rowOff>24434</xdr:rowOff>
    </xdr:from>
    <xdr:to>
      <xdr:col>7</xdr:col>
      <xdr:colOff>65432</xdr:colOff>
      <xdr:row>121</xdr:row>
      <xdr:rowOff>106274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119B0C92-0304-4D9F-B817-6FA9CF45E252}"/>
            </a:ext>
          </a:extLst>
        </xdr:cNvPr>
        <xdr:cNvSpPr/>
      </xdr:nvSpPr>
      <xdr:spPr bwMode="auto">
        <a:xfrm>
          <a:off x="522633" y="185886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120</xdr:row>
      <xdr:rowOff>24434</xdr:rowOff>
    </xdr:from>
    <xdr:to>
      <xdr:col>61</xdr:col>
      <xdr:colOff>151157</xdr:colOff>
      <xdr:row>121</xdr:row>
      <xdr:rowOff>106274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B002E956-99D6-4064-9A56-990F2FDDC23C}"/>
            </a:ext>
          </a:extLst>
        </xdr:cNvPr>
        <xdr:cNvSpPr/>
      </xdr:nvSpPr>
      <xdr:spPr bwMode="auto">
        <a:xfrm>
          <a:off x="9809508" y="185886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11</xdr:col>
      <xdr:colOff>38100</xdr:colOff>
      <xdr:row>95</xdr:row>
      <xdr:rowOff>9525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901B9A6C-6D95-4E9C-B14E-495B2FB43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7637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16E53AB9-D8DF-4575-8EE1-8C3C39012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61" name="図 60">
          <a:extLst>
            <a:ext uri="{FF2B5EF4-FFF2-40B4-BE49-F238E27FC236}">
              <a16:creationId xmlns:a16="http://schemas.microsoft.com/office/drawing/2014/main" id="{EDF15183-4EF0-403C-9127-3465A8728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2" name="図 61">
          <a:extLst>
            <a:ext uri="{FF2B5EF4-FFF2-40B4-BE49-F238E27FC236}">
              <a16:creationId xmlns:a16="http://schemas.microsoft.com/office/drawing/2014/main" id="{80CFBE03-2E33-4597-B150-422B9B802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63" name="図 62">
          <a:extLst>
            <a:ext uri="{FF2B5EF4-FFF2-40B4-BE49-F238E27FC236}">
              <a16:creationId xmlns:a16="http://schemas.microsoft.com/office/drawing/2014/main" id="{E90AF001-CB1A-46D3-AEE6-B2B8C555E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115B6DF0-97E8-415B-8ADB-3AB407049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AD087DEF-90DE-4D49-8AA7-B7E0AA05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A2DBC8A9-CB56-4ADD-B6C0-724EA41C8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101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C50DDFAD-C384-4555-9CB6-36A756DBF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1E9F686B-653A-43C5-973F-9CBD6F9F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101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4DDFF4D2-7ED1-4BB2-83DA-03F75765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908FE4DF-6740-47EA-A3E9-FB4E648B8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101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DB237FF8-F769-4AFD-9A4E-4F4123C8B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E25291AE-68E8-4CE6-9CDD-DB43C35A4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4A1EA06B-E6DC-44E3-998A-A8C8EAFFD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5D8B8C7C-63F0-47DE-9D23-9242519EA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5209E3E3-3A3C-435B-8AB2-44B1C651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3538D9B9-85E2-42AE-84A2-07D0A944A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F96DE308-BE07-439A-AFEC-E3F87529A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A592C596-8FE2-4CC3-A90E-1B534B1DF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101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96864047-0A5B-4650-95A4-E5C4D0C3E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FEF794ED-B01F-4AB3-A5B8-A08712D4C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101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14E1B359-EE41-4C62-A255-F49427D4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CB9E6A84-57EB-4385-8641-2B36B96C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101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E1207625-3200-47C4-81EC-F3CBB701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C61D439C-F536-4128-986C-31DD7B55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272C32CA-C399-4E95-992C-E22E276DA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C341EBF5-8161-44D6-ADE5-BCFC9795A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101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883EF0AB-96B2-490E-8C83-4C5A05CC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A42CB990-639A-4B0A-A17C-13B6AC6AE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3F108420-697D-4467-9B5C-9DEEDF1E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910A473A-06E0-4E93-B021-907DE21E5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101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FD347DED-FB8D-48D7-AD46-FB97C337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4040A6BD-0F42-49BB-8B2F-8BC8E13FD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87170B92-57F7-41D9-869E-EBB5223F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6A9D73A1-3E0E-4A67-9138-8811209D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101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C3D3D3C8-3576-4D97-BAD1-C968427C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6759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93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6AECCCFB-8C3A-4882-8B8A-0B3CD3D2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456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93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BAF5C501-A226-4BD7-814C-1BF0A62BB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456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108</xdr:row>
      <xdr:rowOff>23648</xdr:rowOff>
    </xdr:from>
    <xdr:ext cx="121422" cy="146538"/>
    <xdr:pic>
      <xdr:nvPicPr>
        <xdr:cNvPr id="98" name="図 97">
          <a:extLst>
            <a:ext uri="{FF2B5EF4-FFF2-40B4-BE49-F238E27FC236}">
              <a16:creationId xmlns:a16="http://schemas.microsoft.com/office/drawing/2014/main" id="{6F51EE28-D672-41D1-AAEE-DF1E62EB6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7590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82</xdr:row>
      <xdr:rowOff>91109</xdr:rowOff>
    </xdr:from>
    <xdr:to>
      <xdr:col>52</xdr:col>
      <xdr:colOff>49696</xdr:colOff>
      <xdr:row>96</xdr:row>
      <xdr:rowOff>57978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8B804FCE-FD97-468D-A484-2C84A92E3F68}"/>
            </a:ext>
          </a:extLst>
        </xdr:cNvPr>
        <xdr:cNvSpPr/>
      </xdr:nvSpPr>
      <xdr:spPr bwMode="auto">
        <a:xfrm>
          <a:off x="419100" y="128641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108</xdr:row>
      <xdr:rowOff>14123</xdr:rowOff>
    </xdr:from>
    <xdr:ext cx="121422" cy="146538"/>
    <xdr:pic>
      <xdr:nvPicPr>
        <xdr:cNvPr id="100" name="図 99">
          <a:extLst>
            <a:ext uri="{FF2B5EF4-FFF2-40B4-BE49-F238E27FC236}">
              <a16:creationId xmlns:a16="http://schemas.microsoft.com/office/drawing/2014/main" id="{1CDBF828-B6C2-4A69-A8DE-13730FBF3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7495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111</xdr:row>
      <xdr:rowOff>0</xdr:rowOff>
    </xdr:from>
    <xdr:ext cx="121422" cy="146538"/>
    <xdr:pic>
      <xdr:nvPicPr>
        <xdr:cNvPr id="101" name="図 100">
          <a:extLst>
            <a:ext uri="{FF2B5EF4-FFF2-40B4-BE49-F238E27FC236}">
              <a16:creationId xmlns:a16="http://schemas.microsoft.com/office/drawing/2014/main" id="{1AE93223-BD31-47E5-A064-9CEF345FE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71926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120</xdr:row>
      <xdr:rowOff>24434</xdr:rowOff>
    </xdr:from>
    <xdr:to>
      <xdr:col>56</xdr:col>
      <xdr:colOff>13997</xdr:colOff>
      <xdr:row>121</xdr:row>
      <xdr:rowOff>106274</xdr:rowOff>
    </xdr:to>
    <xdr:sp macro="" textlink="">
      <xdr:nvSpPr>
        <xdr:cNvPr id="102" name="フローチャート: 代替処理 101">
          <a:extLst>
            <a:ext uri="{FF2B5EF4-FFF2-40B4-BE49-F238E27FC236}">
              <a16:creationId xmlns:a16="http://schemas.microsoft.com/office/drawing/2014/main" id="{79BCDA1C-2DEF-46D3-973F-E9C9C7E4C270}"/>
            </a:ext>
          </a:extLst>
        </xdr:cNvPr>
        <xdr:cNvSpPr/>
      </xdr:nvSpPr>
      <xdr:spPr bwMode="auto">
        <a:xfrm>
          <a:off x="8853198" y="185886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83</xdr:row>
      <xdr:rowOff>9525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F9EA3822-E754-4B5D-B10C-6ED1D82C8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9349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110</xdr:row>
      <xdr:rowOff>147473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C749AA89-162C-4531-B18B-18412B3D2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1876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108</xdr:row>
      <xdr:rowOff>23648</xdr:rowOff>
    </xdr:from>
    <xdr:ext cx="121422" cy="146538"/>
    <xdr:pic>
      <xdr:nvPicPr>
        <xdr:cNvPr id="105" name="図 104">
          <a:extLst>
            <a:ext uri="{FF2B5EF4-FFF2-40B4-BE49-F238E27FC236}">
              <a16:creationId xmlns:a16="http://schemas.microsoft.com/office/drawing/2014/main" id="{20E3AFBD-A283-4D4C-996A-697CF9A42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7590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111</xdr:row>
      <xdr:rowOff>3726</xdr:rowOff>
    </xdr:from>
    <xdr:ext cx="154736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88AE20AC-88F7-42C8-8F3E-1236B690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1963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35802</xdr:colOff>
      <xdr:row>111</xdr:row>
      <xdr:rowOff>0</xdr:rowOff>
    </xdr:from>
    <xdr:ext cx="121422" cy="146538"/>
    <xdr:pic>
      <xdr:nvPicPr>
        <xdr:cNvPr id="107" name="図 106">
          <a:extLst>
            <a:ext uri="{FF2B5EF4-FFF2-40B4-BE49-F238E27FC236}">
              <a16:creationId xmlns:a16="http://schemas.microsoft.com/office/drawing/2014/main" id="{B7B12ECF-BD0F-4000-8979-6E7EB3E2D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827" y="171926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83</xdr:row>
      <xdr:rowOff>25619</xdr:rowOff>
    </xdr:from>
    <xdr:ext cx="144000" cy="144000"/>
    <xdr:pic>
      <xdr:nvPicPr>
        <xdr:cNvPr id="108" name="図 107">
          <a:extLst>
            <a:ext uri="{FF2B5EF4-FFF2-40B4-BE49-F238E27FC236}">
              <a16:creationId xmlns:a16="http://schemas.microsoft.com/office/drawing/2014/main" id="{248C9980-4E70-4F9B-A4C3-88122F170E9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9510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87</xdr:row>
      <xdr:rowOff>6569</xdr:rowOff>
    </xdr:from>
    <xdr:ext cx="144000" cy="144000"/>
    <xdr:pic>
      <xdr:nvPicPr>
        <xdr:cNvPr id="109" name="図 108">
          <a:extLst>
            <a:ext uri="{FF2B5EF4-FFF2-40B4-BE49-F238E27FC236}">
              <a16:creationId xmlns:a16="http://schemas.microsoft.com/office/drawing/2014/main" id="{F79BCB7A-F004-423E-9B9F-CDF07B2B52A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541594"/>
          <a:ext cx="144000" cy="144000"/>
        </a:xfrm>
        <a:prstGeom prst="rect">
          <a:avLst/>
        </a:prstGeom>
      </xdr:spPr>
    </xdr:pic>
    <xdr:clientData/>
  </xdr:oneCellAnchor>
  <xdr:oneCellAnchor>
    <xdr:from>
      <xdr:col>32</xdr:col>
      <xdr:colOff>64377</xdr:colOff>
      <xdr:row>111</xdr:row>
      <xdr:rowOff>0</xdr:rowOff>
    </xdr:from>
    <xdr:ext cx="121422" cy="146538"/>
    <xdr:pic>
      <xdr:nvPicPr>
        <xdr:cNvPr id="110" name="図 109">
          <a:extLst>
            <a:ext uri="{FF2B5EF4-FFF2-40B4-BE49-F238E27FC236}">
              <a16:creationId xmlns:a16="http://schemas.microsoft.com/office/drawing/2014/main" id="{03FCB188-2291-44B2-A29C-891946FE4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1926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111</xdr:row>
      <xdr:rowOff>3726</xdr:rowOff>
    </xdr:from>
    <xdr:ext cx="154736" cy="144000"/>
    <xdr:pic>
      <xdr:nvPicPr>
        <xdr:cNvPr id="111" name="図 110">
          <a:extLst>
            <a:ext uri="{FF2B5EF4-FFF2-40B4-BE49-F238E27FC236}">
              <a16:creationId xmlns:a16="http://schemas.microsoft.com/office/drawing/2014/main" id="{1323F586-F0F8-4659-8DFE-AC34A5EA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1963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111</xdr:row>
      <xdr:rowOff>0</xdr:rowOff>
    </xdr:from>
    <xdr:ext cx="121422" cy="146538"/>
    <xdr:pic>
      <xdr:nvPicPr>
        <xdr:cNvPr id="112" name="図 111">
          <a:extLst>
            <a:ext uri="{FF2B5EF4-FFF2-40B4-BE49-F238E27FC236}">
              <a16:creationId xmlns:a16="http://schemas.microsoft.com/office/drawing/2014/main" id="{A5247C53-C055-4574-9E1E-EAB3CB43C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1926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111</xdr:row>
      <xdr:rowOff>3726</xdr:rowOff>
    </xdr:from>
    <xdr:ext cx="154736" cy="144000"/>
    <xdr:pic>
      <xdr:nvPicPr>
        <xdr:cNvPr id="113" name="図 112">
          <a:extLst>
            <a:ext uri="{FF2B5EF4-FFF2-40B4-BE49-F238E27FC236}">
              <a16:creationId xmlns:a16="http://schemas.microsoft.com/office/drawing/2014/main" id="{2EC660FE-B704-47CA-AFD3-D0E6B063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1963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111</xdr:row>
      <xdr:rowOff>3726</xdr:rowOff>
    </xdr:from>
    <xdr:ext cx="154736" cy="144000"/>
    <xdr:pic>
      <xdr:nvPicPr>
        <xdr:cNvPr id="114" name="図 113">
          <a:extLst>
            <a:ext uri="{FF2B5EF4-FFF2-40B4-BE49-F238E27FC236}">
              <a16:creationId xmlns:a16="http://schemas.microsoft.com/office/drawing/2014/main" id="{8E7B95BA-F5DF-4DB0-8479-ECECDFAC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1963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111</xdr:row>
      <xdr:rowOff>14123</xdr:rowOff>
    </xdr:from>
    <xdr:ext cx="121422" cy="146538"/>
    <xdr:pic>
      <xdr:nvPicPr>
        <xdr:cNvPr id="115" name="図 114">
          <a:extLst>
            <a:ext uri="{FF2B5EF4-FFF2-40B4-BE49-F238E27FC236}">
              <a16:creationId xmlns:a16="http://schemas.microsoft.com/office/drawing/2014/main" id="{21618AD5-7C88-4626-A257-48860847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72067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F4857058-6705-4266-A7C1-EC8793F06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15C093B6-1ED3-4BE2-9E86-CAA31F369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8E97E77B-A6A2-43B7-88C1-E22BA95F00D5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2EEC3F2D-311A-4209-A4FF-550EEB0ED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66AA0625-47A9-4B81-99FC-2CA864BF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C63A7C8D-9E0A-499C-A033-ECEEA0FA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6958E1F7-E199-4DF3-9BED-7139277BC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C1D37679-E573-40A9-B5D4-E846177A182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8658CB4B-730C-4AB0-82D1-645FE614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5D304B54-D80F-4ED4-A69C-8F80F5B66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A669F466-CE40-4278-8354-8BCA6EE9E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900E9D69-FAC3-446D-904C-EA767CC91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98CAC7A6-4E42-448F-8E66-67437249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EF9DD6A1-0C4D-44B8-8546-A754D3A2C37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AEDE59ED-7132-44E9-9B05-FEC570B3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B8369BF3-4A34-465E-B7D1-0CF4D49312A8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CC1B9275-0955-4320-8DC8-1781CFA6F144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165A7EB1-460B-4FF6-91EC-B71E5959C97E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1CF11E3A-AF32-453B-9269-58F88E1DA1B6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0102A98C-9167-42EA-B7A9-B3FFCCC99E66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288883E4-BBAD-4EF0-89AC-5B7156D96B17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76807D15-62FA-4056-8480-E7D2550C4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C6024938-26B6-4B88-948B-6710CEAD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5" name="図 24">
          <a:extLst>
            <a:ext uri="{FF2B5EF4-FFF2-40B4-BE49-F238E27FC236}">
              <a16:creationId xmlns:a16="http://schemas.microsoft.com/office/drawing/2014/main" id="{C5EE1E05-7E2C-41FC-9853-368364C0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1D8773CF-8D52-4B30-B0C3-0190C78B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27" name="図 26">
          <a:extLst>
            <a:ext uri="{FF2B5EF4-FFF2-40B4-BE49-F238E27FC236}">
              <a16:creationId xmlns:a16="http://schemas.microsoft.com/office/drawing/2014/main" id="{42EC6BAA-3DB3-4CA2-95D5-9F439AF26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9963A2AD-F754-482B-B29C-F5DED979EB41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29" name="図 28">
          <a:extLst>
            <a:ext uri="{FF2B5EF4-FFF2-40B4-BE49-F238E27FC236}">
              <a16:creationId xmlns:a16="http://schemas.microsoft.com/office/drawing/2014/main" id="{768F70D1-6C9A-45F4-A7B3-4CCCC8A77BF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0" name="図 29">
          <a:extLst>
            <a:ext uri="{FF2B5EF4-FFF2-40B4-BE49-F238E27FC236}">
              <a16:creationId xmlns:a16="http://schemas.microsoft.com/office/drawing/2014/main" id="{043A0AF9-A85C-47F7-A48A-CF30B0325F0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1" name="図 30">
          <a:extLst>
            <a:ext uri="{FF2B5EF4-FFF2-40B4-BE49-F238E27FC236}">
              <a16:creationId xmlns:a16="http://schemas.microsoft.com/office/drawing/2014/main" id="{93861C05-45A4-4ADB-A8C8-B84DB232CD8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2" name="図 31">
          <a:extLst>
            <a:ext uri="{FF2B5EF4-FFF2-40B4-BE49-F238E27FC236}">
              <a16:creationId xmlns:a16="http://schemas.microsoft.com/office/drawing/2014/main" id="{C972D432-C63E-46B8-869E-D74D176FBFE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502259F3-84B5-4985-9908-3A3ADD5554A1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15</xdr:col>
      <xdr:colOff>0</xdr:colOff>
      <xdr:row>67</xdr:row>
      <xdr:rowOff>0</xdr:rowOff>
    </xdr:from>
    <xdr:ext cx="154736" cy="144000"/>
    <xdr:pic>
      <xdr:nvPicPr>
        <xdr:cNvPr id="34" name="図 33">
          <a:extLst>
            <a:ext uri="{FF2B5EF4-FFF2-40B4-BE49-F238E27FC236}">
              <a16:creationId xmlns:a16="http://schemas.microsoft.com/office/drawing/2014/main" id="{086859EE-F800-4335-8903-6998FA1FB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2774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5" name="図 34">
          <a:extLst>
            <a:ext uri="{FF2B5EF4-FFF2-40B4-BE49-F238E27FC236}">
              <a16:creationId xmlns:a16="http://schemas.microsoft.com/office/drawing/2014/main" id="{34AF9A7A-BC4F-4E0C-94FB-188BEED71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36" name="図 35">
          <a:extLst>
            <a:ext uri="{FF2B5EF4-FFF2-40B4-BE49-F238E27FC236}">
              <a16:creationId xmlns:a16="http://schemas.microsoft.com/office/drawing/2014/main" id="{C206D2EF-C6FF-4D4F-A55E-56A0D27EF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37" name="図 36">
          <a:extLst>
            <a:ext uri="{FF2B5EF4-FFF2-40B4-BE49-F238E27FC236}">
              <a16:creationId xmlns:a16="http://schemas.microsoft.com/office/drawing/2014/main" id="{E4363EE3-DE0B-40E8-BA46-CEA8695D3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38" name="図 37">
          <a:extLst>
            <a:ext uri="{FF2B5EF4-FFF2-40B4-BE49-F238E27FC236}">
              <a16:creationId xmlns:a16="http://schemas.microsoft.com/office/drawing/2014/main" id="{EDC8CA09-FCE7-4882-A85A-ECDD44F190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4E3CEE63-33EA-41E7-9009-A04701283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0" name="図 39">
          <a:extLst>
            <a:ext uri="{FF2B5EF4-FFF2-40B4-BE49-F238E27FC236}">
              <a16:creationId xmlns:a16="http://schemas.microsoft.com/office/drawing/2014/main" id="{9B91896A-DD85-4C9F-A2CF-2D437984BFF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1" name="図 40">
          <a:extLst>
            <a:ext uri="{FF2B5EF4-FFF2-40B4-BE49-F238E27FC236}">
              <a16:creationId xmlns:a16="http://schemas.microsoft.com/office/drawing/2014/main" id="{EF7FD566-EBC1-4607-9D8E-EDC938F78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2" name="フローチャート: 代替処理 41">
          <a:extLst>
            <a:ext uri="{FF2B5EF4-FFF2-40B4-BE49-F238E27FC236}">
              <a16:creationId xmlns:a16="http://schemas.microsoft.com/office/drawing/2014/main" id="{BA514B1C-D6BA-45FE-92D7-2AFEA2AB4625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0F008C34-BF2B-4CD0-A5C7-69EAFC0C72A5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4" name="フローチャート: 代替処理 43">
          <a:extLst>
            <a:ext uri="{FF2B5EF4-FFF2-40B4-BE49-F238E27FC236}">
              <a16:creationId xmlns:a16="http://schemas.microsoft.com/office/drawing/2014/main" id="{484F07C3-12EC-483B-8C4A-3941145A7134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5" name="フローチャート: 代替処理 44">
          <a:extLst>
            <a:ext uri="{FF2B5EF4-FFF2-40B4-BE49-F238E27FC236}">
              <a16:creationId xmlns:a16="http://schemas.microsoft.com/office/drawing/2014/main" id="{8E6CD097-617D-4665-BC6A-D1652DA17BBD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AF204E48-20B3-44CA-854E-2B726D555CF2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3C10D27A-62F8-49BE-833C-3B4ACB0AF8D4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48" name="図 47">
          <a:extLst>
            <a:ext uri="{FF2B5EF4-FFF2-40B4-BE49-F238E27FC236}">
              <a16:creationId xmlns:a16="http://schemas.microsoft.com/office/drawing/2014/main" id="{4EE3A529-F009-4A66-9E67-625DD0AC7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49" name="図 48">
          <a:extLst>
            <a:ext uri="{FF2B5EF4-FFF2-40B4-BE49-F238E27FC236}">
              <a16:creationId xmlns:a16="http://schemas.microsoft.com/office/drawing/2014/main" id="{8A8F9075-E001-426B-B4BA-7A0408D1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0" name="図 49">
          <a:extLst>
            <a:ext uri="{FF2B5EF4-FFF2-40B4-BE49-F238E27FC236}">
              <a16:creationId xmlns:a16="http://schemas.microsoft.com/office/drawing/2014/main" id="{4BF67EDF-1CC6-4258-A151-5919FA5C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1" name="図 50">
          <a:extLst>
            <a:ext uri="{FF2B5EF4-FFF2-40B4-BE49-F238E27FC236}">
              <a16:creationId xmlns:a16="http://schemas.microsoft.com/office/drawing/2014/main" id="{29608BAB-B0BF-4A32-B0A3-FB6E5B678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2" name="図 51">
          <a:extLst>
            <a:ext uri="{FF2B5EF4-FFF2-40B4-BE49-F238E27FC236}">
              <a16:creationId xmlns:a16="http://schemas.microsoft.com/office/drawing/2014/main" id="{2885A1E1-CC83-4BAC-8D9B-0D43B27A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3" name="フローチャート: 代替処理 52">
          <a:extLst>
            <a:ext uri="{FF2B5EF4-FFF2-40B4-BE49-F238E27FC236}">
              <a16:creationId xmlns:a16="http://schemas.microsoft.com/office/drawing/2014/main" id="{3141E094-EAD9-430C-9DE8-7D5F751AE0B2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CBC1ABDD-994C-4864-85D5-EA10EDF6C8A4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5" name="図 54">
          <a:extLst>
            <a:ext uri="{FF2B5EF4-FFF2-40B4-BE49-F238E27FC236}">
              <a16:creationId xmlns:a16="http://schemas.microsoft.com/office/drawing/2014/main" id="{ABECF8A3-1016-4C88-9C73-3A24438F7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56" name="図 55">
          <a:extLst>
            <a:ext uri="{FF2B5EF4-FFF2-40B4-BE49-F238E27FC236}">
              <a16:creationId xmlns:a16="http://schemas.microsoft.com/office/drawing/2014/main" id="{03456A94-F8AC-485F-BE78-210002063CD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119</xdr:row>
      <xdr:rowOff>24434</xdr:rowOff>
    </xdr:from>
    <xdr:to>
      <xdr:col>7</xdr:col>
      <xdr:colOff>65432</xdr:colOff>
      <xdr:row>120</xdr:row>
      <xdr:rowOff>106274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E1BD9CCF-557A-49EE-AC28-83771C683280}"/>
            </a:ext>
          </a:extLst>
        </xdr:cNvPr>
        <xdr:cNvSpPr/>
      </xdr:nvSpPr>
      <xdr:spPr bwMode="auto">
        <a:xfrm>
          <a:off x="522633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119</xdr:row>
      <xdr:rowOff>24434</xdr:rowOff>
    </xdr:from>
    <xdr:to>
      <xdr:col>61</xdr:col>
      <xdr:colOff>151157</xdr:colOff>
      <xdr:row>120</xdr:row>
      <xdr:rowOff>106274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07801DF9-929C-4739-8EF4-FE42BAF06205}"/>
            </a:ext>
          </a:extLst>
        </xdr:cNvPr>
        <xdr:cNvSpPr/>
      </xdr:nvSpPr>
      <xdr:spPr bwMode="auto">
        <a:xfrm>
          <a:off x="9809508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94</xdr:row>
      <xdr:rowOff>9525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EC07E359-4D05-4C05-A1F4-91355BCA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611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60DF6A3A-9725-487D-8DB1-0490C212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1" name="図 60">
          <a:extLst>
            <a:ext uri="{FF2B5EF4-FFF2-40B4-BE49-F238E27FC236}">
              <a16:creationId xmlns:a16="http://schemas.microsoft.com/office/drawing/2014/main" id="{4BE18428-544B-4B3F-BEC3-34BE46D0F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62" name="図 61">
          <a:extLst>
            <a:ext uri="{FF2B5EF4-FFF2-40B4-BE49-F238E27FC236}">
              <a16:creationId xmlns:a16="http://schemas.microsoft.com/office/drawing/2014/main" id="{E508A1B7-2886-4F19-AA22-08B22B6D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3" name="図 62">
          <a:extLst>
            <a:ext uri="{FF2B5EF4-FFF2-40B4-BE49-F238E27FC236}">
              <a16:creationId xmlns:a16="http://schemas.microsoft.com/office/drawing/2014/main" id="{134654CF-5B8B-4035-8DE2-B2C675246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E3FC1BC6-2EAC-4DB5-BC38-F1E712515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8A026E82-DA27-4C68-A13E-9B6A7326C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B40A4F20-F64F-4451-A7DF-68A3C0B1A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57CAD46B-5477-40B6-A993-C9C87E02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6A48243A-A69E-4400-9DAC-06AA45D4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DF3821F2-000E-4D7E-A84E-1E5338AE6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334B26BD-2D0E-4C8E-837A-7E45D1658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BB98741D-02D4-4D8E-9D69-941BF538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3794CAE7-01E3-42C1-BA29-40C4D565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15BB4A98-E890-42A1-94D9-7D47CF44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9486CC40-176A-455C-B9B7-095141BF5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A38B4400-3EBF-489C-843F-CA66BD8F7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91FD65DF-1F82-4F89-82FF-BF17C3669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33E87EB4-15D9-4541-9F16-C287C038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87D46080-7BCB-49CD-813F-7F74CFD2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85BA2E0A-7914-4A8C-9A31-40FCCF49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67CD403C-6A19-4ABC-BE11-52DDBC720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04D7998D-E833-4C9F-884E-EB6A00B2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AB4ABAB2-A94C-4932-B726-37E7290B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D30EC5DB-F0F8-4674-9A14-31B1EB6FE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C4F5D514-ABF3-417E-A7B0-68A5EB140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60BFE913-EFB4-48AA-BB63-FFCA235E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D6095E08-A45F-44BB-BAAC-CDD6C79B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6AF5C5C1-E1FA-4B4D-99CC-F00F0B41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0B32000B-E376-4FED-B36D-0B87B599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83FBB7FC-4CED-4B1A-B17B-6CDAE72DD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E53F88CA-7E2C-45F5-81C4-F11D8AEAE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DCB55C3F-F58D-42BF-BCA9-F09CCE9F0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BF3D381B-882E-4232-95BE-129AD4FEB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99AEF4EA-41AE-4F3A-9219-5866AA03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FC37B1E4-8A01-44D2-9823-DB22F5D4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73D7160D-370A-4720-B4F9-2D297938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9D042BEC-FAA1-47FD-98E9-BF13D4A9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2C106540-AD64-4F47-BB01-5F4FE4B9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98" name="図 97">
          <a:extLst>
            <a:ext uri="{FF2B5EF4-FFF2-40B4-BE49-F238E27FC236}">
              <a16:creationId xmlns:a16="http://schemas.microsoft.com/office/drawing/2014/main" id="{FB609F8C-C042-4978-BD9F-A60530A0A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81</xdr:row>
      <xdr:rowOff>91109</xdr:rowOff>
    </xdr:from>
    <xdr:to>
      <xdr:col>52</xdr:col>
      <xdr:colOff>49696</xdr:colOff>
      <xdr:row>95</xdr:row>
      <xdr:rowOff>57978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BACAC132-2DA2-4242-A95F-6B6A17585151}"/>
            </a:ext>
          </a:extLst>
        </xdr:cNvPr>
        <xdr:cNvSpPr/>
      </xdr:nvSpPr>
      <xdr:spPr bwMode="auto">
        <a:xfrm>
          <a:off x="419100" y="127117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107</xdr:row>
      <xdr:rowOff>14123</xdr:rowOff>
    </xdr:from>
    <xdr:ext cx="121422" cy="146538"/>
    <xdr:pic>
      <xdr:nvPicPr>
        <xdr:cNvPr id="100" name="図 99">
          <a:extLst>
            <a:ext uri="{FF2B5EF4-FFF2-40B4-BE49-F238E27FC236}">
              <a16:creationId xmlns:a16="http://schemas.microsoft.com/office/drawing/2014/main" id="{F892DA63-0DC5-40D2-ABAB-ADCFF9D9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5971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119</xdr:row>
      <xdr:rowOff>24434</xdr:rowOff>
    </xdr:from>
    <xdr:to>
      <xdr:col>56</xdr:col>
      <xdr:colOff>13997</xdr:colOff>
      <xdr:row>120</xdr:row>
      <xdr:rowOff>106274</xdr:rowOff>
    </xdr:to>
    <xdr:sp macro="" textlink="">
      <xdr:nvSpPr>
        <xdr:cNvPr id="101" name="フローチャート: 代替処理 100">
          <a:extLst>
            <a:ext uri="{FF2B5EF4-FFF2-40B4-BE49-F238E27FC236}">
              <a16:creationId xmlns:a16="http://schemas.microsoft.com/office/drawing/2014/main" id="{75C12D36-8FC8-45D1-AFCC-364C008D0D43}"/>
            </a:ext>
          </a:extLst>
        </xdr:cNvPr>
        <xdr:cNvSpPr/>
      </xdr:nvSpPr>
      <xdr:spPr bwMode="auto">
        <a:xfrm>
          <a:off x="8853198" y="184362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82</xdr:row>
      <xdr:rowOff>9525</xdr:rowOff>
    </xdr:from>
    <xdr:ext cx="121422" cy="146538"/>
    <xdr:pic>
      <xdr:nvPicPr>
        <xdr:cNvPr id="102" name="図 101">
          <a:extLst>
            <a:ext uri="{FF2B5EF4-FFF2-40B4-BE49-F238E27FC236}">
              <a16:creationId xmlns:a16="http://schemas.microsoft.com/office/drawing/2014/main" id="{98BE1A4A-DFCC-4880-B653-E13677B45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782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109</xdr:row>
      <xdr:rowOff>147473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80E9B727-9797-4E92-9C8A-498EDDE48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35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8E02A211-A778-435E-9B48-46691C12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05" name="図 104">
          <a:extLst>
            <a:ext uri="{FF2B5EF4-FFF2-40B4-BE49-F238E27FC236}">
              <a16:creationId xmlns:a16="http://schemas.microsoft.com/office/drawing/2014/main" id="{07D42373-A3B0-424D-9743-B88A9CB1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82</xdr:row>
      <xdr:rowOff>25619</xdr:rowOff>
    </xdr:from>
    <xdr:ext cx="144000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C2F6C55D-1FA8-490E-ACB2-5F72056ED10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7986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86</xdr:row>
      <xdr:rowOff>6569</xdr:rowOff>
    </xdr:from>
    <xdr:ext cx="144000" cy="144000"/>
    <xdr:pic>
      <xdr:nvPicPr>
        <xdr:cNvPr id="107" name="図 106">
          <a:extLst>
            <a:ext uri="{FF2B5EF4-FFF2-40B4-BE49-F238E27FC236}">
              <a16:creationId xmlns:a16="http://schemas.microsoft.com/office/drawing/2014/main" id="{D29FA97E-C237-4AF4-9E65-7CACBC8EED59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389194"/>
          <a:ext cx="144000" cy="144000"/>
        </a:xfrm>
        <a:prstGeom prst="rect">
          <a:avLst/>
        </a:prstGeom>
      </xdr:spPr>
    </xdr:pic>
    <xdr:clientData/>
  </xdr:oneCellAnchor>
  <xdr:twoCellAnchor>
    <xdr:from>
      <xdr:col>63</xdr:col>
      <xdr:colOff>133350</xdr:colOff>
      <xdr:row>59</xdr:row>
      <xdr:rowOff>0</xdr:rowOff>
    </xdr:from>
    <xdr:to>
      <xdr:col>82</xdr:col>
      <xdr:colOff>76200</xdr:colOff>
      <xdr:row>64</xdr:row>
      <xdr:rowOff>0</xdr:rowOff>
    </xdr:to>
    <xdr:sp macro="" textlink="">
      <xdr:nvSpPr>
        <xdr:cNvPr id="108" name="吹き出し: 四角形 107">
          <a:extLst>
            <a:ext uri="{FF2B5EF4-FFF2-40B4-BE49-F238E27FC236}">
              <a16:creationId xmlns:a16="http://schemas.microsoft.com/office/drawing/2014/main" id="{CA0E5D7C-5047-4F59-B30D-DFCD5669F4AC}"/>
            </a:ext>
          </a:extLst>
        </xdr:cNvPr>
        <xdr:cNvSpPr/>
      </xdr:nvSpPr>
      <xdr:spPr>
        <a:xfrm>
          <a:off x="10887075" y="9058275"/>
          <a:ext cx="3200400" cy="762000"/>
        </a:xfrm>
        <a:prstGeom prst="wedgeRectCallout">
          <a:avLst>
            <a:gd name="adj1" fmla="val -114583"/>
            <a:gd name="adj2" fmla="val -4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受注区分で加工品以外を選択時、受注明細が非表示となる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180</xdr:row>
      <xdr:rowOff>24434</xdr:rowOff>
    </xdr:from>
    <xdr:to>
      <xdr:col>7</xdr:col>
      <xdr:colOff>65432</xdr:colOff>
      <xdr:row>181</xdr:row>
      <xdr:rowOff>106274</xdr:rowOff>
    </xdr:to>
    <xdr:sp macro="" textlink="">
      <xdr:nvSpPr>
        <xdr:cNvPr id="109" name="フローチャート: 代替処理 108">
          <a:extLst>
            <a:ext uri="{FF2B5EF4-FFF2-40B4-BE49-F238E27FC236}">
              <a16:creationId xmlns:a16="http://schemas.microsoft.com/office/drawing/2014/main" id="{4D2C7C7B-CD34-441D-AE9A-6A0D45238569}"/>
            </a:ext>
          </a:extLst>
        </xdr:cNvPr>
        <xdr:cNvSpPr/>
      </xdr:nvSpPr>
      <xdr:spPr bwMode="auto">
        <a:xfrm>
          <a:off x="522633" y="279422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180</xdr:row>
      <xdr:rowOff>24434</xdr:rowOff>
    </xdr:from>
    <xdr:to>
      <xdr:col>61</xdr:col>
      <xdr:colOff>151157</xdr:colOff>
      <xdr:row>181</xdr:row>
      <xdr:rowOff>106274</xdr:rowOff>
    </xdr:to>
    <xdr:sp macro="" textlink="">
      <xdr:nvSpPr>
        <xdr:cNvPr id="110" name="フローチャート: 代替処理 109">
          <a:extLst>
            <a:ext uri="{FF2B5EF4-FFF2-40B4-BE49-F238E27FC236}">
              <a16:creationId xmlns:a16="http://schemas.microsoft.com/office/drawing/2014/main" id="{4A5D2A46-5C04-4429-AB10-9AE72D82984A}"/>
            </a:ext>
          </a:extLst>
        </xdr:cNvPr>
        <xdr:cNvSpPr/>
      </xdr:nvSpPr>
      <xdr:spPr bwMode="auto">
        <a:xfrm>
          <a:off x="9809508" y="279422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11</xdr:col>
      <xdr:colOff>38100</xdr:colOff>
      <xdr:row>155</xdr:row>
      <xdr:rowOff>9525</xdr:rowOff>
    </xdr:from>
    <xdr:ext cx="121422" cy="146538"/>
    <xdr:pic>
      <xdr:nvPicPr>
        <xdr:cNvPr id="111" name="図 110">
          <a:extLst>
            <a:ext uri="{FF2B5EF4-FFF2-40B4-BE49-F238E27FC236}">
              <a16:creationId xmlns:a16="http://schemas.microsoft.com/office/drawing/2014/main" id="{9D3F619D-0F92-4D7C-9100-49F6719F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41173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12" name="図 111">
          <a:extLst>
            <a:ext uri="{FF2B5EF4-FFF2-40B4-BE49-F238E27FC236}">
              <a16:creationId xmlns:a16="http://schemas.microsoft.com/office/drawing/2014/main" id="{B0BA598D-28A7-4FEA-9215-683F487C2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13" name="図 112">
          <a:extLst>
            <a:ext uri="{FF2B5EF4-FFF2-40B4-BE49-F238E27FC236}">
              <a16:creationId xmlns:a16="http://schemas.microsoft.com/office/drawing/2014/main" id="{B059D768-5218-464F-BB76-97C476389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14" name="図 113">
          <a:extLst>
            <a:ext uri="{FF2B5EF4-FFF2-40B4-BE49-F238E27FC236}">
              <a16:creationId xmlns:a16="http://schemas.microsoft.com/office/drawing/2014/main" id="{1AD7435D-3BE9-4086-9DCA-100FB215A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15" name="図 114">
          <a:extLst>
            <a:ext uri="{FF2B5EF4-FFF2-40B4-BE49-F238E27FC236}">
              <a16:creationId xmlns:a16="http://schemas.microsoft.com/office/drawing/2014/main" id="{49853A60-9605-4A14-92BC-4D68EEC4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16" name="図 115">
          <a:extLst>
            <a:ext uri="{FF2B5EF4-FFF2-40B4-BE49-F238E27FC236}">
              <a16:creationId xmlns:a16="http://schemas.microsoft.com/office/drawing/2014/main" id="{4EB55704-15C4-47A7-B838-B7C2364F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C0AE065C-3F16-4436-8C0D-6F5838900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18" name="図 117">
          <a:extLst>
            <a:ext uri="{FF2B5EF4-FFF2-40B4-BE49-F238E27FC236}">
              <a16:creationId xmlns:a16="http://schemas.microsoft.com/office/drawing/2014/main" id="{69FBFF7A-7D34-4E30-A1C4-A56166DF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19" name="図 118">
          <a:extLst>
            <a:ext uri="{FF2B5EF4-FFF2-40B4-BE49-F238E27FC236}">
              <a16:creationId xmlns:a16="http://schemas.microsoft.com/office/drawing/2014/main" id="{298DACDD-D999-4AA2-9CDC-3501B498B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20" name="図 119">
          <a:extLst>
            <a:ext uri="{FF2B5EF4-FFF2-40B4-BE49-F238E27FC236}">
              <a16:creationId xmlns:a16="http://schemas.microsoft.com/office/drawing/2014/main" id="{C13ACD7E-8C1F-4FE8-A7B4-6C2A1AA8C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161</xdr:row>
      <xdr:rowOff>7327</xdr:rowOff>
    </xdr:from>
    <xdr:ext cx="154736" cy="144000"/>
    <xdr:pic>
      <xdr:nvPicPr>
        <xdr:cNvPr id="121" name="図 120">
          <a:extLst>
            <a:ext uri="{FF2B5EF4-FFF2-40B4-BE49-F238E27FC236}">
              <a16:creationId xmlns:a16="http://schemas.microsoft.com/office/drawing/2014/main" id="{699DC79F-648E-4A0E-9992-1EB8FB647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22" name="図 121">
          <a:extLst>
            <a:ext uri="{FF2B5EF4-FFF2-40B4-BE49-F238E27FC236}">
              <a16:creationId xmlns:a16="http://schemas.microsoft.com/office/drawing/2014/main" id="{0B41C985-0E01-4179-88BC-278B623B2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161</xdr:row>
      <xdr:rowOff>7327</xdr:rowOff>
    </xdr:from>
    <xdr:ext cx="154736" cy="144000"/>
    <xdr:pic>
      <xdr:nvPicPr>
        <xdr:cNvPr id="123" name="図 122">
          <a:extLst>
            <a:ext uri="{FF2B5EF4-FFF2-40B4-BE49-F238E27FC236}">
              <a16:creationId xmlns:a16="http://schemas.microsoft.com/office/drawing/2014/main" id="{CDD32B0A-4F41-497D-A84B-BEEB8B8A9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24" name="図 123">
          <a:extLst>
            <a:ext uri="{FF2B5EF4-FFF2-40B4-BE49-F238E27FC236}">
              <a16:creationId xmlns:a16="http://schemas.microsoft.com/office/drawing/2014/main" id="{2A879CDC-7CD4-44EC-8760-853D9E6D3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47EDFF67-95A5-431C-9829-9B6026BC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26" name="図 125">
          <a:extLst>
            <a:ext uri="{FF2B5EF4-FFF2-40B4-BE49-F238E27FC236}">
              <a16:creationId xmlns:a16="http://schemas.microsoft.com/office/drawing/2014/main" id="{BFCE2914-20BF-4C5B-80DD-065E7C1F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B672E072-351A-4CD6-BA88-1EC3F631A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28" name="図 127">
          <a:extLst>
            <a:ext uri="{FF2B5EF4-FFF2-40B4-BE49-F238E27FC236}">
              <a16:creationId xmlns:a16="http://schemas.microsoft.com/office/drawing/2014/main" id="{132235D9-1154-402C-B7CC-FD2E0D824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CE3A5C0D-3A1C-4F2E-8531-689FC118E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903242AF-CF42-48E1-9AB2-2519A84F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1538C385-B05A-4943-841D-6C7E8F5A0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CCDCAC56-EF87-4BB4-A671-BE5001AEF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161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7B27DC56-4739-4311-B589-662683FF5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32022BA8-578A-42A9-82BE-DE4E4849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161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A9405F4E-576B-4937-B84E-7E1E86445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6BA727FD-50DD-43D0-B268-234CB7979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72EC5CA7-0802-4653-B3A0-F83217EB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8" name="図 137">
          <a:extLst>
            <a:ext uri="{FF2B5EF4-FFF2-40B4-BE49-F238E27FC236}">
              <a16:creationId xmlns:a16="http://schemas.microsoft.com/office/drawing/2014/main" id="{B509BC65-5EEC-4D93-9F4E-A9FB56067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39" name="図 138">
          <a:extLst>
            <a:ext uri="{FF2B5EF4-FFF2-40B4-BE49-F238E27FC236}">
              <a16:creationId xmlns:a16="http://schemas.microsoft.com/office/drawing/2014/main" id="{3E9B2DC7-0167-43F1-9916-F0804B669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0" name="図 139">
          <a:extLst>
            <a:ext uri="{FF2B5EF4-FFF2-40B4-BE49-F238E27FC236}">
              <a16:creationId xmlns:a16="http://schemas.microsoft.com/office/drawing/2014/main" id="{8E8F63C7-48F0-4277-862C-A6E1566C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1" name="図 140">
          <a:extLst>
            <a:ext uri="{FF2B5EF4-FFF2-40B4-BE49-F238E27FC236}">
              <a16:creationId xmlns:a16="http://schemas.microsoft.com/office/drawing/2014/main" id="{CF8D246F-6C7E-443E-B2A9-7E149C34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2" name="図 141">
          <a:extLst>
            <a:ext uri="{FF2B5EF4-FFF2-40B4-BE49-F238E27FC236}">
              <a16:creationId xmlns:a16="http://schemas.microsoft.com/office/drawing/2014/main" id="{8D726D09-0173-47C7-B158-CBCC29CC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161</xdr:row>
      <xdr:rowOff>7327</xdr:rowOff>
    </xdr:from>
    <xdr:ext cx="154736" cy="144000"/>
    <xdr:pic>
      <xdr:nvPicPr>
        <xdr:cNvPr id="143" name="図 142">
          <a:extLst>
            <a:ext uri="{FF2B5EF4-FFF2-40B4-BE49-F238E27FC236}">
              <a16:creationId xmlns:a16="http://schemas.microsoft.com/office/drawing/2014/main" id="{0261AC65-CD62-4C35-AA39-3D4270AD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4" name="図 143">
          <a:extLst>
            <a:ext uri="{FF2B5EF4-FFF2-40B4-BE49-F238E27FC236}">
              <a16:creationId xmlns:a16="http://schemas.microsoft.com/office/drawing/2014/main" id="{FE0F3BC3-8756-476A-ADB0-074B5773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5" name="図 144">
          <a:extLst>
            <a:ext uri="{FF2B5EF4-FFF2-40B4-BE49-F238E27FC236}">
              <a16:creationId xmlns:a16="http://schemas.microsoft.com/office/drawing/2014/main" id="{74AC34BB-DC62-4E52-A3B4-4D90BE39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6" name="図 145">
          <a:extLst>
            <a:ext uri="{FF2B5EF4-FFF2-40B4-BE49-F238E27FC236}">
              <a16:creationId xmlns:a16="http://schemas.microsoft.com/office/drawing/2014/main" id="{BB9FF182-94A4-4776-B0A4-A1317FBD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161</xdr:row>
      <xdr:rowOff>7327</xdr:rowOff>
    </xdr:from>
    <xdr:ext cx="154736" cy="144000"/>
    <xdr:pic>
      <xdr:nvPicPr>
        <xdr:cNvPr id="147" name="図 146">
          <a:extLst>
            <a:ext uri="{FF2B5EF4-FFF2-40B4-BE49-F238E27FC236}">
              <a16:creationId xmlns:a16="http://schemas.microsoft.com/office/drawing/2014/main" id="{31E16E9F-2985-4CB9-A21F-F65BFD7EA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153</xdr:row>
      <xdr:rowOff>7327</xdr:rowOff>
    </xdr:from>
    <xdr:ext cx="154736" cy="144000"/>
    <xdr:pic>
      <xdr:nvPicPr>
        <xdr:cNvPr id="148" name="図 147">
          <a:extLst>
            <a:ext uri="{FF2B5EF4-FFF2-40B4-BE49-F238E27FC236}">
              <a16:creationId xmlns:a16="http://schemas.microsoft.com/office/drawing/2014/main" id="{D96925B2-5FDC-44B5-9636-B769AF21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810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153</xdr:row>
      <xdr:rowOff>7327</xdr:rowOff>
    </xdr:from>
    <xdr:ext cx="154736" cy="144000"/>
    <xdr:pic>
      <xdr:nvPicPr>
        <xdr:cNvPr id="149" name="図 148">
          <a:extLst>
            <a:ext uri="{FF2B5EF4-FFF2-40B4-BE49-F238E27FC236}">
              <a16:creationId xmlns:a16="http://schemas.microsoft.com/office/drawing/2014/main" id="{8A22B63E-BA04-44D4-A745-0EF33B931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810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168</xdr:row>
      <xdr:rowOff>23648</xdr:rowOff>
    </xdr:from>
    <xdr:ext cx="121422" cy="146538"/>
    <xdr:pic>
      <xdr:nvPicPr>
        <xdr:cNvPr id="150" name="図 149">
          <a:extLst>
            <a:ext uri="{FF2B5EF4-FFF2-40B4-BE49-F238E27FC236}">
              <a16:creationId xmlns:a16="http://schemas.microsoft.com/office/drawing/2014/main" id="{3F07FD1E-C622-4761-8F5C-3FC0ABE22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61126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142</xdr:row>
      <xdr:rowOff>91109</xdr:rowOff>
    </xdr:from>
    <xdr:to>
      <xdr:col>52</xdr:col>
      <xdr:colOff>49696</xdr:colOff>
      <xdr:row>156</xdr:row>
      <xdr:rowOff>57978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199A8CCD-28D1-40A5-9112-158BB422A668}"/>
            </a:ext>
          </a:extLst>
        </xdr:cNvPr>
        <xdr:cNvSpPr/>
      </xdr:nvSpPr>
      <xdr:spPr bwMode="auto">
        <a:xfrm>
          <a:off x="419100" y="2221768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168</xdr:row>
      <xdr:rowOff>14123</xdr:rowOff>
    </xdr:from>
    <xdr:ext cx="121422" cy="146538"/>
    <xdr:pic>
      <xdr:nvPicPr>
        <xdr:cNvPr id="152" name="図 151">
          <a:extLst>
            <a:ext uri="{FF2B5EF4-FFF2-40B4-BE49-F238E27FC236}">
              <a16:creationId xmlns:a16="http://schemas.microsoft.com/office/drawing/2014/main" id="{5AFA19A7-82BC-4776-9793-0480A49D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1030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180</xdr:row>
      <xdr:rowOff>24434</xdr:rowOff>
    </xdr:from>
    <xdr:to>
      <xdr:col>56</xdr:col>
      <xdr:colOff>13997</xdr:colOff>
      <xdr:row>181</xdr:row>
      <xdr:rowOff>106274</xdr:rowOff>
    </xdr:to>
    <xdr:sp macro="" textlink="">
      <xdr:nvSpPr>
        <xdr:cNvPr id="153" name="フローチャート: 代替処理 152">
          <a:extLst>
            <a:ext uri="{FF2B5EF4-FFF2-40B4-BE49-F238E27FC236}">
              <a16:creationId xmlns:a16="http://schemas.microsoft.com/office/drawing/2014/main" id="{320818AD-340C-4A0D-AA89-4CEE99FD1950}"/>
            </a:ext>
          </a:extLst>
        </xdr:cNvPr>
        <xdr:cNvSpPr/>
      </xdr:nvSpPr>
      <xdr:spPr bwMode="auto">
        <a:xfrm>
          <a:off x="8853198" y="279422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143</xdr:row>
      <xdr:rowOff>9525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EA747E2B-4E20-41A8-A71F-5C9B97E1A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22885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170</xdr:row>
      <xdr:rowOff>147473</xdr:rowOff>
    </xdr:from>
    <xdr:ext cx="121422" cy="146538"/>
    <xdr:pic>
      <xdr:nvPicPr>
        <xdr:cNvPr id="155" name="図 154">
          <a:extLst>
            <a:ext uri="{FF2B5EF4-FFF2-40B4-BE49-F238E27FC236}">
              <a16:creationId xmlns:a16="http://schemas.microsoft.com/office/drawing/2014/main" id="{1B8C435D-3C6D-436F-B612-2FE903932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12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168</xdr:row>
      <xdr:rowOff>23648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416AFFA2-6FA7-4E4A-B938-2148846EF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61126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0</xdr:rowOff>
    </xdr:from>
    <xdr:ext cx="154736" cy="144000"/>
    <xdr:pic>
      <xdr:nvPicPr>
        <xdr:cNvPr id="157" name="図 156">
          <a:extLst>
            <a:ext uri="{FF2B5EF4-FFF2-40B4-BE49-F238E27FC236}">
              <a16:creationId xmlns:a16="http://schemas.microsoft.com/office/drawing/2014/main" id="{B493FA23-63CF-4196-BF79-2E5C6013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61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143</xdr:row>
      <xdr:rowOff>25619</xdr:rowOff>
    </xdr:from>
    <xdr:ext cx="144000" cy="144000"/>
    <xdr:pic>
      <xdr:nvPicPr>
        <xdr:cNvPr id="158" name="図 157">
          <a:extLst>
            <a:ext uri="{FF2B5EF4-FFF2-40B4-BE49-F238E27FC236}">
              <a16:creationId xmlns:a16="http://schemas.microsoft.com/office/drawing/2014/main" id="{7CB1A42A-F2E0-4979-BBC3-C4080B59205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2230459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147</xdr:row>
      <xdr:rowOff>6569</xdr:rowOff>
    </xdr:from>
    <xdr:ext cx="144000" cy="144000"/>
    <xdr:pic>
      <xdr:nvPicPr>
        <xdr:cNvPr id="159" name="図 158">
          <a:extLst>
            <a:ext uri="{FF2B5EF4-FFF2-40B4-BE49-F238E27FC236}">
              <a16:creationId xmlns:a16="http://schemas.microsoft.com/office/drawing/2014/main" id="{002495D9-C960-45C6-A60E-F9B1C562BF4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22895144"/>
          <a:ext cx="144000" cy="144000"/>
        </a:xfrm>
        <a:prstGeom prst="rect">
          <a:avLst/>
        </a:prstGeom>
      </xdr:spPr>
    </xdr:pic>
    <xdr:clientData/>
  </xdr:oneCellAnchor>
  <xdr:twoCellAnchor>
    <xdr:from>
      <xdr:col>58</xdr:col>
      <xdr:colOff>133349</xdr:colOff>
      <xdr:row>151</xdr:row>
      <xdr:rowOff>38100</xdr:rowOff>
    </xdr:from>
    <xdr:to>
      <xdr:col>76</xdr:col>
      <xdr:colOff>57149</xdr:colOff>
      <xdr:row>157</xdr:row>
      <xdr:rowOff>76200</xdr:rowOff>
    </xdr:to>
    <xdr:sp macro="" textlink="">
      <xdr:nvSpPr>
        <xdr:cNvPr id="160" name="吹き出し: 四角形 159">
          <a:extLst>
            <a:ext uri="{FF2B5EF4-FFF2-40B4-BE49-F238E27FC236}">
              <a16:creationId xmlns:a16="http://schemas.microsoft.com/office/drawing/2014/main" id="{426E8C76-B318-47AE-87AC-65DC45A62D8B}"/>
            </a:ext>
          </a:extLst>
        </xdr:cNvPr>
        <xdr:cNvSpPr/>
      </xdr:nvSpPr>
      <xdr:spPr>
        <a:xfrm>
          <a:off x="10001249" y="23536275"/>
          <a:ext cx="3038475" cy="952500"/>
        </a:xfrm>
        <a:prstGeom prst="wedgeRectCallout">
          <a:avLst>
            <a:gd name="adj1" fmla="val -316091"/>
            <a:gd name="adj2" fmla="val -8349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有償支給用の経費品目を指定する</a:t>
          </a:r>
        </a:p>
      </xdr:txBody>
    </xdr:sp>
    <xdr:clientData/>
  </xdr:twoCellAnchor>
  <xdr:oneCellAnchor>
    <xdr:from>
      <xdr:col>32</xdr:col>
      <xdr:colOff>64377</xdr:colOff>
      <xdr:row>110</xdr:row>
      <xdr:rowOff>0</xdr:rowOff>
    </xdr:from>
    <xdr:ext cx="121422" cy="146538"/>
    <xdr:pic>
      <xdr:nvPicPr>
        <xdr:cNvPr id="161" name="図 160">
          <a:extLst>
            <a:ext uri="{FF2B5EF4-FFF2-40B4-BE49-F238E27FC236}">
              <a16:creationId xmlns:a16="http://schemas.microsoft.com/office/drawing/2014/main" id="{9721EB23-300C-4796-972E-480E251D8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4022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62" name="図 161">
          <a:extLst>
            <a:ext uri="{FF2B5EF4-FFF2-40B4-BE49-F238E27FC236}">
              <a16:creationId xmlns:a16="http://schemas.microsoft.com/office/drawing/2014/main" id="{51F77F69-3182-4711-BC81-18893E11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63" name="図 162">
          <a:extLst>
            <a:ext uri="{FF2B5EF4-FFF2-40B4-BE49-F238E27FC236}">
              <a16:creationId xmlns:a16="http://schemas.microsoft.com/office/drawing/2014/main" id="{80A805F0-C215-4099-AB4B-3BEFD55DC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110</xdr:row>
      <xdr:rowOff>14123</xdr:rowOff>
    </xdr:from>
    <xdr:ext cx="121422" cy="146538"/>
    <xdr:pic>
      <xdr:nvPicPr>
        <xdr:cNvPr id="164" name="図 163">
          <a:extLst>
            <a:ext uri="{FF2B5EF4-FFF2-40B4-BE49-F238E27FC236}">
              <a16:creationId xmlns:a16="http://schemas.microsoft.com/office/drawing/2014/main" id="{83A0A265-CB8B-4FB4-A0F1-D0B7F17C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7054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171</xdr:row>
      <xdr:rowOff>0</xdr:rowOff>
    </xdr:from>
    <xdr:ext cx="121422" cy="146538"/>
    <xdr:pic>
      <xdr:nvPicPr>
        <xdr:cNvPr id="165" name="図 164">
          <a:extLst>
            <a:ext uri="{FF2B5EF4-FFF2-40B4-BE49-F238E27FC236}">
              <a16:creationId xmlns:a16="http://schemas.microsoft.com/office/drawing/2014/main" id="{74132F7D-353F-454A-B27A-FBBAB7D59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61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6" name="図 165">
          <a:extLst>
            <a:ext uri="{FF2B5EF4-FFF2-40B4-BE49-F238E27FC236}">
              <a16:creationId xmlns:a16="http://schemas.microsoft.com/office/drawing/2014/main" id="{25D6190E-6E6C-40B5-9DFB-54F0FCB91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171</xdr:row>
      <xdr:rowOff>0</xdr:rowOff>
    </xdr:from>
    <xdr:ext cx="121422" cy="146538"/>
    <xdr:pic>
      <xdr:nvPicPr>
        <xdr:cNvPr id="167" name="図 166">
          <a:extLst>
            <a:ext uri="{FF2B5EF4-FFF2-40B4-BE49-F238E27FC236}">
              <a16:creationId xmlns:a16="http://schemas.microsoft.com/office/drawing/2014/main" id="{4937C489-BA0E-491E-90F8-D2A4CC3B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61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8" name="図 167">
          <a:extLst>
            <a:ext uri="{FF2B5EF4-FFF2-40B4-BE49-F238E27FC236}">
              <a16:creationId xmlns:a16="http://schemas.microsoft.com/office/drawing/2014/main" id="{EE6BE36F-F362-465A-BDB4-A3467F8C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9" name="図 168">
          <a:extLst>
            <a:ext uri="{FF2B5EF4-FFF2-40B4-BE49-F238E27FC236}">
              <a16:creationId xmlns:a16="http://schemas.microsoft.com/office/drawing/2014/main" id="{8516EB82-3FE7-4683-9D2C-814F579B7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171</xdr:row>
      <xdr:rowOff>14123</xdr:rowOff>
    </xdr:from>
    <xdr:ext cx="121422" cy="146538"/>
    <xdr:pic>
      <xdr:nvPicPr>
        <xdr:cNvPr id="170" name="図 169">
          <a:extLst>
            <a:ext uri="{FF2B5EF4-FFF2-40B4-BE49-F238E27FC236}">
              <a16:creationId xmlns:a16="http://schemas.microsoft.com/office/drawing/2014/main" id="{401CB92C-B97B-4A0C-804E-5BB414D9F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560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F1E2EEA0-4271-40C2-B7CD-5597C214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34A3F862-6467-406C-BC6C-6ED3BFA2A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1438AE09-C2F4-4B2D-8564-E876AF545AE6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82D577EC-2CDF-4AE6-AE63-60396E95B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253A84BC-7A9B-4DFB-B161-795A97E0D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92D45931-7CE1-4AF0-8079-643633A8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6DB7E252-EB4D-47BE-9EFE-F112578F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3D456F93-1A6C-437F-AAF9-EF44CDAE7E6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63AD25F4-9D48-4FC2-B0C8-DE3E6DA49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9DD9F596-4CF1-4C5A-BA29-29B33FE6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6ECBB6EB-9120-4C57-B99B-CE9D6076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0889DE8B-4C2D-48E2-B417-E862C01E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9E5D03DF-18DE-453D-BA01-CE44FDC6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752AC0E1-867E-4E6B-87E9-CAA8F5B90E0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08DEDF39-8524-4F9D-890F-35BA71D7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34AE2632-89DF-40CF-9919-8F310B34470C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9172BC74-C165-4D3C-B359-A9910D38CB07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10EAC2AE-BB77-4BE0-8B59-F28C7750F252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6B0741EA-A5A6-462D-9FE1-E6B4FFA21417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21555C39-4885-4464-8CAC-9A5D5A41CCAF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69DCA0D1-AA27-4112-8080-45A59DFACF8A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ECADA76D-3EDF-47DA-B39B-316954EC8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DF272FD6-9C73-4939-92EF-A08EDE64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5" name="図 24">
          <a:extLst>
            <a:ext uri="{FF2B5EF4-FFF2-40B4-BE49-F238E27FC236}">
              <a16:creationId xmlns:a16="http://schemas.microsoft.com/office/drawing/2014/main" id="{2A88DA3E-04B0-4D92-9067-F66B2478F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6" name="図 25">
          <a:extLst>
            <a:ext uri="{FF2B5EF4-FFF2-40B4-BE49-F238E27FC236}">
              <a16:creationId xmlns:a16="http://schemas.microsoft.com/office/drawing/2014/main" id="{83164768-308E-45CC-AC39-70DA9BC81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27" name="図 26">
          <a:extLst>
            <a:ext uri="{FF2B5EF4-FFF2-40B4-BE49-F238E27FC236}">
              <a16:creationId xmlns:a16="http://schemas.microsoft.com/office/drawing/2014/main" id="{76DFF377-47E4-4D74-B9D6-59C872B5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0FDA59C6-E6F4-4FBF-B0C0-5AEB22DE5297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29" name="図 28">
          <a:extLst>
            <a:ext uri="{FF2B5EF4-FFF2-40B4-BE49-F238E27FC236}">
              <a16:creationId xmlns:a16="http://schemas.microsoft.com/office/drawing/2014/main" id="{FC9CD0FF-A58D-4359-AAF9-16C56AEB754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0" name="図 29">
          <a:extLst>
            <a:ext uri="{FF2B5EF4-FFF2-40B4-BE49-F238E27FC236}">
              <a16:creationId xmlns:a16="http://schemas.microsoft.com/office/drawing/2014/main" id="{EDE65A5D-DF9E-459F-80E5-54EA8C11C03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1" name="図 30">
          <a:extLst>
            <a:ext uri="{FF2B5EF4-FFF2-40B4-BE49-F238E27FC236}">
              <a16:creationId xmlns:a16="http://schemas.microsoft.com/office/drawing/2014/main" id="{FB48A4FE-7B75-4361-A926-FB872575735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2" name="図 31">
          <a:extLst>
            <a:ext uri="{FF2B5EF4-FFF2-40B4-BE49-F238E27FC236}">
              <a16:creationId xmlns:a16="http://schemas.microsoft.com/office/drawing/2014/main" id="{ADAE9E18-A0F5-4CD1-AC80-65BC91BC552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3" name="フローチャート: 代替処理 32">
          <a:extLst>
            <a:ext uri="{FF2B5EF4-FFF2-40B4-BE49-F238E27FC236}">
              <a16:creationId xmlns:a16="http://schemas.microsoft.com/office/drawing/2014/main" id="{D2EF21C5-1B56-4015-A040-B7CAF0B1D811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15</xdr:col>
      <xdr:colOff>0</xdr:colOff>
      <xdr:row>67</xdr:row>
      <xdr:rowOff>0</xdr:rowOff>
    </xdr:from>
    <xdr:ext cx="154736" cy="144000"/>
    <xdr:pic>
      <xdr:nvPicPr>
        <xdr:cNvPr id="34" name="図 33">
          <a:extLst>
            <a:ext uri="{FF2B5EF4-FFF2-40B4-BE49-F238E27FC236}">
              <a16:creationId xmlns:a16="http://schemas.microsoft.com/office/drawing/2014/main" id="{5830233B-18FE-42B4-B79F-77BCB191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2774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5" name="図 34">
          <a:extLst>
            <a:ext uri="{FF2B5EF4-FFF2-40B4-BE49-F238E27FC236}">
              <a16:creationId xmlns:a16="http://schemas.microsoft.com/office/drawing/2014/main" id="{F4C4D5C1-A6AE-45FC-8A03-84382FD21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36" name="図 35">
          <a:extLst>
            <a:ext uri="{FF2B5EF4-FFF2-40B4-BE49-F238E27FC236}">
              <a16:creationId xmlns:a16="http://schemas.microsoft.com/office/drawing/2014/main" id="{5C6E1C05-F3BB-4937-A8FD-F4C08E14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37" name="図 36">
          <a:extLst>
            <a:ext uri="{FF2B5EF4-FFF2-40B4-BE49-F238E27FC236}">
              <a16:creationId xmlns:a16="http://schemas.microsoft.com/office/drawing/2014/main" id="{ECF731C9-CDC4-4F1E-82E7-D6774D3B2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38" name="図 37">
          <a:extLst>
            <a:ext uri="{FF2B5EF4-FFF2-40B4-BE49-F238E27FC236}">
              <a16:creationId xmlns:a16="http://schemas.microsoft.com/office/drawing/2014/main" id="{10745B12-E534-4ADF-8158-0B7C6EC2878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86117ED5-8675-4741-A3B4-81D90AC1A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0" name="図 39">
          <a:extLst>
            <a:ext uri="{FF2B5EF4-FFF2-40B4-BE49-F238E27FC236}">
              <a16:creationId xmlns:a16="http://schemas.microsoft.com/office/drawing/2014/main" id="{CD38B1E2-019F-4AF1-B1D4-45167372B5C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1" name="図 40">
          <a:extLst>
            <a:ext uri="{FF2B5EF4-FFF2-40B4-BE49-F238E27FC236}">
              <a16:creationId xmlns:a16="http://schemas.microsoft.com/office/drawing/2014/main" id="{8493328B-6A1C-4D13-9A77-F4A4D777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2" name="フローチャート: 代替処理 41">
          <a:extLst>
            <a:ext uri="{FF2B5EF4-FFF2-40B4-BE49-F238E27FC236}">
              <a16:creationId xmlns:a16="http://schemas.microsoft.com/office/drawing/2014/main" id="{9668504D-09D7-42CC-8338-6C15300091E9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3" name="フローチャート: 代替処理 42">
          <a:extLst>
            <a:ext uri="{FF2B5EF4-FFF2-40B4-BE49-F238E27FC236}">
              <a16:creationId xmlns:a16="http://schemas.microsoft.com/office/drawing/2014/main" id="{904E92DB-1F2F-472F-A8B9-38CEAADF61E4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4" name="フローチャート: 代替処理 43">
          <a:extLst>
            <a:ext uri="{FF2B5EF4-FFF2-40B4-BE49-F238E27FC236}">
              <a16:creationId xmlns:a16="http://schemas.microsoft.com/office/drawing/2014/main" id="{5C360006-2F74-4D91-A999-18F3B10F5289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5" name="フローチャート: 代替処理 44">
          <a:extLst>
            <a:ext uri="{FF2B5EF4-FFF2-40B4-BE49-F238E27FC236}">
              <a16:creationId xmlns:a16="http://schemas.microsoft.com/office/drawing/2014/main" id="{47F10F3B-10B0-4B80-90EB-8F091378E31B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917EBFE1-7842-4622-A709-B39691D86EFA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5BEAB1C4-A64F-4F11-A811-472EDEA9E8B7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48" name="図 47">
          <a:extLst>
            <a:ext uri="{FF2B5EF4-FFF2-40B4-BE49-F238E27FC236}">
              <a16:creationId xmlns:a16="http://schemas.microsoft.com/office/drawing/2014/main" id="{EBF3DC8B-AB58-4012-AEDC-1776A7651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49" name="図 48">
          <a:extLst>
            <a:ext uri="{FF2B5EF4-FFF2-40B4-BE49-F238E27FC236}">
              <a16:creationId xmlns:a16="http://schemas.microsoft.com/office/drawing/2014/main" id="{81D16EB1-9800-4E83-A8AF-1085DBD4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0" name="図 49">
          <a:extLst>
            <a:ext uri="{FF2B5EF4-FFF2-40B4-BE49-F238E27FC236}">
              <a16:creationId xmlns:a16="http://schemas.microsoft.com/office/drawing/2014/main" id="{ABA6995A-9766-43D8-89B9-6796EFFE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1" name="図 50">
          <a:extLst>
            <a:ext uri="{FF2B5EF4-FFF2-40B4-BE49-F238E27FC236}">
              <a16:creationId xmlns:a16="http://schemas.microsoft.com/office/drawing/2014/main" id="{ABAE7204-9343-4E8E-9C31-970107CA7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2" name="図 51">
          <a:extLst>
            <a:ext uri="{FF2B5EF4-FFF2-40B4-BE49-F238E27FC236}">
              <a16:creationId xmlns:a16="http://schemas.microsoft.com/office/drawing/2014/main" id="{E89BA809-DFA3-45B2-A0DC-FA4DFA326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3" name="フローチャート: 代替処理 52">
          <a:extLst>
            <a:ext uri="{FF2B5EF4-FFF2-40B4-BE49-F238E27FC236}">
              <a16:creationId xmlns:a16="http://schemas.microsoft.com/office/drawing/2014/main" id="{98F31905-DBB4-47D9-8CA6-167721D0732A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4" name="フローチャート: 代替処理 53">
          <a:extLst>
            <a:ext uri="{FF2B5EF4-FFF2-40B4-BE49-F238E27FC236}">
              <a16:creationId xmlns:a16="http://schemas.microsoft.com/office/drawing/2014/main" id="{DC84BD57-0820-4029-A706-D94661537D1C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5" name="図 54">
          <a:extLst>
            <a:ext uri="{FF2B5EF4-FFF2-40B4-BE49-F238E27FC236}">
              <a16:creationId xmlns:a16="http://schemas.microsoft.com/office/drawing/2014/main" id="{E612C6B2-F3A2-494D-BEEA-192F2420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56" name="図 55">
          <a:extLst>
            <a:ext uri="{FF2B5EF4-FFF2-40B4-BE49-F238E27FC236}">
              <a16:creationId xmlns:a16="http://schemas.microsoft.com/office/drawing/2014/main" id="{790F7C6C-4D53-406D-A651-EF9CF888E6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119</xdr:row>
      <xdr:rowOff>24434</xdr:rowOff>
    </xdr:from>
    <xdr:to>
      <xdr:col>7</xdr:col>
      <xdr:colOff>65432</xdr:colOff>
      <xdr:row>120</xdr:row>
      <xdr:rowOff>106274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3C19DA4E-A178-4257-82A2-FDD139D338FC}"/>
            </a:ext>
          </a:extLst>
        </xdr:cNvPr>
        <xdr:cNvSpPr/>
      </xdr:nvSpPr>
      <xdr:spPr bwMode="auto">
        <a:xfrm>
          <a:off x="522633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119</xdr:row>
      <xdr:rowOff>24434</xdr:rowOff>
    </xdr:from>
    <xdr:to>
      <xdr:col>61</xdr:col>
      <xdr:colOff>151157</xdr:colOff>
      <xdr:row>120</xdr:row>
      <xdr:rowOff>106274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5D5D6B67-296B-4509-B633-607E6FBC9CBC}"/>
            </a:ext>
          </a:extLst>
        </xdr:cNvPr>
        <xdr:cNvSpPr/>
      </xdr:nvSpPr>
      <xdr:spPr bwMode="auto">
        <a:xfrm>
          <a:off x="9809508" y="184362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94</xdr:row>
      <xdr:rowOff>9525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6D64D689-8B89-4F86-9AA6-BFCC8C4F6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611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60" name="図 59">
          <a:extLst>
            <a:ext uri="{FF2B5EF4-FFF2-40B4-BE49-F238E27FC236}">
              <a16:creationId xmlns:a16="http://schemas.microsoft.com/office/drawing/2014/main" id="{D70D9818-F192-472D-8594-3BB633CA0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1" name="図 60">
          <a:extLst>
            <a:ext uri="{FF2B5EF4-FFF2-40B4-BE49-F238E27FC236}">
              <a16:creationId xmlns:a16="http://schemas.microsoft.com/office/drawing/2014/main" id="{EF56A356-C8F7-40AB-8D4C-26F64732E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62" name="図 61">
          <a:extLst>
            <a:ext uri="{FF2B5EF4-FFF2-40B4-BE49-F238E27FC236}">
              <a16:creationId xmlns:a16="http://schemas.microsoft.com/office/drawing/2014/main" id="{39F2B702-7627-4D86-9571-79947B8C6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3" name="図 62">
          <a:extLst>
            <a:ext uri="{FF2B5EF4-FFF2-40B4-BE49-F238E27FC236}">
              <a16:creationId xmlns:a16="http://schemas.microsoft.com/office/drawing/2014/main" id="{B94EFDA6-33EA-42E0-9115-215EA6AC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B15C6895-41C3-4E43-8880-D9EBDEAC9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EB8182F3-D34F-4384-B879-A8D4A7CB7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7DED6C92-04DD-497B-A21F-A71A472AD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31337DEF-38F4-4874-A544-9F8018F56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F8F4B37F-76E5-4F20-9F1E-515288D0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BBE51507-2F9B-41EE-9A21-66687B86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0CDA6A81-1E70-4838-A6B0-5A935FBA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BFA1628F-3130-47C6-8E00-115E66FCA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A2920B34-A64C-409B-B151-E6FAF411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D74F2A99-359C-4FC1-A637-905D5BBA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09693549-FE03-4C7D-85E4-9487378A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2B5DEF74-38E4-4A46-8ED9-00774517F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D3DB0B6D-102D-49B1-B526-193CE16AA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43C6B121-1459-47A9-8B78-2FA8DBAFE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425EF74C-0AFF-49CC-8186-D028F987D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028313AA-ECF5-4CF0-9972-1393EC0BE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49D7B078-7D4F-4E0C-ACF1-94C60B51D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6EB466EA-C273-43C1-A996-0BFBFF9E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68F006CC-A87B-4A3E-A72D-8BA5C6834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ADFDE892-4EC3-4E25-B3F1-8F1CC101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44509A7C-6E8D-4C9D-8906-B4DAFFDA5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8C2F1DE7-674E-4492-92B7-27D9AB7A1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B0FC8C74-1A2A-4293-9E20-55F42B1C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48340BE6-183E-4EC6-8326-0760DB791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78F2B85B-4D19-4346-9A49-E5F63A63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93384662-DB56-4F72-BBA2-ABC89FF77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48283B85-DADD-40D8-8B6D-3DE5033B1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00C4B6A5-5F85-4D08-8C06-9768DEBF6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FBDE5D4F-0017-4B31-A7CE-96C54B88F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909F4BBD-008B-421E-BBEE-0E4DE2ED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258460D2-152B-4EDB-96B8-7860D77A5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DA5A19D2-24E1-4779-8100-EB703EB58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83DC0FA6-75E2-4C39-87FB-0CF65302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C11E057F-E947-456E-AC99-30DAC9B66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98" name="図 97">
          <a:extLst>
            <a:ext uri="{FF2B5EF4-FFF2-40B4-BE49-F238E27FC236}">
              <a16:creationId xmlns:a16="http://schemas.microsoft.com/office/drawing/2014/main" id="{B164D537-7067-4257-B1D1-F9D5B9FBD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81</xdr:row>
      <xdr:rowOff>91109</xdr:rowOff>
    </xdr:from>
    <xdr:to>
      <xdr:col>52</xdr:col>
      <xdr:colOff>49696</xdr:colOff>
      <xdr:row>95</xdr:row>
      <xdr:rowOff>57978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CBFEE656-438D-4923-9BBE-19E1F30661CA}"/>
            </a:ext>
          </a:extLst>
        </xdr:cNvPr>
        <xdr:cNvSpPr/>
      </xdr:nvSpPr>
      <xdr:spPr bwMode="auto">
        <a:xfrm>
          <a:off x="419100" y="127117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107</xdr:row>
      <xdr:rowOff>14123</xdr:rowOff>
    </xdr:from>
    <xdr:ext cx="121422" cy="146538"/>
    <xdr:pic>
      <xdr:nvPicPr>
        <xdr:cNvPr id="100" name="図 99">
          <a:extLst>
            <a:ext uri="{FF2B5EF4-FFF2-40B4-BE49-F238E27FC236}">
              <a16:creationId xmlns:a16="http://schemas.microsoft.com/office/drawing/2014/main" id="{84C1BE01-D067-40EC-820E-AD96345E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5971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119</xdr:row>
      <xdr:rowOff>24434</xdr:rowOff>
    </xdr:from>
    <xdr:to>
      <xdr:col>56</xdr:col>
      <xdr:colOff>13997</xdr:colOff>
      <xdr:row>120</xdr:row>
      <xdr:rowOff>106274</xdr:rowOff>
    </xdr:to>
    <xdr:sp macro="" textlink="">
      <xdr:nvSpPr>
        <xdr:cNvPr id="101" name="フローチャート: 代替処理 100">
          <a:extLst>
            <a:ext uri="{FF2B5EF4-FFF2-40B4-BE49-F238E27FC236}">
              <a16:creationId xmlns:a16="http://schemas.microsoft.com/office/drawing/2014/main" id="{A6C6BE12-1724-4EA7-BCDA-2BD5E0513877}"/>
            </a:ext>
          </a:extLst>
        </xdr:cNvPr>
        <xdr:cNvSpPr/>
      </xdr:nvSpPr>
      <xdr:spPr bwMode="auto">
        <a:xfrm>
          <a:off x="8853198" y="184362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82</xdr:row>
      <xdr:rowOff>9525</xdr:rowOff>
    </xdr:from>
    <xdr:ext cx="121422" cy="146538"/>
    <xdr:pic>
      <xdr:nvPicPr>
        <xdr:cNvPr id="102" name="図 101">
          <a:extLst>
            <a:ext uri="{FF2B5EF4-FFF2-40B4-BE49-F238E27FC236}">
              <a16:creationId xmlns:a16="http://schemas.microsoft.com/office/drawing/2014/main" id="{F4331680-696E-4B9C-BBCE-57A878FD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782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109</xdr:row>
      <xdr:rowOff>147473</xdr:rowOff>
    </xdr:from>
    <xdr:ext cx="121422" cy="146538"/>
    <xdr:pic>
      <xdr:nvPicPr>
        <xdr:cNvPr id="103" name="図 102">
          <a:extLst>
            <a:ext uri="{FF2B5EF4-FFF2-40B4-BE49-F238E27FC236}">
              <a16:creationId xmlns:a16="http://schemas.microsoft.com/office/drawing/2014/main" id="{A6B65B2A-16B0-47EB-B046-13F70122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7035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107</xdr:row>
      <xdr:rowOff>23648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12100D69-2D38-4669-AFBE-E790472CF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6066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05" name="図 104">
          <a:extLst>
            <a:ext uri="{FF2B5EF4-FFF2-40B4-BE49-F238E27FC236}">
              <a16:creationId xmlns:a16="http://schemas.microsoft.com/office/drawing/2014/main" id="{EE7CC053-D83E-4D7D-AA16-B1D52F2BE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82</xdr:row>
      <xdr:rowOff>25619</xdr:rowOff>
    </xdr:from>
    <xdr:ext cx="144000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694677D9-EF5F-41D9-9875-A50957AC8CE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7986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86</xdr:row>
      <xdr:rowOff>6569</xdr:rowOff>
    </xdr:from>
    <xdr:ext cx="144000" cy="144000"/>
    <xdr:pic>
      <xdr:nvPicPr>
        <xdr:cNvPr id="107" name="図 106">
          <a:extLst>
            <a:ext uri="{FF2B5EF4-FFF2-40B4-BE49-F238E27FC236}">
              <a16:creationId xmlns:a16="http://schemas.microsoft.com/office/drawing/2014/main" id="{F986281A-B895-41E4-A1F0-896AD7DD8F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389194"/>
          <a:ext cx="144000" cy="144000"/>
        </a:xfrm>
        <a:prstGeom prst="rect">
          <a:avLst/>
        </a:prstGeom>
      </xdr:spPr>
    </xdr:pic>
    <xdr:clientData/>
  </xdr:oneCellAnchor>
  <xdr:twoCellAnchor>
    <xdr:from>
      <xdr:col>63</xdr:col>
      <xdr:colOff>133350</xdr:colOff>
      <xdr:row>59</xdr:row>
      <xdr:rowOff>0</xdr:rowOff>
    </xdr:from>
    <xdr:to>
      <xdr:col>82</xdr:col>
      <xdr:colOff>76200</xdr:colOff>
      <xdr:row>64</xdr:row>
      <xdr:rowOff>0</xdr:rowOff>
    </xdr:to>
    <xdr:sp macro="" textlink="">
      <xdr:nvSpPr>
        <xdr:cNvPr id="108" name="吹き出し: 四角形 107">
          <a:extLst>
            <a:ext uri="{FF2B5EF4-FFF2-40B4-BE49-F238E27FC236}">
              <a16:creationId xmlns:a16="http://schemas.microsoft.com/office/drawing/2014/main" id="{4717E839-82ED-4759-BD2D-B247BA0B5398}"/>
            </a:ext>
          </a:extLst>
        </xdr:cNvPr>
        <xdr:cNvSpPr/>
      </xdr:nvSpPr>
      <xdr:spPr>
        <a:xfrm>
          <a:off x="10887075" y="9058275"/>
          <a:ext cx="3200400" cy="762000"/>
        </a:xfrm>
        <a:prstGeom prst="wedgeRectCallout">
          <a:avLst>
            <a:gd name="adj1" fmla="val -114583"/>
            <a:gd name="adj2" fmla="val -4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受注区分で加工品以外を選択時、受注明細が非表示となる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180</xdr:row>
      <xdr:rowOff>24434</xdr:rowOff>
    </xdr:from>
    <xdr:to>
      <xdr:col>7</xdr:col>
      <xdr:colOff>65432</xdr:colOff>
      <xdr:row>181</xdr:row>
      <xdr:rowOff>106274</xdr:rowOff>
    </xdr:to>
    <xdr:sp macro="" textlink="">
      <xdr:nvSpPr>
        <xdr:cNvPr id="109" name="フローチャート: 代替処理 108">
          <a:extLst>
            <a:ext uri="{FF2B5EF4-FFF2-40B4-BE49-F238E27FC236}">
              <a16:creationId xmlns:a16="http://schemas.microsoft.com/office/drawing/2014/main" id="{91BDDFE2-7964-4715-8FE9-A601317852D2}"/>
            </a:ext>
          </a:extLst>
        </xdr:cNvPr>
        <xdr:cNvSpPr/>
      </xdr:nvSpPr>
      <xdr:spPr bwMode="auto">
        <a:xfrm>
          <a:off x="522633" y="279422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180</xdr:row>
      <xdr:rowOff>24434</xdr:rowOff>
    </xdr:from>
    <xdr:to>
      <xdr:col>61</xdr:col>
      <xdr:colOff>151157</xdr:colOff>
      <xdr:row>181</xdr:row>
      <xdr:rowOff>106274</xdr:rowOff>
    </xdr:to>
    <xdr:sp macro="" textlink="">
      <xdr:nvSpPr>
        <xdr:cNvPr id="110" name="フローチャート: 代替処理 109">
          <a:extLst>
            <a:ext uri="{FF2B5EF4-FFF2-40B4-BE49-F238E27FC236}">
              <a16:creationId xmlns:a16="http://schemas.microsoft.com/office/drawing/2014/main" id="{D4CFD4C1-A7D6-449D-A914-B265FBF8DEE4}"/>
            </a:ext>
          </a:extLst>
        </xdr:cNvPr>
        <xdr:cNvSpPr/>
      </xdr:nvSpPr>
      <xdr:spPr bwMode="auto">
        <a:xfrm>
          <a:off x="9809508" y="279422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11</xdr:col>
      <xdr:colOff>38100</xdr:colOff>
      <xdr:row>155</xdr:row>
      <xdr:rowOff>9525</xdr:rowOff>
    </xdr:from>
    <xdr:ext cx="121422" cy="146538"/>
    <xdr:pic>
      <xdr:nvPicPr>
        <xdr:cNvPr id="111" name="図 110">
          <a:extLst>
            <a:ext uri="{FF2B5EF4-FFF2-40B4-BE49-F238E27FC236}">
              <a16:creationId xmlns:a16="http://schemas.microsoft.com/office/drawing/2014/main" id="{C6B82B9C-942A-430A-BBCB-4B00FF0BC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41173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12" name="図 111">
          <a:extLst>
            <a:ext uri="{FF2B5EF4-FFF2-40B4-BE49-F238E27FC236}">
              <a16:creationId xmlns:a16="http://schemas.microsoft.com/office/drawing/2014/main" id="{ABC6CEF4-6F6E-4812-86C5-6733873C2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13" name="図 112">
          <a:extLst>
            <a:ext uri="{FF2B5EF4-FFF2-40B4-BE49-F238E27FC236}">
              <a16:creationId xmlns:a16="http://schemas.microsoft.com/office/drawing/2014/main" id="{DD54BE0B-679B-4CFE-BEA0-471323B72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14" name="図 113">
          <a:extLst>
            <a:ext uri="{FF2B5EF4-FFF2-40B4-BE49-F238E27FC236}">
              <a16:creationId xmlns:a16="http://schemas.microsoft.com/office/drawing/2014/main" id="{62BFA6A6-2D05-42A7-82A3-58894BF6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15" name="図 114">
          <a:extLst>
            <a:ext uri="{FF2B5EF4-FFF2-40B4-BE49-F238E27FC236}">
              <a16:creationId xmlns:a16="http://schemas.microsoft.com/office/drawing/2014/main" id="{D36AF7CA-E774-4AD2-8220-15A8C4F2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16" name="図 115">
          <a:extLst>
            <a:ext uri="{FF2B5EF4-FFF2-40B4-BE49-F238E27FC236}">
              <a16:creationId xmlns:a16="http://schemas.microsoft.com/office/drawing/2014/main" id="{6C95AD96-356B-4D60-A774-7187BA303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06FAA980-CDEC-4CC8-B21D-ADE059CE2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18" name="図 117">
          <a:extLst>
            <a:ext uri="{FF2B5EF4-FFF2-40B4-BE49-F238E27FC236}">
              <a16:creationId xmlns:a16="http://schemas.microsoft.com/office/drawing/2014/main" id="{AD942E7A-2558-4127-A564-1CF326CF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19" name="図 118">
          <a:extLst>
            <a:ext uri="{FF2B5EF4-FFF2-40B4-BE49-F238E27FC236}">
              <a16:creationId xmlns:a16="http://schemas.microsoft.com/office/drawing/2014/main" id="{A56746C6-B96B-41B2-AE31-1D210889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20" name="図 119">
          <a:extLst>
            <a:ext uri="{FF2B5EF4-FFF2-40B4-BE49-F238E27FC236}">
              <a16:creationId xmlns:a16="http://schemas.microsoft.com/office/drawing/2014/main" id="{701179D9-6E06-4782-A135-C96E77345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161</xdr:row>
      <xdr:rowOff>7327</xdr:rowOff>
    </xdr:from>
    <xdr:ext cx="154736" cy="144000"/>
    <xdr:pic>
      <xdr:nvPicPr>
        <xdr:cNvPr id="121" name="図 120">
          <a:extLst>
            <a:ext uri="{FF2B5EF4-FFF2-40B4-BE49-F238E27FC236}">
              <a16:creationId xmlns:a16="http://schemas.microsoft.com/office/drawing/2014/main" id="{6A0F4933-4DE4-4972-91D0-A6969CE74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22" name="図 121">
          <a:extLst>
            <a:ext uri="{FF2B5EF4-FFF2-40B4-BE49-F238E27FC236}">
              <a16:creationId xmlns:a16="http://schemas.microsoft.com/office/drawing/2014/main" id="{EDF50246-097D-415E-BE8C-D8F2808E8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161</xdr:row>
      <xdr:rowOff>7327</xdr:rowOff>
    </xdr:from>
    <xdr:ext cx="154736" cy="144000"/>
    <xdr:pic>
      <xdr:nvPicPr>
        <xdr:cNvPr id="123" name="図 122">
          <a:extLst>
            <a:ext uri="{FF2B5EF4-FFF2-40B4-BE49-F238E27FC236}">
              <a16:creationId xmlns:a16="http://schemas.microsoft.com/office/drawing/2014/main" id="{F35F1786-C101-4975-BDC9-920975C1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24" name="図 123">
          <a:extLst>
            <a:ext uri="{FF2B5EF4-FFF2-40B4-BE49-F238E27FC236}">
              <a16:creationId xmlns:a16="http://schemas.microsoft.com/office/drawing/2014/main" id="{09F7EE42-32B4-4842-9FC0-1CA365DE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0B671049-195A-4F19-B44F-5EE14C9D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26" name="図 125">
          <a:extLst>
            <a:ext uri="{FF2B5EF4-FFF2-40B4-BE49-F238E27FC236}">
              <a16:creationId xmlns:a16="http://schemas.microsoft.com/office/drawing/2014/main" id="{BC7A1395-4248-4C0B-8BB8-CCF2CA1BA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BB1B9947-35C2-4ACF-A3B6-9E21FC9D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28" name="図 127">
          <a:extLst>
            <a:ext uri="{FF2B5EF4-FFF2-40B4-BE49-F238E27FC236}">
              <a16:creationId xmlns:a16="http://schemas.microsoft.com/office/drawing/2014/main" id="{5B55E059-8C9F-42A5-8598-7E246DB0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2A841CE7-5A38-4E78-BE7E-73B4C2BF2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AA613719-9A02-4D70-AEAC-211FF8F2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431507AB-E24B-4C7A-B8B0-7BC0DF90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160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27D7C43F-B185-4AA1-8D9F-C821D9A0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161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1BDEA6F0-B74C-4525-933F-9831341C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160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53166349-3042-433A-A41B-B01635E5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161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8FEA8603-86E8-4BAE-8778-527FD57A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9A3F6FD9-85B1-44F6-99AD-F0914AAA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E4C66044-F167-4DC6-8685-45FC385D6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160</xdr:row>
      <xdr:rowOff>7327</xdr:rowOff>
    </xdr:from>
    <xdr:ext cx="154736" cy="144000"/>
    <xdr:pic>
      <xdr:nvPicPr>
        <xdr:cNvPr id="138" name="図 137">
          <a:extLst>
            <a:ext uri="{FF2B5EF4-FFF2-40B4-BE49-F238E27FC236}">
              <a16:creationId xmlns:a16="http://schemas.microsoft.com/office/drawing/2014/main" id="{2CB30EA8-E9F3-481D-B77D-DF1AAAFD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161</xdr:row>
      <xdr:rowOff>7327</xdr:rowOff>
    </xdr:from>
    <xdr:ext cx="154736" cy="144000"/>
    <xdr:pic>
      <xdr:nvPicPr>
        <xdr:cNvPr id="139" name="図 138">
          <a:extLst>
            <a:ext uri="{FF2B5EF4-FFF2-40B4-BE49-F238E27FC236}">
              <a16:creationId xmlns:a16="http://schemas.microsoft.com/office/drawing/2014/main" id="{5A2BF6BA-7423-4FCE-B379-5324815F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0" name="図 139">
          <a:extLst>
            <a:ext uri="{FF2B5EF4-FFF2-40B4-BE49-F238E27FC236}">
              <a16:creationId xmlns:a16="http://schemas.microsoft.com/office/drawing/2014/main" id="{699A2A49-B525-4842-8CC1-87685E09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1" name="図 140">
          <a:extLst>
            <a:ext uri="{FF2B5EF4-FFF2-40B4-BE49-F238E27FC236}">
              <a16:creationId xmlns:a16="http://schemas.microsoft.com/office/drawing/2014/main" id="{1E826307-21E0-4464-94D1-D798998D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2" name="図 141">
          <a:extLst>
            <a:ext uri="{FF2B5EF4-FFF2-40B4-BE49-F238E27FC236}">
              <a16:creationId xmlns:a16="http://schemas.microsoft.com/office/drawing/2014/main" id="{15EB24D2-5675-4E83-B07C-AED0583C9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161</xdr:row>
      <xdr:rowOff>7327</xdr:rowOff>
    </xdr:from>
    <xdr:ext cx="154736" cy="144000"/>
    <xdr:pic>
      <xdr:nvPicPr>
        <xdr:cNvPr id="143" name="図 142">
          <a:extLst>
            <a:ext uri="{FF2B5EF4-FFF2-40B4-BE49-F238E27FC236}">
              <a16:creationId xmlns:a16="http://schemas.microsoft.com/office/drawing/2014/main" id="{5068760B-04F7-4489-854C-3ECE5580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4" name="図 143">
          <a:extLst>
            <a:ext uri="{FF2B5EF4-FFF2-40B4-BE49-F238E27FC236}">
              <a16:creationId xmlns:a16="http://schemas.microsoft.com/office/drawing/2014/main" id="{F8E624B0-E5DD-4FB0-BC87-2C544D65D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5" name="図 144">
          <a:extLst>
            <a:ext uri="{FF2B5EF4-FFF2-40B4-BE49-F238E27FC236}">
              <a16:creationId xmlns:a16="http://schemas.microsoft.com/office/drawing/2014/main" id="{43498E62-4BEF-40ED-9F5F-47E365A3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160</xdr:row>
      <xdr:rowOff>7327</xdr:rowOff>
    </xdr:from>
    <xdr:ext cx="154736" cy="144000"/>
    <xdr:pic>
      <xdr:nvPicPr>
        <xdr:cNvPr id="146" name="図 145">
          <a:extLst>
            <a:ext uri="{FF2B5EF4-FFF2-40B4-BE49-F238E27FC236}">
              <a16:creationId xmlns:a16="http://schemas.microsoft.com/office/drawing/2014/main" id="{68A360F4-63E1-4836-BB26-89924B81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8771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161</xdr:row>
      <xdr:rowOff>7327</xdr:rowOff>
    </xdr:from>
    <xdr:ext cx="154736" cy="144000"/>
    <xdr:pic>
      <xdr:nvPicPr>
        <xdr:cNvPr id="147" name="図 146">
          <a:extLst>
            <a:ext uri="{FF2B5EF4-FFF2-40B4-BE49-F238E27FC236}">
              <a16:creationId xmlns:a16="http://schemas.microsoft.com/office/drawing/2014/main" id="{67F7A8E8-0B6F-427A-8DA9-97C9691C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5029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153</xdr:row>
      <xdr:rowOff>7327</xdr:rowOff>
    </xdr:from>
    <xdr:ext cx="154736" cy="144000"/>
    <xdr:pic>
      <xdr:nvPicPr>
        <xdr:cNvPr id="148" name="図 147">
          <a:extLst>
            <a:ext uri="{FF2B5EF4-FFF2-40B4-BE49-F238E27FC236}">
              <a16:creationId xmlns:a16="http://schemas.microsoft.com/office/drawing/2014/main" id="{75118789-FCD3-46B9-9AAC-359D11D6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810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153</xdr:row>
      <xdr:rowOff>7327</xdr:rowOff>
    </xdr:from>
    <xdr:ext cx="154736" cy="144000"/>
    <xdr:pic>
      <xdr:nvPicPr>
        <xdr:cNvPr id="149" name="図 148">
          <a:extLst>
            <a:ext uri="{FF2B5EF4-FFF2-40B4-BE49-F238E27FC236}">
              <a16:creationId xmlns:a16="http://schemas.microsoft.com/office/drawing/2014/main" id="{03AD2D7B-7588-4C6C-AD18-2EE84CD3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810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168</xdr:row>
      <xdr:rowOff>23648</xdr:rowOff>
    </xdr:from>
    <xdr:ext cx="121422" cy="146538"/>
    <xdr:pic>
      <xdr:nvPicPr>
        <xdr:cNvPr id="150" name="図 149">
          <a:extLst>
            <a:ext uri="{FF2B5EF4-FFF2-40B4-BE49-F238E27FC236}">
              <a16:creationId xmlns:a16="http://schemas.microsoft.com/office/drawing/2014/main" id="{4BDD3CA6-6F9F-4E90-8CB9-2FFFDC13E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61126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142</xdr:row>
      <xdr:rowOff>91109</xdr:rowOff>
    </xdr:from>
    <xdr:to>
      <xdr:col>52</xdr:col>
      <xdr:colOff>49696</xdr:colOff>
      <xdr:row>156</xdr:row>
      <xdr:rowOff>57978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A907291D-76C6-400F-83FF-068E4E215814}"/>
            </a:ext>
          </a:extLst>
        </xdr:cNvPr>
        <xdr:cNvSpPr/>
      </xdr:nvSpPr>
      <xdr:spPr bwMode="auto">
        <a:xfrm>
          <a:off x="419100" y="2221768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168</xdr:row>
      <xdr:rowOff>14123</xdr:rowOff>
    </xdr:from>
    <xdr:ext cx="121422" cy="146538"/>
    <xdr:pic>
      <xdr:nvPicPr>
        <xdr:cNvPr id="152" name="図 151">
          <a:extLst>
            <a:ext uri="{FF2B5EF4-FFF2-40B4-BE49-F238E27FC236}">
              <a16:creationId xmlns:a16="http://schemas.microsoft.com/office/drawing/2014/main" id="{65313473-AF02-4D93-8205-A9C312D9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1030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51</xdr:col>
      <xdr:colOff>118773</xdr:colOff>
      <xdr:row>180</xdr:row>
      <xdr:rowOff>24434</xdr:rowOff>
    </xdr:from>
    <xdr:to>
      <xdr:col>56</xdr:col>
      <xdr:colOff>13997</xdr:colOff>
      <xdr:row>181</xdr:row>
      <xdr:rowOff>106274</xdr:rowOff>
    </xdr:to>
    <xdr:sp macro="" textlink="">
      <xdr:nvSpPr>
        <xdr:cNvPr id="153" name="フローチャート: 代替処理 152">
          <a:extLst>
            <a:ext uri="{FF2B5EF4-FFF2-40B4-BE49-F238E27FC236}">
              <a16:creationId xmlns:a16="http://schemas.microsoft.com/office/drawing/2014/main" id="{079CEA11-2C10-40B6-924F-7FBB1019631B}"/>
            </a:ext>
          </a:extLst>
        </xdr:cNvPr>
        <xdr:cNvSpPr/>
      </xdr:nvSpPr>
      <xdr:spPr bwMode="auto">
        <a:xfrm>
          <a:off x="8853198" y="279422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143</xdr:row>
      <xdr:rowOff>9525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D7026246-21BB-4793-84C0-18CFEDC3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22885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168</xdr:row>
      <xdr:rowOff>23648</xdr:rowOff>
    </xdr:from>
    <xdr:ext cx="121422" cy="146538"/>
    <xdr:pic>
      <xdr:nvPicPr>
        <xdr:cNvPr id="155" name="図 154">
          <a:extLst>
            <a:ext uri="{FF2B5EF4-FFF2-40B4-BE49-F238E27FC236}">
              <a16:creationId xmlns:a16="http://schemas.microsoft.com/office/drawing/2014/main" id="{BD118970-8749-4A22-AF24-D34CBCD62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61126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143</xdr:row>
      <xdr:rowOff>25619</xdr:rowOff>
    </xdr:from>
    <xdr:ext cx="144000" cy="144000"/>
    <xdr:pic>
      <xdr:nvPicPr>
        <xdr:cNvPr id="156" name="図 155">
          <a:extLst>
            <a:ext uri="{FF2B5EF4-FFF2-40B4-BE49-F238E27FC236}">
              <a16:creationId xmlns:a16="http://schemas.microsoft.com/office/drawing/2014/main" id="{16C94A00-91D6-4210-81B3-CB2A39E34CF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2230459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147</xdr:row>
      <xdr:rowOff>6569</xdr:rowOff>
    </xdr:from>
    <xdr:ext cx="144000" cy="144000"/>
    <xdr:pic>
      <xdr:nvPicPr>
        <xdr:cNvPr id="157" name="図 156">
          <a:extLst>
            <a:ext uri="{FF2B5EF4-FFF2-40B4-BE49-F238E27FC236}">
              <a16:creationId xmlns:a16="http://schemas.microsoft.com/office/drawing/2014/main" id="{B570C8DC-36F5-4121-A066-0CF90ADE9541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22895144"/>
          <a:ext cx="144000" cy="144000"/>
        </a:xfrm>
        <a:prstGeom prst="rect">
          <a:avLst/>
        </a:prstGeom>
      </xdr:spPr>
    </xdr:pic>
    <xdr:clientData/>
  </xdr:oneCellAnchor>
  <xdr:twoCellAnchor>
    <xdr:from>
      <xdr:col>58</xdr:col>
      <xdr:colOff>133349</xdr:colOff>
      <xdr:row>151</xdr:row>
      <xdr:rowOff>38100</xdr:rowOff>
    </xdr:from>
    <xdr:to>
      <xdr:col>76</xdr:col>
      <xdr:colOff>57149</xdr:colOff>
      <xdr:row>157</xdr:row>
      <xdr:rowOff>76200</xdr:rowOff>
    </xdr:to>
    <xdr:sp macro="" textlink="">
      <xdr:nvSpPr>
        <xdr:cNvPr id="158" name="吹き出し: 四角形 157">
          <a:extLst>
            <a:ext uri="{FF2B5EF4-FFF2-40B4-BE49-F238E27FC236}">
              <a16:creationId xmlns:a16="http://schemas.microsoft.com/office/drawing/2014/main" id="{11B5570E-924F-4FAA-9D4F-B999EDCA9729}"/>
            </a:ext>
          </a:extLst>
        </xdr:cNvPr>
        <xdr:cNvSpPr/>
      </xdr:nvSpPr>
      <xdr:spPr>
        <a:xfrm>
          <a:off x="10001249" y="23536275"/>
          <a:ext cx="3038475" cy="952500"/>
        </a:xfrm>
        <a:prstGeom prst="wedgeRectCallout">
          <a:avLst>
            <a:gd name="adj1" fmla="val -316091"/>
            <a:gd name="adj2" fmla="val -83499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経費品用の経費品目を指定する</a:t>
          </a:r>
        </a:p>
      </xdr:txBody>
    </xdr:sp>
    <xdr:clientData/>
  </xdr:twoCellAnchor>
  <xdr:oneCellAnchor>
    <xdr:from>
      <xdr:col>13</xdr:col>
      <xdr:colOff>104363</xdr:colOff>
      <xdr:row>110</xdr:row>
      <xdr:rowOff>3726</xdr:rowOff>
    </xdr:from>
    <xdr:ext cx="154736" cy="144000"/>
    <xdr:pic>
      <xdr:nvPicPr>
        <xdr:cNvPr id="159" name="図 158">
          <a:extLst>
            <a:ext uri="{FF2B5EF4-FFF2-40B4-BE49-F238E27FC236}">
              <a16:creationId xmlns:a16="http://schemas.microsoft.com/office/drawing/2014/main" id="{924A8B95-7EA6-4D28-BD2A-1E5AB3E18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70439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110</xdr:row>
      <xdr:rowOff>14123</xdr:rowOff>
    </xdr:from>
    <xdr:ext cx="121422" cy="146538"/>
    <xdr:pic>
      <xdr:nvPicPr>
        <xdr:cNvPr id="160" name="図 159">
          <a:extLst>
            <a:ext uri="{FF2B5EF4-FFF2-40B4-BE49-F238E27FC236}">
              <a16:creationId xmlns:a16="http://schemas.microsoft.com/office/drawing/2014/main" id="{0D230F39-24E5-4C3D-8897-DA0DF315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7054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171</xdr:row>
      <xdr:rowOff>0</xdr:rowOff>
    </xdr:from>
    <xdr:ext cx="121422" cy="146538"/>
    <xdr:pic>
      <xdr:nvPicPr>
        <xdr:cNvPr id="161" name="図 160">
          <a:extLst>
            <a:ext uri="{FF2B5EF4-FFF2-40B4-BE49-F238E27FC236}">
              <a16:creationId xmlns:a16="http://schemas.microsoft.com/office/drawing/2014/main" id="{EAED6E73-63E7-4158-BA30-6AAD8804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65461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2" name="図 161">
          <a:extLst>
            <a:ext uri="{FF2B5EF4-FFF2-40B4-BE49-F238E27FC236}">
              <a16:creationId xmlns:a16="http://schemas.microsoft.com/office/drawing/2014/main" id="{56819D42-BDA1-458E-8450-8656BF43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171</xdr:row>
      <xdr:rowOff>3726</xdr:rowOff>
    </xdr:from>
    <xdr:ext cx="154736" cy="144000"/>
    <xdr:pic>
      <xdr:nvPicPr>
        <xdr:cNvPr id="163" name="図 162">
          <a:extLst>
            <a:ext uri="{FF2B5EF4-FFF2-40B4-BE49-F238E27FC236}">
              <a16:creationId xmlns:a16="http://schemas.microsoft.com/office/drawing/2014/main" id="{8088E964-9A80-4B82-991E-AB1864010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65499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171</xdr:row>
      <xdr:rowOff>14123</xdr:rowOff>
    </xdr:from>
    <xdr:ext cx="121422" cy="146538"/>
    <xdr:pic>
      <xdr:nvPicPr>
        <xdr:cNvPr id="164" name="図 163">
          <a:extLst>
            <a:ext uri="{FF2B5EF4-FFF2-40B4-BE49-F238E27FC236}">
              <a16:creationId xmlns:a16="http://schemas.microsoft.com/office/drawing/2014/main" id="{EA363D92-2A70-48E5-832A-9A905781B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65602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E96665E2-1F9C-4811-BF67-954AC3B3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B96471F3-46D7-4BD6-B490-E8AB5529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F0E10A25-42F7-4194-9FD0-1CF6AA7F5D18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286A0F7F-E765-47A0-BA81-EE78EC5DA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34AB5EF0-397A-4E25-AEDC-FE25F80A2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4B4BC54D-E2EA-4397-A420-93B3DFAC0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C3AE7488-E67D-4EEA-BBF8-660887E9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9A3D6320-5B7D-4F9F-A6D8-7BA4ABD66E1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5021EA0A-D978-49E9-83F6-AE6CCECE9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743018E4-5A54-4425-891F-68B79AA3E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5219278C-9499-4FEE-8CE7-4FFE7A90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8A51509D-9201-4DA3-86B0-93FF8B41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4EFFAC92-DCA7-4714-85DE-C9BC060A8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99C2ECAB-5C79-4FAC-9885-8883699A15F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C96A81DA-5CBF-47CB-9942-887FB436D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3AA36962-6F29-402F-B53A-0EBBF0277DCF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161DD8D9-8669-44EB-82BE-ADE6033D70A3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56C6AD2C-C542-41EB-8A17-B199DFB8D31C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D13B309B-D56D-4B34-BFAB-BC0AA4F03012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36F457A8-A346-4734-A89E-A7C998CE68AD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D9D79A08-75D6-443C-B84F-AEFD47584099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7ED090D4-C5AD-481F-A9E4-3355BDEC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F371A99C-1344-4802-9A2B-18C0973F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41414</xdr:colOff>
      <xdr:row>259</xdr:row>
      <xdr:rowOff>33132</xdr:rowOff>
    </xdr:from>
    <xdr:to>
      <xdr:col>18</xdr:col>
      <xdr:colOff>72224</xdr:colOff>
      <xdr:row>260</xdr:row>
      <xdr:rowOff>118285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55234CFC-1C52-47F2-835A-66BD45605155}"/>
            </a:ext>
          </a:extLst>
        </xdr:cNvPr>
        <xdr:cNvSpPr/>
      </xdr:nvSpPr>
      <xdr:spPr bwMode="auto">
        <a:xfrm>
          <a:off x="2327414" y="40828707"/>
          <a:ext cx="67851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18</xdr:col>
      <xdr:colOff>163665</xdr:colOff>
      <xdr:row>259</xdr:row>
      <xdr:rowOff>33132</xdr:rowOff>
    </xdr:from>
    <xdr:to>
      <xdr:col>23</xdr:col>
      <xdr:colOff>21203</xdr:colOff>
      <xdr:row>260</xdr:row>
      <xdr:rowOff>118285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B0686EB5-5AE1-411E-AD39-D3C669A4471E}"/>
            </a:ext>
          </a:extLst>
        </xdr:cNvPr>
        <xdr:cNvSpPr/>
      </xdr:nvSpPr>
      <xdr:spPr bwMode="auto">
        <a:xfrm>
          <a:off x="3097365" y="40828707"/>
          <a:ext cx="66716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</xdr:col>
      <xdr:colOff>177248</xdr:colOff>
      <xdr:row>259</xdr:row>
      <xdr:rowOff>36445</xdr:rowOff>
    </xdr:from>
    <xdr:to>
      <xdr:col>7</xdr:col>
      <xdr:colOff>993</xdr:colOff>
      <xdr:row>260</xdr:row>
      <xdr:rowOff>121598</xdr:rowOff>
    </xdr:to>
    <xdr:sp macro="" textlink="">
      <xdr:nvSpPr>
        <xdr:cNvPr id="27" name="フローチャート: 代替処理 26">
          <a:extLst>
            <a:ext uri="{FF2B5EF4-FFF2-40B4-BE49-F238E27FC236}">
              <a16:creationId xmlns:a16="http://schemas.microsoft.com/office/drawing/2014/main" id="{55C9428A-50E5-4DE6-8928-C30DEB41D052}"/>
            </a:ext>
          </a:extLst>
        </xdr:cNvPr>
        <xdr:cNvSpPr/>
      </xdr:nvSpPr>
      <xdr:spPr bwMode="auto">
        <a:xfrm>
          <a:off x="501098" y="4083202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46</xdr:col>
      <xdr:colOff>53837</xdr:colOff>
      <xdr:row>259</xdr:row>
      <xdr:rowOff>33959</xdr:rowOff>
    </xdr:from>
    <xdr:to>
      <xdr:col>50</xdr:col>
      <xdr:colOff>126137</xdr:colOff>
      <xdr:row>260</xdr:row>
      <xdr:rowOff>108916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4DCC89C3-49FE-4207-B914-BD1508F20891}"/>
            </a:ext>
          </a:extLst>
        </xdr:cNvPr>
        <xdr:cNvSpPr/>
      </xdr:nvSpPr>
      <xdr:spPr bwMode="auto">
        <a:xfrm>
          <a:off x="7978637" y="40829534"/>
          <a:ext cx="720000" cy="22735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9" name="図 28">
          <a:extLst>
            <a:ext uri="{FF2B5EF4-FFF2-40B4-BE49-F238E27FC236}">
              <a16:creationId xmlns:a16="http://schemas.microsoft.com/office/drawing/2014/main" id="{FFB275F8-9534-4C62-BCC9-C522E44E6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30" name="図 29">
          <a:extLst>
            <a:ext uri="{FF2B5EF4-FFF2-40B4-BE49-F238E27FC236}">
              <a16:creationId xmlns:a16="http://schemas.microsoft.com/office/drawing/2014/main" id="{6D595AEF-BC28-4E5D-9809-DC0E4CC0F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31" name="図 30">
          <a:extLst>
            <a:ext uri="{FF2B5EF4-FFF2-40B4-BE49-F238E27FC236}">
              <a16:creationId xmlns:a16="http://schemas.microsoft.com/office/drawing/2014/main" id="{E81E2F47-D40D-4308-B452-7F1C65F9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32" name="フローチャート: 代替処理 31">
          <a:extLst>
            <a:ext uri="{FF2B5EF4-FFF2-40B4-BE49-F238E27FC236}">
              <a16:creationId xmlns:a16="http://schemas.microsoft.com/office/drawing/2014/main" id="{3F0022F2-A8E0-40CC-8D45-220075F494AD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33" name="図 32">
          <a:extLst>
            <a:ext uri="{FF2B5EF4-FFF2-40B4-BE49-F238E27FC236}">
              <a16:creationId xmlns:a16="http://schemas.microsoft.com/office/drawing/2014/main" id="{91406883-9E18-43E6-9A3B-50245A31BBC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4" name="図 33">
          <a:extLst>
            <a:ext uri="{FF2B5EF4-FFF2-40B4-BE49-F238E27FC236}">
              <a16:creationId xmlns:a16="http://schemas.microsoft.com/office/drawing/2014/main" id="{E2B79F44-650A-4F26-82B1-11706E29A78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5" name="図 34">
          <a:extLst>
            <a:ext uri="{FF2B5EF4-FFF2-40B4-BE49-F238E27FC236}">
              <a16:creationId xmlns:a16="http://schemas.microsoft.com/office/drawing/2014/main" id="{725A013A-C0B1-4011-832C-9D1AA2FA462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6" name="図 35">
          <a:extLst>
            <a:ext uri="{FF2B5EF4-FFF2-40B4-BE49-F238E27FC236}">
              <a16:creationId xmlns:a16="http://schemas.microsoft.com/office/drawing/2014/main" id="{E6385299-8E4F-4BFF-970E-E69ACCAE406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7" name="フローチャート: 代替処理 36">
          <a:extLst>
            <a:ext uri="{FF2B5EF4-FFF2-40B4-BE49-F238E27FC236}">
              <a16:creationId xmlns:a16="http://schemas.microsoft.com/office/drawing/2014/main" id="{042788B7-A7F3-4939-A3F6-56FE59641BFD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15</xdr:col>
      <xdr:colOff>0</xdr:colOff>
      <xdr:row>67</xdr:row>
      <xdr:rowOff>0</xdr:rowOff>
    </xdr:from>
    <xdr:ext cx="154736" cy="144000"/>
    <xdr:pic>
      <xdr:nvPicPr>
        <xdr:cNvPr id="38" name="図 37">
          <a:extLst>
            <a:ext uri="{FF2B5EF4-FFF2-40B4-BE49-F238E27FC236}">
              <a16:creationId xmlns:a16="http://schemas.microsoft.com/office/drawing/2014/main" id="{7B1F8008-A6C7-4B44-8A36-C0110638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2774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195A935A-F752-474F-8936-0136FC6F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0" name="図 39">
          <a:extLst>
            <a:ext uri="{FF2B5EF4-FFF2-40B4-BE49-F238E27FC236}">
              <a16:creationId xmlns:a16="http://schemas.microsoft.com/office/drawing/2014/main" id="{BDD36835-ACBF-4454-8E2A-CE7C3EED0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41" name="図 40">
          <a:extLst>
            <a:ext uri="{FF2B5EF4-FFF2-40B4-BE49-F238E27FC236}">
              <a16:creationId xmlns:a16="http://schemas.microsoft.com/office/drawing/2014/main" id="{1DA4128D-C9EA-40A4-B683-D289F4D86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42" name="図 41">
          <a:extLst>
            <a:ext uri="{FF2B5EF4-FFF2-40B4-BE49-F238E27FC236}">
              <a16:creationId xmlns:a16="http://schemas.microsoft.com/office/drawing/2014/main" id="{DBBD173D-D449-487F-AAA6-8AF1306C240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43" name="図 42">
          <a:extLst>
            <a:ext uri="{FF2B5EF4-FFF2-40B4-BE49-F238E27FC236}">
              <a16:creationId xmlns:a16="http://schemas.microsoft.com/office/drawing/2014/main" id="{3AB67B17-FA38-474B-B297-FEACAA25C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4" name="図 43">
          <a:extLst>
            <a:ext uri="{FF2B5EF4-FFF2-40B4-BE49-F238E27FC236}">
              <a16:creationId xmlns:a16="http://schemas.microsoft.com/office/drawing/2014/main" id="{A353835A-E8D5-44A4-B6A1-B3D3637BB7D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5" name="図 44">
          <a:extLst>
            <a:ext uri="{FF2B5EF4-FFF2-40B4-BE49-F238E27FC236}">
              <a16:creationId xmlns:a16="http://schemas.microsoft.com/office/drawing/2014/main" id="{1992449D-BD44-495F-A4E1-C57E8FC9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2363B409-250A-49F6-888E-A855F83312DA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AD4C7AB1-921C-4AA4-83DB-A68D5B749B23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8" name="フローチャート: 代替処理 47">
          <a:extLst>
            <a:ext uri="{FF2B5EF4-FFF2-40B4-BE49-F238E27FC236}">
              <a16:creationId xmlns:a16="http://schemas.microsoft.com/office/drawing/2014/main" id="{C7E4BDF6-A816-4E6C-B509-E2F2D0B37C0C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429E33CD-619C-4BBD-B00E-2153C3CDC816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1AD21E67-B5BA-4B9F-816D-0D9024DE82EF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6BA6D7C9-CE6A-40EF-9936-B0FAA70BA6C3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52" name="図 51">
          <a:extLst>
            <a:ext uri="{FF2B5EF4-FFF2-40B4-BE49-F238E27FC236}">
              <a16:creationId xmlns:a16="http://schemas.microsoft.com/office/drawing/2014/main" id="{AD17DA96-9638-4839-9869-5D7D1B04B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53" name="図 52">
          <a:extLst>
            <a:ext uri="{FF2B5EF4-FFF2-40B4-BE49-F238E27FC236}">
              <a16:creationId xmlns:a16="http://schemas.microsoft.com/office/drawing/2014/main" id="{3B759ED7-F60A-454A-A6B9-D6F88350C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4" name="図 53">
          <a:extLst>
            <a:ext uri="{FF2B5EF4-FFF2-40B4-BE49-F238E27FC236}">
              <a16:creationId xmlns:a16="http://schemas.microsoft.com/office/drawing/2014/main" id="{68856CE9-740E-4EA7-A316-B0A49904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5" name="図 54">
          <a:extLst>
            <a:ext uri="{FF2B5EF4-FFF2-40B4-BE49-F238E27FC236}">
              <a16:creationId xmlns:a16="http://schemas.microsoft.com/office/drawing/2014/main" id="{58EE7001-FA63-440E-B600-3259F8A5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6" name="図 55">
          <a:extLst>
            <a:ext uri="{FF2B5EF4-FFF2-40B4-BE49-F238E27FC236}">
              <a16:creationId xmlns:a16="http://schemas.microsoft.com/office/drawing/2014/main" id="{82309BDC-2252-470E-B954-203566669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E829D2B5-1917-43BA-9AA0-30F972B5E9D2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FC9FB4AC-2401-4DC5-8532-23C510452289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83F08E3F-B5B9-4867-9EA5-62A62B69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60" name="図 59">
          <a:extLst>
            <a:ext uri="{FF2B5EF4-FFF2-40B4-BE49-F238E27FC236}">
              <a16:creationId xmlns:a16="http://schemas.microsoft.com/office/drawing/2014/main" id="{A150416F-E8F4-4924-9524-F2EC3DD8DF8F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117</xdr:row>
      <xdr:rowOff>24434</xdr:rowOff>
    </xdr:from>
    <xdr:to>
      <xdr:col>7</xdr:col>
      <xdr:colOff>65432</xdr:colOff>
      <xdr:row>118</xdr:row>
      <xdr:rowOff>106274</xdr:rowOff>
    </xdr:to>
    <xdr:sp macro="" textlink="">
      <xdr:nvSpPr>
        <xdr:cNvPr id="61" name="フローチャート: 代替処理 60">
          <a:extLst>
            <a:ext uri="{FF2B5EF4-FFF2-40B4-BE49-F238E27FC236}">
              <a16:creationId xmlns:a16="http://schemas.microsoft.com/office/drawing/2014/main" id="{F97FB883-CE2E-4562-89FA-776B58716F60}"/>
            </a:ext>
          </a:extLst>
        </xdr:cNvPr>
        <xdr:cNvSpPr/>
      </xdr:nvSpPr>
      <xdr:spPr bwMode="auto">
        <a:xfrm>
          <a:off x="522633" y="181314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117</xdr:row>
      <xdr:rowOff>24434</xdr:rowOff>
    </xdr:from>
    <xdr:to>
      <xdr:col>61</xdr:col>
      <xdr:colOff>151157</xdr:colOff>
      <xdr:row>118</xdr:row>
      <xdr:rowOff>106274</xdr:rowOff>
    </xdr:to>
    <xdr:sp macro="" textlink="">
      <xdr:nvSpPr>
        <xdr:cNvPr id="62" name="フローチャート: 代替処理 61">
          <a:extLst>
            <a:ext uri="{FF2B5EF4-FFF2-40B4-BE49-F238E27FC236}">
              <a16:creationId xmlns:a16="http://schemas.microsoft.com/office/drawing/2014/main" id="{73C83656-2F64-422D-8B31-3FE03BB7681F}"/>
            </a:ext>
          </a:extLst>
        </xdr:cNvPr>
        <xdr:cNvSpPr/>
      </xdr:nvSpPr>
      <xdr:spPr bwMode="auto">
        <a:xfrm>
          <a:off x="9809508" y="181314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94</xdr:row>
      <xdr:rowOff>9525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89BFD086-5FB8-4EA8-BF39-D73267A5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611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68ACE2AF-D287-440C-BC54-9B6A2A36E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B9558556-B429-4430-979A-9D8097710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0502955A-43D9-4811-BE96-812C0DDFB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608904CC-1E99-4D68-B809-067E2D4FD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BD29092E-CC9C-48D5-AA52-7932C6A2D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05D03D05-DE6F-41BC-B9D5-CB5D20DDD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0FE11265-AEA3-42AA-ADCE-F974C376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F134492F-C712-407D-AECE-FE077F5B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497BA4B1-43F9-4CD1-991A-D7C7D9AA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DA1EAA6A-DA68-4300-9DF1-2813DD2A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B659B5B3-8A6E-412E-BB28-924DA4B4D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099102AB-C284-4C76-BA4E-1568EF060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74155F58-C31E-4D96-A1D9-55CDD740A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5A3C88ED-FA2B-4E90-B799-3361B4682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47F35DCF-B6DE-4805-A01C-C2B47654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717BE6CC-1FBB-4879-A468-307FB86B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F66C103C-E0CC-40DD-9C87-4946200B6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0E7B7C35-C160-4096-855F-C93E4A09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DC0B9761-2105-4623-9325-82495B9A8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7E9C8178-D726-4FB7-9FA8-0D703667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F3FFD614-F143-4727-A457-F18774C3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46BF142F-E4AB-4BE9-B44E-DA98E917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6C2ECACD-C150-40BF-BB42-CA49057F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B3B7C3D0-64A7-467C-B5AB-4053FCE2C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C8D529D9-BDE2-4BB0-BC09-B66D6BC8A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60C5ED3D-E4CA-4991-98CD-1270B1D7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FDD39929-33B8-440F-80B9-8CCB0C48B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E2DD9D50-932A-47E7-9C5A-CE7FCAB4A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EA872493-530C-4EC2-A1E7-AD8A9AACF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6BDE7F04-479E-41A4-B3B7-56F98FC5D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3409A152-C8CE-4D9F-9E0B-943BAB62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6FEF14AB-DAD2-43CE-A706-1A955D25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F2D5AC6A-92B9-43F9-A562-AABD23EF2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BFD3458E-11AE-419B-9F69-5A388ACF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8" name="図 97">
          <a:extLst>
            <a:ext uri="{FF2B5EF4-FFF2-40B4-BE49-F238E27FC236}">
              <a16:creationId xmlns:a16="http://schemas.microsoft.com/office/drawing/2014/main" id="{527777A3-F399-405A-AEA1-9C747286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9" name="図 98">
          <a:extLst>
            <a:ext uri="{FF2B5EF4-FFF2-40B4-BE49-F238E27FC236}">
              <a16:creationId xmlns:a16="http://schemas.microsoft.com/office/drawing/2014/main" id="{A7407E55-6AC1-422D-BB7B-86EDF0B4E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100" name="図 99">
          <a:extLst>
            <a:ext uri="{FF2B5EF4-FFF2-40B4-BE49-F238E27FC236}">
              <a16:creationId xmlns:a16="http://schemas.microsoft.com/office/drawing/2014/main" id="{A56DDDDD-C357-4E5B-95AF-5542C356A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101" name="図 100">
          <a:extLst>
            <a:ext uri="{FF2B5EF4-FFF2-40B4-BE49-F238E27FC236}">
              <a16:creationId xmlns:a16="http://schemas.microsoft.com/office/drawing/2014/main" id="{89C7E715-10BA-4DC4-AC19-F07A1C7F9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81</xdr:row>
      <xdr:rowOff>91109</xdr:rowOff>
    </xdr:from>
    <xdr:to>
      <xdr:col>52</xdr:col>
      <xdr:colOff>49696</xdr:colOff>
      <xdr:row>95</xdr:row>
      <xdr:rowOff>57978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74E3793E-0BF7-49B2-A5A6-9FF95C1DECE6}"/>
            </a:ext>
          </a:extLst>
        </xdr:cNvPr>
        <xdr:cNvSpPr/>
      </xdr:nvSpPr>
      <xdr:spPr bwMode="auto">
        <a:xfrm>
          <a:off x="419100" y="127117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118773</xdr:colOff>
      <xdr:row>117</xdr:row>
      <xdr:rowOff>24434</xdr:rowOff>
    </xdr:from>
    <xdr:to>
      <xdr:col>56</xdr:col>
      <xdr:colOff>13997</xdr:colOff>
      <xdr:row>118</xdr:row>
      <xdr:rowOff>106274</xdr:rowOff>
    </xdr:to>
    <xdr:sp macro="" textlink="">
      <xdr:nvSpPr>
        <xdr:cNvPr id="103" name="フローチャート: 代替処理 102">
          <a:extLst>
            <a:ext uri="{FF2B5EF4-FFF2-40B4-BE49-F238E27FC236}">
              <a16:creationId xmlns:a16="http://schemas.microsoft.com/office/drawing/2014/main" id="{591C18CF-0EEB-426F-8091-8357A2E3AFFE}"/>
            </a:ext>
          </a:extLst>
        </xdr:cNvPr>
        <xdr:cNvSpPr/>
      </xdr:nvSpPr>
      <xdr:spPr bwMode="auto">
        <a:xfrm>
          <a:off x="8853198" y="181314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82</xdr:row>
      <xdr:rowOff>9525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E432390F-AD41-45D6-B37B-E475D3FB0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782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82</xdr:row>
      <xdr:rowOff>25619</xdr:rowOff>
    </xdr:from>
    <xdr:ext cx="144000" cy="144000"/>
    <xdr:pic>
      <xdr:nvPicPr>
        <xdr:cNvPr id="105" name="図 104">
          <a:extLst>
            <a:ext uri="{FF2B5EF4-FFF2-40B4-BE49-F238E27FC236}">
              <a16:creationId xmlns:a16="http://schemas.microsoft.com/office/drawing/2014/main" id="{CFBDA27A-D338-4717-9299-09008121E3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7986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86</xdr:row>
      <xdr:rowOff>6569</xdr:rowOff>
    </xdr:from>
    <xdr:ext cx="144000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11D6F26A-3DB0-4697-B8ED-F83BEACB872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389194"/>
          <a:ext cx="144000" cy="144000"/>
        </a:xfrm>
        <a:prstGeom prst="rect">
          <a:avLst/>
        </a:prstGeom>
      </xdr:spPr>
    </xdr:pic>
    <xdr:clientData/>
  </xdr:oneCellAnchor>
  <xdr:twoCellAnchor>
    <xdr:from>
      <xdr:col>2</xdr:col>
      <xdr:colOff>177248</xdr:colOff>
      <xdr:row>201</xdr:row>
      <xdr:rowOff>36445</xdr:rowOff>
    </xdr:from>
    <xdr:to>
      <xdr:col>7</xdr:col>
      <xdr:colOff>993</xdr:colOff>
      <xdr:row>202</xdr:row>
      <xdr:rowOff>121598</xdr:rowOff>
    </xdr:to>
    <xdr:sp macro="" textlink="">
      <xdr:nvSpPr>
        <xdr:cNvPr id="107" name="フローチャート: 代替処理 106">
          <a:extLst>
            <a:ext uri="{FF2B5EF4-FFF2-40B4-BE49-F238E27FC236}">
              <a16:creationId xmlns:a16="http://schemas.microsoft.com/office/drawing/2014/main" id="{8B8B9793-F934-4A58-8C35-3A8B41BF98C4}"/>
            </a:ext>
          </a:extLst>
        </xdr:cNvPr>
        <xdr:cNvSpPr/>
      </xdr:nvSpPr>
      <xdr:spPr bwMode="auto">
        <a:xfrm>
          <a:off x="501098" y="3136417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22</xdr:col>
      <xdr:colOff>76200</xdr:colOff>
      <xdr:row>201</xdr:row>
      <xdr:rowOff>40752</xdr:rowOff>
    </xdr:from>
    <xdr:to>
      <xdr:col>27</xdr:col>
      <xdr:colOff>66508</xdr:colOff>
      <xdr:row>202</xdr:row>
      <xdr:rowOff>125905</xdr:rowOff>
    </xdr:to>
    <xdr:sp macro="" textlink="">
      <xdr:nvSpPr>
        <xdr:cNvPr id="108" name="フローチャート: 代替処理 107">
          <a:extLst>
            <a:ext uri="{FF2B5EF4-FFF2-40B4-BE49-F238E27FC236}">
              <a16:creationId xmlns:a16="http://schemas.microsoft.com/office/drawing/2014/main" id="{B220061A-334F-47B7-968D-140F9EA01E8E}"/>
            </a:ext>
          </a:extLst>
        </xdr:cNvPr>
        <xdr:cNvSpPr/>
      </xdr:nvSpPr>
      <xdr:spPr bwMode="auto">
        <a:xfrm>
          <a:off x="3657600" y="31368477"/>
          <a:ext cx="89518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詳細入力</a:t>
          </a:r>
        </a:p>
      </xdr:txBody>
    </xdr:sp>
    <xdr:clientData/>
  </xdr:twoCellAnchor>
  <xdr:twoCellAnchor>
    <xdr:from>
      <xdr:col>71</xdr:col>
      <xdr:colOff>55908</xdr:colOff>
      <xdr:row>201</xdr:row>
      <xdr:rowOff>14909</xdr:rowOff>
    </xdr:from>
    <xdr:to>
      <xdr:col>77</xdr:col>
      <xdr:colOff>65432</xdr:colOff>
      <xdr:row>202</xdr:row>
      <xdr:rowOff>96749</xdr:rowOff>
    </xdr:to>
    <xdr:sp macro="" textlink="">
      <xdr:nvSpPr>
        <xdr:cNvPr id="109" name="フローチャート: 代替処理 108">
          <a:extLst>
            <a:ext uri="{FF2B5EF4-FFF2-40B4-BE49-F238E27FC236}">
              <a16:creationId xmlns:a16="http://schemas.microsoft.com/office/drawing/2014/main" id="{D6046D5E-4E93-4D28-8BDD-D2CAD3769EC3}"/>
            </a:ext>
          </a:extLst>
        </xdr:cNvPr>
        <xdr:cNvSpPr/>
      </xdr:nvSpPr>
      <xdr:spPr bwMode="auto">
        <a:xfrm>
          <a:off x="12181233" y="31342634"/>
          <a:ext cx="10382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12</xdr:col>
      <xdr:colOff>22364</xdr:colOff>
      <xdr:row>201</xdr:row>
      <xdr:rowOff>23607</xdr:rowOff>
    </xdr:from>
    <xdr:to>
      <xdr:col>16</xdr:col>
      <xdr:colOff>53174</xdr:colOff>
      <xdr:row>202</xdr:row>
      <xdr:rowOff>108760</xdr:rowOff>
    </xdr:to>
    <xdr:sp macro="" textlink="">
      <xdr:nvSpPr>
        <xdr:cNvPr id="110" name="フローチャート: 代替処理 109">
          <a:extLst>
            <a:ext uri="{FF2B5EF4-FFF2-40B4-BE49-F238E27FC236}">
              <a16:creationId xmlns:a16="http://schemas.microsoft.com/office/drawing/2014/main" id="{967DB126-9E64-48A0-ABF4-12148ACCF0C8}"/>
            </a:ext>
          </a:extLst>
        </xdr:cNvPr>
        <xdr:cNvSpPr/>
      </xdr:nvSpPr>
      <xdr:spPr bwMode="auto">
        <a:xfrm>
          <a:off x="1984514" y="31351332"/>
          <a:ext cx="67851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16</xdr:col>
      <xdr:colOff>144615</xdr:colOff>
      <xdr:row>201</xdr:row>
      <xdr:rowOff>23607</xdr:rowOff>
    </xdr:from>
    <xdr:to>
      <xdr:col>21</xdr:col>
      <xdr:colOff>2153</xdr:colOff>
      <xdr:row>202</xdr:row>
      <xdr:rowOff>108760</xdr:rowOff>
    </xdr:to>
    <xdr:sp macro="" textlink="">
      <xdr:nvSpPr>
        <xdr:cNvPr id="111" name="フローチャート: 代替処理 110">
          <a:extLst>
            <a:ext uri="{FF2B5EF4-FFF2-40B4-BE49-F238E27FC236}">
              <a16:creationId xmlns:a16="http://schemas.microsoft.com/office/drawing/2014/main" id="{482DCBE9-2B65-4609-9BC5-A1785B02ECB4}"/>
            </a:ext>
          </a:extLst>
        </xdr:cNvPr>
        <xdr:cNvSpPr/>
      </xdr:nvSpPr>
      <xdr:spPr bwMode="auto">
        <a:xfrm>
          <a:off x="2754465" y="31351332"/>
          <a:ext cx="66716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63</xdr:col>
      <xdr:colOff>47625</xdr:colOff>
      <xdr:row>60</xdr:row>
      <xdr:rowOff>47625</xdr:rowOff>
    </xdr:from>
    <xdr:to>
      <xdr:col>81</xdr:col>
      <xdr:colOff>161925</xdr:colOff>
      <xdr:row>65</xdr:row>
      <xdr:rowOff>47625</xdr:rowOff>
    </xdr:to>
    <xdr:sp macro="" textlink="">
      <xdr:nvSpPr>
        <xdr:cNvPr id="112" name="吹き出し: 四角形 111">
          <a:extLst>
            <a:ext uri="{FF2B5EF4-FFF2-40B4-BE49-F238E27FC236}">
              <a16:creationId xmlns:a16="http://schemas.microsoft.com/office/drawing/2014/main" id="{4A8AC03D-8373-450F-A8FC-B1209679D6D3}"/>
            </a:ext>
          </a:extLst>
        </xdr:cNvPr>
        <xdr:cNvSpPr/>
      </xdr:nvSpPr>
      <xdr:spPr>
        <a:xfrm>
          <a:off x="10801350" y="9258300"/>
          <a:ext cx="3200400" cy="762000"/>
        </a:xfrm>
        <a:prstGeom prst="wedgeRectCallout">
          <a:avLst>
            <a:gd name="adj1" fmla="val -94940"/>
            <a:gd name="adj2" fmla="val 8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受注区分で加工商品、製品以外を選択時、受注明細が非表示となる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176</xdr:row>
      <xdr:rowOff>24434</xdr:rowOff>
    </xdr:from>
    <xdr:to>
      <xdr:col>7</xdr:col>
      <xdr:colOff>65432</xdr:colOff>
      <xdr:row>177</xdr:row>
      <xdr:rowOff>106274</xdr:rowOff>
    </xdr:to>
    <xdr:sp macro="" textlink="">
      <xdr:nvSpPr>
        <xdr:cNvPr id="113" name="フローチャート: 代替処理 112">
          <a:extLst>
            <a:ext uri="{FF2B5EF4-FFF2-40B4-BE49-F238E27FC236}">
              <a16:creationId xmlns:a16="http://schemas.microsoft.com/office/drawing/2014/main" id="{32132099-5623-45B8-808F-7D221BF4C19D}"/>
            </a:ext>
          </a:extLst>
        </xdr:cNvPr>
        <xdr:cNvSpPr/>
      </xdr:nvSpPr>
      <xdr:spPr bwMode="auto">
        <a:xfrm>
          <a:off x="522633" y="273326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53</xdr:col>
      <xdr:colOff>17808</xdr:colOff>
      <xdr:row>176</xdr:row>
      <xdr:rowOff>24434</xdr:rowOff>
    </xdr:from>
    <xdr:to>
      <xdr:col>57</xdr:col>
      <xdr:colOff>65432</xdr:colOff>
      <xdr:row>177</xdr:row>
      <xdr:rowOff>106274</xdr:rowOff>
    </xdr:to>
    <xdr:sp macro="" textlink="">
      <xdr:nvSpPr>
        <xdr:cNvPr id="114" name="フローチャート: 代替処理 113">
          <a:extLst>
            <a:ext uri="{FF2B5EF4-FFF2-40B4-BE49-F238E27FC236}">
              <a16:creationId xmlns:a16="http://schemas.microsoft.com/office/drawing/2014/main" id="{141DC278-5413-4624-B8E9-F5D3E47FF114}"/>
            </a:ext>
          </a:extLst>
        </xdr:cNvPr>
        <xdr:cNvSpPr/>
      </xdr:nvSpPr>
      <xdr:spPr bwMode="auto">
        <a:xfrm>
          <a:off x="9076083" y="273326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153</xdr:row>
      <xdr:rowOff>9525</xdr:rowOff>
    </xdr:from>
    <xdr:ext cx="121422" cy="146538"/>
    <xdr:pic>
      <xdr:nvPicPr>
        <xdr:cNvPr id="115" name="図 114">
          <a:extLst>
            <a:ext uri="{FF2B5EF4-FFF2-40B4-BE49-F238E27FC236}">
              <a16:creationId xmlns:a16="http://schemas.microsoft.com/office/drawing/2014/main" id="{B7E56396-97A4-4F1A-A46B-5BB38196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38125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16" name="図 115">
          <a:extLst>
            <a:ext uri="{FF2B5EF4-FFF2-40B4-BE49-F238E27FC236}">
              <a16:creationId xmlns:a16="http://schemas.microsoft.com/office/drawing/2014/main" id="{9DF1A6BC-2801-46D7-822B-3C9B9A5A0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841BDC79-849F-49B8-B44E-6B16633ED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157</xdr:row>
      <xdr:rowOff>7327</xdr:rowOff>
    </xdr:from>
    <xdr:ext cx="154736" cy="144000"/>
    <xdr:pic>
      <xdr:nvPicPr>
        <xdr:cNvPr id="118" name="図 117">
          <a:extLst>
            <a:ext uri="{FF2B5EF4-FFF2-40B4-BE49-F238E27FC236}">
              <a16:creationId xmlns:a16="http://schemas.microsoft.com/office/drawing/2014/main" id="{56645BEE-AE6C-492E-BD02-F47B21492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19" name="図 118">
          <a:extLst>
            <a:ext uri="{FF2B5EF4-FFF2-40B4-BE49-F238E27FC236}">
              <a16:creationId xmlns:a16="http://schemas.microsoft.com/office/drawing/2014/main" id="{AB44F575-EBFC-4D03-B26C-29DB7D3B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157</xdr:row>
      <xdr:rowOff>7327</xdr:rowOff>
    </xdr:from>
    <xdr:ext cx="154736" cy="144000"/>
    <xdr:pic>
      <xdr:nvPicPr>
        <xdr:cNvPr id="120" name="図 119">
          <a:extLst>
            <a:ext uri="{FF2B5EF4-FFF2-40B4-BE49-F238E27FC236}">
              <a16:creationId xmlns:a16="http://schemas.microsoft.com/office/drawing/2014/main" id="{86B05E25-2639-473F-B65E-62B0B1A4B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21" name="図 120">
          <a:extLst>
            <a:ext uri="{FF2B5EF4-FFF2-40B4-BE49-F238E27FC236}">
              <a16:creationId xmlns:a16="http://schemas.microsoft.com/office/drawing/2014/main" id="{C690679F-E0F4-4115-8136-12C0459C3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22" name="図 121">
          <a:extLst>
            <a:ext uri="{FF2B5EF4-FFF2-40B4-BE49-F238E27FC236}">
              <a16:creationId xmlns:a16="http://schemas.microsoft.com/office/drawing/2014/main" id="{FF4401AE-9BE6-4A4B-8A73-54BC736A4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23" name="図 122">
          <a:extLst>
            <a:ext uri="{FF2B5EF4-FFF2-40B4-BE49-F238E27FC236}">
              <a16:creationId xmlns:a16="http://schemas.microsoft.com/office/drawing/2014/main" id="{F34664D3-F990-472E-98CB-5AE7C32B1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24" name="図 123">
          <a:extLst>
            <a:ext uri="{FF2B5EF4-FFF2-40B4-BE49-F238E27FC236}">
              <a16:creationId xmlns:a16="http://schemas.microsoft.com/office/drawing/2014/main" id="{0B1CCE5A-DFB1-4D3F-A725-E1075E16B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22021F6E-7FF3-44E0-A94C-D91D61B4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26" name="図 125">
          <a:extLst>
            <a:ext uri="{FF2B5EF4-FFF2-40B4-BE49-F238E27FC236}">
              <a16:creationId xmlns:a16="http://schemas.microsoft.com/office/drawing/2014/main" id="{90707EFC-CC50-4327-9971-D6D7C562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5E67626E-6A64-4FFB-9422-A06D9286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28" name="図 127">
          <a:extLst>
            <a:ext uri="{FF2B5EF4-FFF2-40B4-BE49-F238E27FC236}">
              <a16:creationId xmlns:a16="http://schemas.microsoft.com/office/drawing/2014/main" id="{9B413954-A967-4F64-87CD-90E46F71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62B009AA-6AD3-461A-ACF1-147110E48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157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B82D84EB-5D1F-40DB-B457-9ECB1B68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955066E2-5231-4F5E-A64C-1B3C39C36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157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8DCA8416-F625-417F-9F8E-515461F77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48D72B25-1C06-4918-ABA1-7A942D944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AE0F0249-7BB9-4EBB-962A-3348995A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067A5883-FD92-4A16-AE64-A4B4E1AC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AE6FB793-DA4A-4A7A-9754-C3ED2074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CF87149B-3BD0-4226-93F5-0F742BB9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38" name="図 137">
          <a:extLst>
            <a:ext uri="{FF2B5EF4-FFF2-40B4-BE49-F238E27FC236}">
              <a16:creationId xmlns:a16="http://schemas.microsoft.com/office/drawing/2014/main" id="{37399114-4B74-4FCD-9DFA-02E658DBF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39" name="図 138">
          <a:extLst>
            <a:ext uri="{FF2B5EF4-FFF2-40B4-BE49-F238E27FC236}">
              <a16:creationId xmlns:a16="http://schemas.microsoft.com/office/drawing/2014/main" id="{09144F29-9CC2-42C6-BD79-1EE566D29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40" name="図 139">
          <a:extLst>
            <a:ext uri="{FF2B5EF4-FFF2-40B4-BE49-F238E27FC236}">
              <a16:creationId xmlns:a16="http://schemas.microsoft.com/office/drawing/2014/main" id="{EC95C2AF-CBC6-4285-B62B-04CB5630C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1" name="図 140">
          <a:extLst>
            <a:ext uri="{FF2B5EF4-FFF2-40B4-BE49-F238E27FC236}">
              <a16:creationId xmlns:a16="http://schemas.microsoft.com/office/drawing/2014/main" id="{E49FE7A7-7E3B-4466-9A9E-8320981E1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2" name="図 141">
          <a:extLst>
            <a:ext uri="{FF2B5EF4-FFF2-40B4-BE49-F238E27FC236}">
              <a16:creationId xmlns:a16="http://schemas.microsoft.com/office/drawing/2014/main" id="{CC0D8142-631F-43A0-B2C3-77C8E9B3C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43" name="図 142">
          <a:extLst>
            <a:ext uri="{FF2B5EF4-FFF2-40B4-BE49-F238E27FC236}">
              <a16:creationId xmlns:a16="http://schemas.microsoft.com/office/drawing/2014/main" id="{01EF178F-9735-41EB-8892-92A600420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157</xdr:row>
      <xdr:rowOff>7327</xdr:rowOff>
    </xdr:from>
    <xdr:ext cx="154736" cy="144000"/>
    <xdr:pic>
      <xdr:nvPicPr>
        <xdr:cNvPr id="144" name="図 143">
          <a:extLst>
            <a:ext uri="{FF2B5EF4-FFF2-40B4-BE49-F238E27FC236}">
              <a16:creationId xmlns:a16="http://schemas.microsoft.com/office/drawing/2014/main" id="{2E0AC7BA-B607-411A-9F39-0E7591C7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45" name="図 144">
          <a:extLst>
            <a:ext uri="{FF2B5EF4-FFF2-40B4-BE49-F238E27FC236}">
              <a16:creationId xmlns:a16="http://schemas.microsoft.com/office/drawing/2014/main" id="{18E26468-D771-4579-B969-76035DD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46" name="図 145">
          <a:extLst>
            <a:ext uri="{FF2B5EF4-FFF2-40B4-BE49-F238E27FC236}">
              <a16:creationId xmlns:a16="http://schemas.microsoft.com/office/drawing/2014/main" id="{49A3467E-ECEA-4C75-8B6E-7759DED82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7" name="図 146">
          <a:extLst>
            <a:ext uri="{FF2B5EF4-FFF2-40B4-BE49-F238E27FC236}">
              <a16:creationId xmlns:a16="http://schemas.microsoft.com/office/drawing/2014/main" id="{29ABB8B6-66BF-4F13-AD73-04CCF229C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157</xdr:row>
      <xdr:rowOff>7327</xdr:rowOff>
    </xdr:from>
    <xdr:ext cx="154736" cy="144000"/>
    <xdr:pic>
      <xdr:nvPicPr>
        <xdr:cNvPr id="148" name="図 147">
          <a:extLst>
            <a:ext uri="{FF2B5EF4-FFF2-40B4-BE49-F238E27FC236}">
              <a16:creationId xmlns:a16="http://schemas.microsoft.com/office/drawing/2014/main" id="{DF96E765-56A5-4FC9-BA44-4800E921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49" name="図 148">
          <a:extLst>
            <a:ext uri="{FF2B5EF4-FFF2-40B4-BE49-F238E27FC236}">
              <a16:creationId xmlns:a16="http://schemas.microsoft.com/office/drawing/2014/main" id="{BD2D0FA1-DD52-46D6-A26B-D5CA5EA23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50" name="図 149">
          <a:extLst>
            <a:ext uri="{FF2B5EF4-FFF2-40B4-BE49-F238E27FC236}">
              <a16:creationId xmlns:a16="http://schemas.microsoft.com/office/drawing/2014/main" id="{41AD44C6-3C57-4021-920B-9D4A96822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51" name="図 150">
          <a:extLst>
            <a:ext uri="{FF2B5EF4-FFF2-40B4-BE49-F238E27FC236}">
              <a16:creationId xmlns:a16="http://schemas.microsoft.com/office/drawing/2014/main" id="{D5E94CFC-DF3C-4788-914E-47283C567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151</xdr:row>
      <xdr:rowOff>7327</xdr:rowOff>
    </xdr:from>
    <xdr:ext cx="154736" cy="144000"/>
    <xdr:pic>
      <xdr:nvPicPr>
        <xdr:cNvPr id="152" name="図 151">
          <a:extLst>
            <a:ext uri="{FF2B5EF4-FFF2-40B4-BE49-F238E27FC236}">
              <a16:creationId xmlns:a16="http://schemas.microsoft.com/office/drawing/2014/main" id="{468AE255-C7A4-41CD-A132-DB94437C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505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151</xdr:row>
      <xdr:rowOff>7327</xdr:rowOff>
    </xdr:from>
    <xdr:ext cx="154736" cy="144000"/>
    <xdr:pic>
      <xdr:nvPicPr>
        <xdr:cNvPr id="153" name="図 152">
          <a:extLst>
            <a:ext uri="{FF2B5EF4-FFF2-40B4-BE49-F238E27FC236}">
              <a16:creationId xmlns:a16="http://schemas.microsoft.com/office/drawing/2014/main" id="{3E8AEBF1-0C87-457E-84FE-A3CA1F2BA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505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164</xdr:row>
      <xdr:rowOff>23648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3DB8914B-35C6-425F-B1A3-9D16A9DE4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5030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140</xdr:row>
      <xdr:rowOff>91109</xdr:rowOff>
    </xdr:from>
    <xdr:to>
      <xdr:col>52</xdr:col>
      <xdr:colOff>49696</xdr:colOff>
      <xdr:row>154</xdr:row>
      <xdr:rowOff>57978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D7B58C63-94C8-4257-ACE7-9996B78667CB}"/>
            </a:ext>
          </a:extLst>
        </xdr:cNvPr>
        <xdr:cNvSpPr/>
      </xdr:nvSpPr>
      <xdr:spPr bwMode="auto">
        <a:xfrm>
          <a:off x="419100" y="2191288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164</xdr:row>
      <xdr:rowOff>14123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19DFCB61-F9DE-452E-A916-730D7EA3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54934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167</xdr:row>
      <xdr:rowOff>0</xdr:rowOff>
    </xdr:from>
    <xdr:ext cx="121422" cy="146538"/>
    <xdr:pic>
      <xdr:nvPicPr>
        <xdr:cNvPr id="157" name="図 156">
          <a:extLst>
            <a:ext uri="{FF2B5EF4-FFF2-40B4-BE49-F238E27FC236}">
              <a16:creationId xmlns:a16="http://schemas.microsoft.com/office/drawing/2014/main" id="{F18A1C5D-D5F3-4235-AB12-77E4FB2F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9365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47</xdr:col>
      <xdr:colOff>118773</xdr:colOff>
      <xdr:row>176</xdr:row>
      <xdr:rowOff>24434</xdr:rowOff>
    </xdr:from>
    <xdr:to>
      <xdr:col>52</xdr:col>
      <xdr:colOff>13997</xdr:colOff>
      <xdr:row>177</xdr:row>
      <xdr:rowOff>106274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0A6E032C-EC87-476F-8128-437F2BDECEB9}"/>
            </a:ext>
          </a:extLst>
        </xdr:cNvPr>
        <xdr:cNvSpPr/>
      </xdr:nvSpPr>
      <xdr:spPr bwMode="auto">
        <a:xfrm>
          <a:off x="8205498" y="273326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141</xdr:row>
      <xdr:rowOff>9525</xdr:rowOff>
    </xdr:from>
    <xdr:ext cx="121422" cy="146538"/>
    <xdr:pic>
      <xdr:nvPicPr>
        <xdr:cNvPr id="159" name="図 158">
          <a:extLst>
            <a:ext uri="{FF2B5EF4-FFF2-40B4-BE49-F238E27FC236}">
              <a16:creationId xmlns:a16="http://schemas.microsoft.com/office/drawing/2014/main" id="{92E3136F-7118-4EFE-8A15-5FC3C56E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19837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164</xdr:row>
      <xdr:rowOff>23648</xdr:rowOff>
    </xdr:from>
    <xdr:ext cx="121422" cy="146538"/>
    <xdr:pic>
      <xdr:nvPicPr>
        <xdr:cNvPr id="160" name="図 159">
          <a:extLst>
            <a:ext uri="{FF2B5EF4-FFF2-40B4-BE49-F238E27FC236}">
              <a16:creationId xmlns:a16="http://schemas.microsoft.com/office/drawing/2014/main" id="{3BA80207-0C37-4495-A470-FCBC421E6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5030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167</xdr:row>
      <xdr:rowOff>3726</xdr:rowOff>
    </xdr:from>
    <xdr:ext cx="154736" cy="144000"/>
    <xdr:pic>
      <xdr:nvPicPr>
        <xdr:cNvPr id="161" name="図 160">
          <a:extLst>
            <a:ext uri="{FF2B5EF4-FFF2-40B4-BE49-F238E27FC236}">
              <a16:creationId xmlns:a16="http://schemas.microsoft.com/office/drawing/2014/main" id="{E8C45DB4-3320-409E-AB80-A5468B1FB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59403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141</xdr:row>
      <xdr:rowOff>25619</xdr:rowOff>
    </xdr:from>
    <xdr:ext cx="144000" cy="144000"/>
    <xdr:pic>
      <xdr:nvPicPr>
        <xdr:cNvPr id="162" name="図 161">
          <a:extLst>
            <a:ext uri="{FF2B5EF4-FFF2-40B4-BE49-F238E27FC236}">
              <a16:creationId xmlns:a16="http://schemas.microsoft.com/office/drawing/2014/main" id="{D9A1AAFB-60B5-4292-91C3-39FD7B83912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2199979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145</xdr:row>
      <xdr:rowOff>6569</xdr:rowOff>
    </xdr:from>
    <xdr:ext cx="144000" cy="144000"/>
    <xdr:pic>
      <xdr:nvPicPr>
        <xdr:cNvPr id="163" name="図 162">
          <a:extLst>
            <a:ext uri="{FF2B5EF4-FFF2-40B4-BE49-F238E27FC236}">
              <a16:creationId xmlns:a16="http://schemas.microsoft.com/office/drawing/2014/main" id="{68E9EC6F-149C-4CDE-AA63-7FB3286EC8F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22590344"/>
          <a:ext cx="144000" cy="144000"/>
        </a:xfrm>
        <a:prstGeom prst="rect">
          <a:avLst/>
        </a:prstGeom>
      </xdr:spPr>
    </xdr:pic>
    <xdr:clientData/>
  </xdr:oneCellAnchor>
  <xdr:twoCellAnchor>
    <xdr:from>
      <xdr:col>2</xdr:col>
      <xdr:colOff>152400</xdr:colOff>
      <xdr:row>237</xdr:row>
      <xdr:rowOff>0</xdr:rowOff>
    </xdr:from>
    <xdr:to>
      <xdr:col>7</xdr:col>
      <xdr:colOff>12375</xdr:colOff>
      <xdr:row>238</xdr:row>
      <xdr:rowOff>80670</xdr:rowOff>
    </xdr:to>
    <xdr:sp macro="" textlink="">
      <xdr:nvSpPr>
        <xdr:cNvPr id="164" name="フローチャート: 代替処理 163">
          <a:extLst>
            <a:ext uri="{FF2B5EF4-FFF2-40B4-BE49-F238E27FC236}">
              <a16:creationId xmlns:a16="http://schemas.microsoft.com/office/drawing/2014/main" id="{3038A048-A735-4AE3-85ED-4914CD5E7696}"/>
            </a:ext>
          </a:extLst>
        </xdr:cNvPr>
        <xdr:cNvSpPr/>
      </xdr:nvSpPr>
      <xdr:spPr bwMode="auto">
        <a:xfrm>
          <a:off x="476250" y="37023675"/>
          <a:ext cx="68865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7</xdr:col>
      <xdr:colOff>105106</xdr:colOff>
      <xdr:row>237</xdr:row>
      <xdr:rowOff>0</xdr:rowOff>
    </xdr:from>
    <xdr:to>
      <xdr:col>11</xdr:col>
      <xdr:colOff>127006</xdr:colOff>
      <xdr:row>238</xdr:row>
      <xdr:rowOff>80670</xdr:rowOff>
    </xdr:to>
    <xdr:sp macro="" textlink="">
      <xdr:nvSpPr>
        <xdr:cNvPr id="165" name="フローチャート: 代替処理 164">
          <a:extLst>
            <a:ext uri="{FF2B5EF4-FFF2-40B4-BE49-F238E27FC236}">
              <a16:creationId xmlns:a16="http://schemas.microsoft.com/office/drawing/2014/main" id="{A7D55013-54DA-4624-BD9F-5C2F661F8408}"/>
            </a:ext>
          </a:extLst>
        </xdr:cNvPr>
        <xdr:cNvSpPr/>
      </xdr:nvSpPr>
      <xdr:spPr bwMode="auto">
        <a:xfrm>
          <a:off x="1257631" y="37023675"/>
          <a:ext cx="66960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60</xdr:col>
      <xdr:colOff>47438</xdr:colOff>
      <xdr:row>237</xdr:row>
      <xdr:rowOff>20544</xdr:rowOff>
    </xdr:from>
    <xdr:to>
      <xdr:col>64</xdr:col>
      <xdr:colOff>88714</xdr:colOff>
      <xdr:row>238</xdr:row>
      <xdr:rowOff>93370</xdr:rowOff>
    </xdr:to>
    <xdr:sp macro="" textlink="">
      <xdr:nvSpPr>
        <xdr:cNvPr id="166" name="フローチャート: 代替処理 165">
          <a:extLst>
            <a:ext uri="{FF2B5EF4-FFF2-40B4-BE49-F238E27FC236}">
              <a16:creationId xmlns:a16="http://schemas.microsoft.com/office/drawing/2014/main" id="{40D598C9-C85D-40BB-9F5B-4C0A29BB8CD2}"/>
            </a:ext>
          </a:extLst>
        </xdr:cNvPr>
        <xdr:cNvSpPr/>
      </xdr:nvSpPr>
      <xdr:spPr bwMode="auto">
        <a:xfrm>
          <a:off x="10239188" y="37044219"/>
          <a:ext cx="774701" cy="225226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工程へ反映</a:t>
          </a:r>
        </a:p>
      </xdr:txBody>
    </xdr:sp>
    <xdr:clientData/>
  </xdr:twoCellAnchor>
  <xdr:twoCellAnchor>
    <xdr:from>
      <xdr:col>2</xdr:col>
      <xdr:colOff>152400</xdr:colOff>
      <xdr:row>237</xdr:row>
      <xdr:rowOff>0</xdr:rowOff>
    </xdr:from>
    <xdr:to>
      <xdr:col>7</xdr:col>
      <xdr:colOff>12375</xdr:colOff>
      <xdr:row>238</xdr:row>
      <xdr:rowOff>80670</xdr:rowOff>
    </xdr:to>
    <xdr:sp macro="" textlink="">
      <xdr:nvSpPr>
        <xdr:cNvPr id="167" name="フローチャート: 代替処理 166">
          <a:extLst>
            <a:ext uri="{FF2B5EF4-FFF2-40B4-BE49-F238E27FC236}">
              <a16:creationId xmlns:a16="http://schemas.microsoft.com/office/drawing/2014/main" id="{19D406A2-B88E-4DF4-8A7F-A94101F33546}"/>
            </a:ext>
          </a:extLst>
        </xdr:cNvPr>
        <xdr:cNvSpPr/>
      </xdr:nvSpPr>
      <xdr:spPr bwMode="auto">
        <a:xfrm>
          <a:off x="476250" y="37023675"/>
          <a:ext cx="68865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7</xdr:col>
      <xdr:colOff>105106</xdr:colOff>
      <xdr:row>237</xdr:row>
      <xdr:rowOff>0</xdr:rowOff>
    </xdr:from>
    <xdr:to>
      <xdr:col>11</xdr:col>
      <xdr:colOff>127006</xdr:colOff>
      <xdr:row>238</xdr:row>
      <xdr:rowOff>80670</xdr:rowOff>
    </xdr:to>
    <xdr:sp macro="" textlink="">
      <xdr:nvSpPr>
        <xdr:cNvPr id="168" name="フローチャート: 代替処理 167">
          <a:extLst>
            <a:ext uri="{FF2B5EF4-FFF2-40B4-BE49-F238E27FC236}">
              <a16:creationId xmlns:a16="http://schemas.microsoft.com/office/drawing/2014/main" id="{01360BF2-F275-4F9A-87E2-390A2437B343}"/>
            </a:ext>
          </a:extLst>
        </xdr:cNvPr>
        <xdr:cNvSpPr/>
      </xdr:nvSpPr>
      <xdr:spPr bwMode="auto">
        <a:xfrm>
          <a:off x="1257631" y="37023675"/>
          <a:ext cx="66960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58</xdr:col>
      <xdr:colOff>52098</xdr:colOff>
      <xdr:row>176</xdr:row>
      <xdr:rowOff>24434</xdr:rowOff>
    </xdr:from>
    <xdr:to>
      <xdr:col>62</xdr:col>
      <xdr:colOff>109247</xdr:colOff>
      <xdr:row>177</xdr:row>
      <xdr:rowOff>106274</xdr:rowOff>
    </xdr:to>
    <xdr:sp macro="" textlink="">
      <xdr:nvSpPr>
        <xdr:cNvPr id="169" name="フローチャート: 代替処理 168">
          <a:extLst>
            <a:ext uri="{FF2B5EF4-FFF2-40B4-BE49-F238E27FC236}">
              <a16:creationId xmlns:a16="http://schemas.microsoft.com/office/drawing/2014/main" id="{8C60BE1F-7384-4B65-A4FD-1C941F29B5E4}"/>
            </a:ext>
          </a:extLst>
        </xdr:cNvPr>
        <xdr:cNvSpPr/>
      </xdr:nvSpPr>
      <xdr:spPr bwMode="auto">
        <a:xfrm>
          <a:off x="9919998" y="273326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69</xdr:col>
      <xdr:colOff>47625</xdr:colOff>
      <xdr:row>165</xdr:row>
      <xdr:rowOff>133350</xdr:rowOff>
    </xdr:from>
    <xdr:to>
      <xdr:col>86</xdr:col>
      <xdr:colOff>123825</xdr:colOff>
      <xdr:row>172</xdr:row>
      <xdr:rowOff>47625</xdr:rowOff>
    </xdr:to>
    <xdr:sp macro="" textlink="">
      <xdr:nvSpPr>
        <xdr:cNvPr id="170" name="吹き出し: 四角形 169">
          <a:extLst>
            <a:ext uri="{FF2B5EF4-FFF2-40B4-BE49-F238E27FC236}">
              <a16:creationId xmlns:a16="http://schemas.microsoft.com/office/drawing/2014/main" id="{BB0B4C60-EC6B-45FE-B30E-CE6F688A4049}"/>
            </a:ext>
          </a:extLst>
        </xdr:cNvPr>
        <xdr:cNvSpPr/>
      </xdr:nvSpPr>
      <xdr:spPr bwMode="auto">
        <a:xfrm>
          <a:off x="11830050" y="25765125"/>
          <a:ext cx="2990850" cy="981075"/>
        </a:xfrm>
        <a:prstGeom prst="wedgeRectCallout">
          <a:avLst>
            <a:gd name="adj1" fmla="val -89304"/>
            <a:gd name="adj2" fmla="val 111239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原紙売りの</a:t>
          </a:r>
          <a:r>
            <a:rPr kumimoji="1" lang="ja-JP" altLang="en-US" sz="11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工程あり・なしの振り分け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は第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画面の更新ボタン、次画面ボタンでユーザーが選択する</a:t>
          </a:r>
        </a:p>
      </xdr:txBody>
    </xdr:sp>
    <xdr:clientData/>
  </xdr:twoCellAnchor>
  <xdr:oneCellAnchor>
    <xdr:from>
      <xdr:col>32</xdr:col>
      <xdr:colOff>16752</xdr:colOff>
      <xdr:row>167</xdr:row>
      <xdr:rowOff>23648</xdr:rowOff>
    </xdr:from>
    <xdr:ext cx="121422" cy="146538"/>
    <xdr:pic>
      <xdr:nvPicPr>
        <xdr:cNvPr id="171" name="図 170">
          <a:extLst>
            <a:ext uri="{FF2B5EF4-FFF2-40B4-BE49-F238E27FC236}">
              <a16:creationId xmlns:a16="http://schemas.microsoft.com/office/drawing/2014/main" id="{0096D435-BCE4-4CBA-B64D-C4085FF6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2652" y="259602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167</xdr:row>
      <xdr:rowOff>14123</xdr:rowOff>
    </xdr:from>
    <xdr:ext cx="121422" cy="146538"/>
    <xdr:pic>
      <xdr:nvPicPr>
        <xdr:cNvPr id="172" name="図 171">
          <a:extLst>
            <a:ext uri="{FF2B5EF4-FFF2-40B4-BE49-F238E27FC236}">
              <a16:creationId xmlns:a16="http://schemas.microsoft.com/office/drawing/2014/main" id="{643C8069-05BA-4292-82AC-3945D8C7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59506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62</xdr:col>
      <xdr:colOff>161925</xdr:colOff>
      <xdr:row>157</xdr:row>
      <xdr:rowOff>38100</xdr:rowOff>
    </xdr:from>
    <xdr:to>
      <xdr:col>80</xdr:col>
      <xdr:colOff>0</xdr:colOff>
      <xdr:row>163</xdr:row>
      <xdr:rowOff>104775</xdr:rowOff>
    </xdr:to>
    <xdr:sp macro="" textlink="">
      <xdr:nvSpPr>
        <xdr:cNvPr id="173" name="吹き出し: 四角形 172">
          <a:extLst>
            <a:ext uri="{FF2B5EF4-FFF2-40B4-BE49-F238E27FC236}">
              <a16:creationId xmlns:a16="http://schemas.microsoft.com/office/drawing/2014/main" id="{7317F466-BA6A-4726-BA2E-3B24347F35E5}"/>
            </a:ext>
          </a:extLst>
        </xdr:cNvPr>
        <xdr:cNvSpPr/>
      </xdr:nvSpPr>
      <xdr:spPr bwMode="auto">
        <a:xfrm>
          <a:off x="10677525" y="24450675"/>
          <a:ext cx="2990850" cy="981075"/>
        </a:xfrm>
        <a:prstGeom prst="wedgeRectCallout">
          <a:avLst>
            <a:gd name="adj1" fmla="val -89304"/>
            <a:gd name="adj2" fmla="val 111239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発注先が指定された場合は</a:t>
          </a:r>
          <a:r>
            <a:rPr kumimoji="1" lang="ja-JP" altLang="en-US" sz="11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、発注単位、発注単価、単価単位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が必須入力。</a:t>
          </a:r>
          <a:endParaRPr kumimoji="0" lang="en-US" altLang="ja-JP" sz="1100" b="0" i="0" u="none" strike="noStrike">
            <a:effectLst/>
            <a:latin typeface="+mn-lt"/>
            <a:ea typeface="+mn-ea"/>
            <a:cs typeface="+mn-cs"/>
          </a:endParaRPr>
        </a:p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単価単位は</a:t>
          </a:r>
          <a:r>
            <a:rPr kumimoji="1" lang="ja-JP" altLang="en-US" sz="11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原紙単価マスタの単価単位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を初期値として参照する</a:t>
          </a:r>
        </a:p>
      </xdr:txBody>
    </xdr:sp>
    <xdr:clientData/>
  </xdr:twoCellAnchor>
  <xdr:oneCellAnchor>
    <xdr:from>
      <xdr:col>23</xdr:col>
      <xdr:colOff>16752</xdr:colOff>
      <xdr:row>105</xdr:row>
      <xdr:rowOff>23648</xdr:rowOff>
    </xdr:from>
    <xdr:ext cx="121422" cy="146538"/>
    <xdr:pic>
      <xdr:nvPicPr>
        <xdr:cNvPr id="174" name="図 173">
          <a:extLst>
            <a:ext uri="{FF2B5EF4-FFF2-40B4-BE49-F238E27FC236}">
              <a16:creationId xmlns:a16="http://schemas.microsoft.com/office/drawing/2014/main" id="{519DEA22-CC23-451C-9802-9AE102155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3018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105</xdr:row>
      <xdr:rowOff>14123</xdr:rowOff>
    </xdr:from>
    <xdr:ext cx="121422" cy="146538"/>
    <xdr:pic>
      <xdr:nvPicPr>
        <xdr:cNvPr id="175" name="図 174">
          <a:extLst>
            <a:ext uri="{FF2B5EF4-FFF2-40B4-BE49-F238E27FC236}">
              <a16:creationId xmlns:a16="http://schemas.microsoft.com/office/drawing/2014/main" id="{D1AD54C8-4A26-4A98-8B4A-477502CB8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292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107</xdr:row>
      <xdr:rowOff>147473</xdr:rowOff>
    </xdr:from>
    <xdr:ext cx="121422" cy="146538"/>
    <xdr:pic>
      <xdr:nvPicPr>
        <xdr:cNvPr id="176" name="図 175">
          <a:extLst>
            <a:ext uri="{FF2B5EF4-FFF2-40B4-BE49-F238E27FC236}">
              <a16:creationId xmlns:a16="http://schemas.microsoft.com/office/drawing/2014/main" id="{53BDDF90-B770-4169-8362-D3C76EAF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67304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105</xdr:row>
      <xdr:rowOff>23648</xdr:rowOff>
    </xdr:from>
    <xdr:ext cx="121422" cy="146538"/>
    <xdr:pic>
      <xdr:nvPicPr>
        <xdr:cNvPr id="177" name="図 176">
          <a:extLst>
            <a:ext uri="{FF2B5EF4-FFF2-40B4-BE49-F238E27FC236}">
              <a16:creationId xmlns:a16="http://schemas.microsoft.com/office/drawing/2014/main" id="{B7B5BC35-E2BD-4E74-949C-2B13B33C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3018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108</xdr:row>
      <xdr:rowOff>3726</xdr:rowOff>
    </xdr:from>
    <xdr:ext cx="154736" cy="144000"/>
    <xdr:pic>
      <xdr:nvPicPr>
        <xdr:cNvPr id="178" name="図 177">
          <a:extLst>
            <a:ext uri="{FF2B5EF4-FFF2-40B4-BE49-F238E27FC236}">
              <a16:creationId xmlns:a16="http://schemas.microsoft.com/office/drawing/2014/main" id="{625DAD79-8334-4B56-A1BA-43371F244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6739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108</xdr:row>
      <xdr:rowOff>3726</xdr:rowOff>
    </xdr:from>
    <xdr:ext cx="154736" cy="144000"/>
    <xdr:pic>
      <xdr:nvPicPr>
        <xdr:cNvPr id="179" name="図 178">
          <a:extLst>
            <a:ext uri="{FF2B5EF4-FFF2-40B4-BE49-F238E27FC236}">
              <a16:creationId xmlns:a16="http://schemas.microsoft.com/office/drawing/2014/main" id="{02C225FC-0456-4833-93CF-CB8CFED4C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6739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108</xdr:row>
      <xdr:rowOff>14123</xdr:rowOff>
    </xdr:from>
    <xdr:ext cx="121422" cy="146538"/>
    <xdr:pic>
      <xdr:nvPicPr>
        <xdr:cNvPr id="180" name="図 179">
          <a:extLst>
            <a:ext uri="{FF2B5EF4-FFF2-40B4-BE49-F238E27FC236}">
              <a16:creationId xmlns:a16="http://schemas.microsoft.com/office/drawing/2014/main" id="{EC0574F5-EDDA-4A53-A0AA-886D46E7E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7495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7327</xdr:colOff>
      <xdr:row>6</xdr:row>
      <xdr:rowOff>7327</xdr:rowOff>
    </xdr:from>
    <xdr:ext cx="154736" cy="144000"/>
    <xdr:pic>
      <xdr:nvPicPr>
        <xdr:cNvPr id="2" name="図 1">
          <a:extLst>
            <a:ext uri="{FF2B5EF4-FFF2-40B4-BE49-F238E27FC236}">
              <a16:creationId xmlns:a16="http://schemas.microsoft.com/office/drawing/2014/main" id="{E2F22E5D-97DA-42B8-8C19-E9C31E40D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3327" y="902677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29308</xdr:colOff>
      <xdr:row>10</xdr:row>
      <xdr:rowOff>7327</xdr:rowOff>
    </xdr:from>
    <xdr:ext cx="121422" cy="146538"/>
    <xdr:pic>
      <xdr:nvPicPr>
        <xdr:cNvPr id="3" name="図 2">
          <a:extLst>
            <a:ext uri="{FF2B5EF4-FFF2-40B4-BE49-F238E27FC236}">
              <a16:creationId xmlns:a16="http://schemas.microsoft.com/office/drawing/2014/main" id="{F7E69084-5732-49F6-A7F8-7DE7576A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3383" y="1512277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4</xdr:row>
      <xdr:rowOff>133351</xdr:rowOff>
    </xdr:from>
    <xdr:to>
      <xdr:col>11</xdr:col>
      <xdr:colOff>95250</xdr:colOff>
      <xdr:row>5</xdr:row>
      <xdr:rowOff>123825</xdr:rowOff>
    </xdr:to>
    <xdr:sp macro="" textlink="">
      <xdr:nvSpPr>
        <xdr:cNvPr id="4" name="フローチャート: 代替処理 3">
          <a:extLst>
            <a:ext uri="{FF2B5EF4-FFF2-40B4-BE49-F238E27FC236}">
              <a16:creationId xmlns:a16="http://schemas.microsoft.com/office/drawing/2014/main" id="{923F23BE-0D4E-4E04-AFEE-23BA76532258}"/>
            </a:ext>
          </a:extLst>
        </xdr:cNvPr>
        <xdr:cNvSpPr/>
      </xdr:nvSpPr>
      <xdr:spPr bwMode="auto">
        <a:xfrm>
          <a:off x="1333500" y="723901"/>
          <a:ext cx="561975" cy="142874"/>
        </a:xfrm>
        <a:prstGeom prst="flowChartAlternateProcess">
          <a:avLst/>
        </a:prstGeom>
        <a:solidFill>
          <a:srgbClr val="00339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oneCellAnchor>
    <xdr:from>
      <xdr:col>15</xdr:col>
      <xdr:colOff>0</xdr:colOff>
      <xdr:row>35</xdr:row>
      <xdr:rowOff>0</xdr:rowOff>
    </xdr:from>
    <xdr:ext cx="154736" cy="144000"/>
    <xdr:pic>
      <xdr:nvPicPr>
        <xdr:cNvPr id="5" name="図 4">
          <a:extLst>
            <a:ext uri="{FF2B5EF4-FFF2-40B4-BE49-F238E27FC236}">
              <a16:creationId xmlns:a16="http://schemas.microsoft.com/office/drawing/2014/main" id="{207D0D1B-B25F-4FC3-91D1-54179BD02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5553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23</xdr:row>
      <xdr:rowOff>9525</xdr:rowOff>
    </xdr:from>
    <xdr:ext cx="154736" cy="144000"/>
    <xdr:pic>
      <xdr:nvPicPr>
        <xdr:cNvPr id="6" name="図 5">
          <a:extLst>
            <a:ext uri="{FF2B5EF4-FFF2-40B4-BE49-F238E27FC236}">
              <a16:creationId xmlns:a16="http://schemas.microsoft.com/office/drawing/2014/main" id="{51BEF8D5-92CD-4EA4-BA14-7D21167C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37338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7" name="図 6">
          <a:extLst>
            <a:ext uri="{FF2B5EF4-FFF2-40B4-BE49-F238E27FC236}">
              <a16:creationId xmlns:a16="http://schemas.microsoft.com/office/drawing/2014/main" id="{A81BC216-CA5F-4FD9-BE4F-A3D4F444B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26</xdr:row>
      <xdr:rowOff>7327</xdr:rowOff>
    </xdr:from>
    <xdr:ext cx="154736" cy="144000"/>
    <xdr:pic>
      <xdr:nvPicPr>
        <xdr:cNvPr id="8" name="図 7">
          <a:extLst>
            <a:ext uri="{FF2B5EF4-FFF2-40B4-BE49-F238E27FC236}">
              <a16:creationId xmlns:a16="http://schemas.microsoft.com/office/drawing/2014/main" id="{B142DAEF-650B-4AA8-87B1-AF7D6DD3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1888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26</xdr:row>
      <xdr:rowOff>6569</xdr:rowOff>
    </xdr:from>
    <xdr:ext cx="144000" cy="144000"/>
    <xdr:pic>
      <xdr:nvPicPr>
        <xdr:cNvPr id="9" name="図 8">
          <a:extLst>
            <a:ext uri="{FF2B5EF4-FFF2-40B4-BE49-F238E27FC236}">
              <a16:creationId xmlns:a16="http://schemas.microsoft.com/office/drawing/2014/main" id="{E20D5703-2AB8-4481-83A6-F17DACF867D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188044"/>
          <a:ext cx="144000" cy="144000"/>
        </a:xfrm>
        <a:prstGeom prst="rect">
          <a:avLst/>
        </a:prstGeom>
      </xdr:spPr>
    </xdr:pic>
    <xdr:clientData/>
  </xdr:oneCellAnchor>
  <xdr:oneCellAnchor>
    <xdr:from>
      <xdr:col>51</xdr:col>
      <xdr:colOff>18638</xdr:colOff>
      <xdr:row>39</xdr:row>
      <xdr:rowOff>3726</xdr:rowOff>
    </xdr:from>
    <xdr:ext cx="154736" cy="144000"/>
    <xdr:pic>
      <xdr:nvPicPr>
        <xdr:cNvPr id="10" name="図 9">
          <a:extLst>
            <a:ext uri="{FF2B5EF4-FFF2-40B4-BE49-F238E27FC236}">
              <a16:creationId xmlns:a16="http://schemas.microsoft.com/office/drawing/2014/main" id="{9598DF9B-CF03-4822-934A-60447F0F8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1092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40</xdr:row>
      <xdr:rowOff>3726</xdr:rowOff>
    </xdr:from>
    <xdr:ext cx="154736" cy="144000"/>
    <xdr:pic>
      <xdr:nvPicPr>
        <xdr:cNvPr id="11" name="図 10">
          <a:extLst>
            <a:ext uri="{FF2B5EF4-FFF2-40B4-BE49-F238E27FC236}">
              <a16:creationId xmlns:a16="http://schemas.microsoft.com/office/drawing/2014/main" id="{46AC7739-24D6-4593-84B4-B8F83AE44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2616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28163</xdr:colOff>
      <xdr:row>41</xdr:row>
      <xdr:rowOff>13251</xdr:rowOff>
    </xdr:from>
    <xdr:ext cx="154736" cy="144000"/>
    <xdr:pic>
      <xdr:nvPicPr>
        <xdr:cNvPr id="12" name="図 11">
          <a:extLst>
            <a:ext uri="{FF2B5EF4-FFF2-40B4-BE49-F238E27FC236}">
              <a16:creationId xmlns:a16="http://schemas.microsoft.com/office/drawing/2014/main" id="{82EEE7AC-3763-4C6D-B0B8-9B96482EB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2588" y="6423576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30</xdr:row>
      <xdr:rowOff>7327</xdr:rowOff>
    </xdr:from>
    <xdr:ext cx="154736" cy="144000"/>
    <xdr:pic>
      <xdr:nvPicPr>
        <xdr:cNvPr id="13" name="図 12">
          <a:extLst>
            <a:ext uri="{FF2B5EF4-FFF2-40B4-BE49-F238E27FC236}">
              <a16:creationId xmlns:a16="http://schemas.microsoft.com/office/drawing/2014/main" id="{AE0A18BA-1291-402D-8EC5-608979B95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47984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51</xdr:col>
      <xdr:colOff>18638</xdr:colOff>
      <xdr:row>40</xdr:row>
      <xdr:rowOff>0</xdr:rowOff>
    </xdr:from>
    <xdr:ext cx="154736" cy="144000"/>
    <xdr:pic>
      <xdr:nvPicPr>
        <xdr:cNvPr id="14" name="図 13">
          <a:extLst>
            <a:ext uri="{FF2B5EF4-FFF2-40B4-BE49-F238E27FC236}">
              <a16:creationId xmlns:a16="http://schemas.microsoft.com/office/drawing/2014/main" id="{80F9105A-347D-4E32-8395-0714A7556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063" y="625792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27</xdr:row>
      <xdr:rowOff>6569</xdr:rowOff>
    </xdr:from>
    <xdr:ext cx="144000" cy="144000"/>
    <xdr:pic>
      <xdr:nvPicPr>
        <xdr:cNvPr id="15" name="図 14">
          <a:extLst>
            <a:ext uri="{FF2B5EF4-FFF2-40B4-BE49-F238E27FC236}">
              <a16:creationId xmlns:a16="http://schemas.microsoft.com/office/drawing/2014/main" id="{97B48D25-18C5-4A1A-92FB-6991F3D956A8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43404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154736" cy="144000"/>
    <xdr:pic>
      <xdr:nvPicPr>
        <xdr:cNvPr id="16" name="図 15">
          <a:extLst>
            <a:ext uri="{FF2B5EF4-FFF2-40B4-BE49-F238E27FC236}">
              <a16:creationId xmlns:a16="http://schemas.microsoft.com/office/drawing/2014/main" id="{FA0691FA-07CA-4168-9ED9-CCD52CCA5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43338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46</xdr:row>
      <xdr:rowOff>33753</xdr:rowOff>
    </xdr:from>
    <xdr:to>
      <xdr:col>70</xdr:col>
      <xdr:colOff>122914</xdr:colOff>
      <xdr:row>47</xdr:row>
      <xdr:rowOff>114350</xdr:rowOff>
    </xdr:to>
    <xdr:sp macro="" textlink="">
      <xdr:nvSpPr>
        <xdr:cNvPr id="17" name="フローチャート: 代替処理 16">
          <a:extLst>
            <a:ext uri="{FF2B5EF4-FFF2-40B4-BE49-F238E27FC236}">
              <a16:creationId xmlns:a16="http://schemas.microsoft.com/office/drawing/2014/main" id="{881F2AC0-FB23-4B0A-9A25-BAEE98F505F3}"/>
            </a:ext>
          </a:extLst>
        </xdr:cNvPr>
        <xdr:cNvSpPr/>
      </xdr:nvSpPr>
      <xdr:spPr bwMode="auto">
        <a:xfrm>
          <a:off x="11375749" y="690127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46</xdr:row>
      <xdr:rowOff>33131</xdr:rowOff>
    </xdr:from>
    <xdr:to>
      <xdr:col>6</xdr:col>
      <xdr:colOff>155297</xdr:colOff>
      <xdr:row>47</xdr:row>
      <xdr:rowOff>114971</xdr:rowOff>
    </xdr:to>
    <xdr:sp macro="" textlink="">
      <xdr:nvSpPr>
        <xdr:cNvPr id="18" name="フローチャート: 代替処理 17">
          <a:extLst>
            <a:ext uri="{FF2B5EF4-FFF2-40B4-BE49-F238E27FC236}">
              <a16:creationId xmlns:a16="http://schemas.microsoft.com/office/drawing/2014/main" id="{6A9FDF33-D00D-4406-8DE6-D756375078F4}"/>
            </a:ext>
          </a:extLst>
        </xdr:cNvPr>
        <xdr:cNvSpPr/>
      </xdr:nvSpPr>
      <xdr:spPr bwMode="auto">
        <a:xfrm>
          <a:off x="448089" y="690065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46</xdr:row>
      <xdr:rowOff>51434</xdr:rowOff>
    </xdr:from>
    <xdr:to>
      <xdr:col>28</xdr:col>
      <xdr:colOff>91109</xdr:colOff>
      <xdr:row>47</xdr:row>
      <xdr:rowOff>96669</xdr:rowOff>
    </xdr:to>
    <xdr:sp macro="" textlink="">
      <xdr:nvSpPr>
        <xdr:cNvPr id="19" name="フローチャート: 代替処理 18">
          <a:extLst>
            <a:ext uri="{FF2B5EF4-FFF2-40B4-BE49-F238E27FC236}">
              <a16:creationId xmlns:a16="http://schemas.microsoft.com/office/drawing/2014/main" id="{9788A7C8-0F10-49A9-ABA8-772D6A103196}"/>
            </a:ext>
          </a:extLst>
        </xdr:cNvPr>
        <xdr:cNvSpPr/>
      </xdr:nvSpPr>
      <xdr:spPr bwMode="auto">
        <a:xfrm>
          <a:off x="4142833" y="691895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46</xdr:row>
      <xdr:rowOff>51434</xdr:rowOff>
    </xdr:from>
    <xdr:to>
      <xdr:col>24</xdr:col>
      <xdr:colOff>132522</xdr:colOff>
      <xdr:row>47</xdr:row>
      <xdr:rowOff>96669</xdr:rowOff>
    </xdr:to>
    <xdr:sp macro="" textlink="">
      <xdr:nvSpPr>
        <xdr:cNvPr id="20" name="フローチャート: 代替処理 19">
          <a:extLst>
            <a:ext uri="{FF2B5EF4-FFF2-40B4-BE49-F238E27FC236}">
              <a16:creationId xmlns:a16="http://schemas.microsoft.com/office/drawing/2014/main" id="{CFC0A603-9FB0-4273-B61D-E3D4385516D0}"/>
            </a:ext>
          </a:extLst>
        </xdr:cNvPr>
        <xdr:cNvSpPr/>
      </xdr:nvSpPr>
      <xdr:spPr bwMode="auto">
        <a:xfrm>
          <a:off x="3488922" y="691895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46</xdr:row>
      <xdr:rowOff>31475</xdr:rowOff>
    </xdr:from>
    <xdr:to>
      <xdr:col>32</xdr:col>
      <xdr:colOff>41414</xdr:colOff>
      <xdr:row>47</xdr:row>
      <xdr:rowOff>116628</xdr:rowOff>
    </xdr:to>
    <xdr:sp macro="" textlink="">
      <xdr:nvSpPr>
        <xdr:cNvPr id="21" name="フローチャート: 代替処理 20">
          <a:extLst>
            <a:ext uri="{FF2B5EF4-FFF2-40B4-BE49-F238E27FC236}">
              <a16:creationId xmlns:a16="http://schemas.microsoft.com/office/drawing/2014/main" id="{C0D3D714-2848-4649-A46D-6461744A380E}"/>
            </a:ext>
          </a:extLst>
        </xdr:cNvPr>
        <xdr:cNvSpPr/>
      </xdr:nvSpPr>
      <xdr:spPr bwMode="auto">
        <a:xfrm>
          <a:off x="5029036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46</xdr:row>
      <xdr:rowOff>31475</xdr:rowOff>
    </xdr:from>
    <xdr:to>
      <xdr:col>34</xdr:col>
      <xdr:colOff>61293</xdr:colOff>
      <xdr:row>47</xdr:row>
      <xdr:rowOff>116628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BD8BE81A-BE4D-4138-8906-4CEFA097AD9B}"/>
            </a:ext>
          </a:extLst>
        </xdr:cNvPr>
        <xdr:cNvSpPr/>
      </xdr:nvSpPr>
      <xdr:spPr bwMode="auto">
        <a:xfrm>
          <a:off x="5372765" y="689900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23</xdr:row>
      <xdr:rowOff>9525</xdr:rowOff>
    </xdr:from>
    <xdr:ext cx="121422" cy="146538"/>
    <xdr:pic>
      <xdr:nvPicPr>
        <xdr:cNvPr id="23" name="図 22">
          <a:extLst>
            <a:ext uri="{FF2B5EF4-FFF2-40B4-BE49-F238E27FC236}">
              <a16:creationId xmlns:a16="http://schemas.microsoft.com/office/drawing/2014/main" id="{238FC062-824C-4A70-8DB2-B08E58BCB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37338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32</xdr:row>
      <xdr:rowOff>9525</xdr:rowOff>
    </xdr:from>
    <xdr:ext cx="121422" cy="146538"/>
    <xdr:pic>
      <xdr:nvPicPr>
        <xdr:cNvPr id="24" name="図 23">
          <a:extLst>
            <a:ext uri="{FF2B5EF4-FFF2-40B4-BE49-F238E27FC236}">
              <a16:creationId xmlns:a16="http://schemas.microsoft.com/office/drawing/2014/main" id="{E4633313-1DC8-46A5-9D03-9328AD43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5105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41414</xdr:colOff>
      <xdr:row>253</xdr:row>
      <xdr:rowOff>33132</xdr:rowOff>
    </xdr:from>
    <xdr:to>
      <xdr:col>18</xdr:col>
      <xdr:colOff>72224</xdr:colOff>
      <xdr:row>254</xdr:row>
      <xdr:rowOff>118285</xdr:rowOff>
    </xdr:to>
    <xdr:sp macro="" textlink="">
      <xdr:nvSpPr>
        <xdr:cNvPr id="25" name="フローチャート: 代替処理 24">
          <a:extLst>
            <a:ext uri="{FF2B5EF4-FFF2-40B4-BE49-F238E27FC236}">
              <a16:creationId xmlns:a16="http://schemas.microsoft.com/office/drawing/2014/main" id="{F409A172-C996-4FCC-A5DA-B565CA7301A0}"/>
            </a:ext>
          </a:extLst>
        </xdr:cNvPr>
        <xdr:cNvSpPr/>
      </xdr:nvSpPr>
      <xdr:spPr bwMode="auto">
        <a:xfrm>
          <a:off x="2327414" y="39914307"/>
          <a:ext cx="67851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18</xdr:col>
      <xdr:colOff>163665</xdr:colOff>
      <xdr:row>253</xdr:row>
      <xdr:rowOff>33132</xdr:rowOff>
    </xdr:from>
    <xdr:to>
      <xdr:col>23</xdr:col>
      <xdr:colOff>21203</xdr:colOff>
      <xdr:row>254</xdr:row>
      <xdr:rowOff>118285</xdr:rowOff>
    </xdr:to>
    <xdr:sp macro="" textlink="">
      <xdr:nvSpPr>
        <xdr:cNvPr id="26" name="フローチャート: 代替処理 25">
          <a:extLst>
            <a:ext uri="{FF2B5EF4-FFF2-40B4-BE49-F238E27FC236}">
              <a16:creationId xmlns:a16="http://schemas.microsoft.com/office/drawing/2014/main" id="{4709B5A4-E5F5-489C-84B2-067B5E2519FE}"/>
            </a:ext>
          </a:extLst>
        </xdr:cNvPr>
        <xdr:cNvSpPr/>
      </xdr:nvSpPr>
      <xdr:spPr bwMode="auto">
        <a:xfrm>
          <a:off x="3097365" y="39914307"/>
          <a:ext cx="66716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</xdr:col>
      <xdr:colOff>177248</xdr:colOff>
      <xdr:row>253</xdr:row>
      <xdr:rowOff>36445</xdr:rowOff>
    </xdr:from>
    <xdr:to>
      <xdr:col>7</xdr:col>
      <xdr:colOff>993</xdr:colOff>
      <xdr:row>254</xdr:row>
      <xdr:rowOff>121598</xdr:rowOff>
    </xdr:to>
    <xdr:sp macro="" textlink="">
      <xdr:nvSpPr>
        <xdr:cNvPr id="27" name="フローチャート: 代替処理 26">
          <a:extLst>
            <a:ext uri="{FF2B5EF4-FFF2-40B4-BE49-F238E27FC236}">
              <a16:creationId xmlns:a16="http://schemas.microsoft.com/office/drawing/2014/main" id="{DF9F582D-C883-4C73-B341-76EB82018EE8}"/>
            </a:ext>
          </a:extLst>
        </xdr:cNvPr>
        <xdr:cNvSpPr/>
      </xdr:nvSpPr>
      <xdr:spPr bwMode="auto">
        <a:xfrm>
          <a:off x="501098" y="3991762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46</xdr:col>
      <xdr:colOff>53837</xdr:colOff>
      <xdr:row>253</xdr:row>
      <xdr:rowOff>33959</xdr:rowOff>
    </xdr:from>
    <xdr:to>
      <xdr:col>50</xdr:col>
      <xdr:colOff>126137</xdr:colOff>
      <xdr:row>254</xdr:row>
      <xdr:rowOff>108916</xdr:rowOff>
    </xdr:to>
    <xdr:sp macro="" textlink="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F4A66E10-623C-456B-B684-FAC74FBED2DB}"/>
            </a:ext>
          </a:extLst>
        </xdr:cNvPr>
        <xdr:cNvSpPr/>
      </xdr:nvSpPr>
      <xdr:spPr bwMode="auto">
        <a:xfrm>
          <a:off x="7978637" y="39915134"/>
          <a:ext cx="720000" cy="22735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29" name="図 28">
          <a:extLst>
            <a:ext uri="{FF2B5EF4-FFF2-40B4-BE49-F238E27FC236}">
              <a16:creationId xmlns:a16="http://schemas.microsoft.com/office/drawing/2014/main" id="{71ABB8DC-15BF-4400-9B08-96DA9B84F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23</xdr:row>
      <xdr:rowOff>0</xdr:rowOff>
    </xdr:from>
    <xdr:ext cx="154736" cy="144000"/>
    <xdr:pic>
      <xdr:nvPicPr>
        <xdr:cNvPr id="30" name="図 29">
          <a:extLst>
            <a:ext uri="{FF2B5EF4-FFF2-40B4-BE49-F238E27FC236}">
              <a16:creationId xmlns:a16="http://schemas.microsoft.com/office/drawing/2014/main" id="{332B8740-32D0-4B34-B182-8BAEBB14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37242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30</xdr:row>
      <xdr:rowOff>9525</xdr:rowOff>
    </xdr:from>
    <xdr:ext cx="121422" cy="146538"/>
    <xdr:pic>
      <xdr:nvPicPr>
        <xdr:cNvPr id="31" name="図 30">
          <a:extLst>
            <a:ext uri="{FF2B5EF4-FFF2-40B4-BE49-F238E27FC236}">
              <a16:creationId xmlns:a16="http://schemas.microsoft.com/office/drawing/2014/main" id="{5BB3DEA9-DA31-40AC-802D-F88EC0CD8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80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46</xdr:row>
      <xdr:rowOff>60959</xdr:rowOff>
    </xdr:from>
    <xdr:to>
      <xdr:col>20</xdr:col>
      <xdr:colOff>142047</xdr:colOff>
      <xdr:row>47</xdr:row>
      <xdr:rowOff>106194</xdr:rowOff>
    </xdr:to>
    <xdr:sp macro="" textlink="">
      <xdr:nvSpPr>
        <xdr:cNvPr id="32" name="フローチャート: 代替処理 31">
          <a:extLst>
            <a:ext uri="{FF2B5EF4-FFF2-40B4-BE49-F238E27FC236}">
              <a16:creationId xmlns:a16="http://schemas.microsoft.com/office/drawing/2014/main" id="{FFD25319-7669-4C25-8136-72487D3D3559}"/>
            </a:ext>
          </a:extLst>
        </xdr:cNvPr>
        <xdr:cNvSpPr/>
      </xdr:nvSpPr>
      <xdr:spPr bwMode="auto">
        <a:xfrm>
          <a:off x="2850747" y="692848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oneCellAnchor>
    <xdr:from>
      <xdr:col>44</xdr:col>
      <xdr:colOff>13138</xdr:colOff>
      <xdr:row>39</xdr:row>
      <xdr:rowOff>16094</xdr:rowOff>
    </xdr:from>
    <xdr:ext cx="144000" cy="144000"/>
    <xdr:pic>
      <xdr:nvPicPr>
        <xdr:cNvPr id="33" name="図 32">
          <a:extLst>
            <a:ext uri="{FF2B5EF4-FFF2-40B4-BE49-F238E27FC236}">
              <a16:creationId xmlns:a16="http://schemas.microsoft.com/office/drawing/2014/main" id="{C3AC539B-9D11-4BBD-9298-018D5642845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21619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39</xdr:row>
      <xdr:rowOff>6569</xdr:rowOff>
    </xdr:from>
    <xdr:ext cx="144000" cy="144000"/>
    <xdr:pic>
      <xdr:nvPicPr>
        <xdr:cNvPr id="34" name="図 33">
          <a:extLst>
            <a:ext uri="{FF2B5EF4-FFF2-40B4-BE49-F238E27FC236}">
              <a16:creationId xmlns:a16="http://schemas.microsoft.com/office/drawing/2014/main" id="{FEF0ECFF-8214-4093-BED2-C71B20B4AA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1120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40</xdr:row>
      <xdr:rowOff>6569</xdr:rowOff>
    </xdr:from>
    <xdr:ext cx="144000" cy="144000"/>
    <xdr:pic>
      <xdr:nvPicPr>
        <xdr:cNvPr id="35" name="図 34">
          <a:extLst>
            <a:ext uri="{FF2B5EF4-FFF2-40B4-BE49-F238E27FC236}">
              <a16:creationId xmlns:a16="http://schemas.microsoft.com/office/drawing/2014/main" id="{B572DA62-0332-48EF-A4A6-97A2C0B1F0F6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264494"/>
          <a:ext cx="144000" cy="144000"/>
        </a:xfrm>
        <a:prstGeom prst="rect">
          <a:avLst/>
        </a:prstGeom>
      </xdr:spPr>
    </xdr:pic>
    <xdr:clientData/>
  </xdr:oneCellAnchor>
  <xdr:oneCellAnchor>
    <xdr:from>
      <xdr:col>44</xdr:col>
      <xdr:colOff>13138</xdr:colOff>
      <xdr:row>41</xdr:row>
      <xdr:rowOff>6569</xdr:rowOff>
    </xdr:from>
    <xdr:ext cx="144000" cy="144000"/>
    <xdr:pic>
      <xdr:nvPicPr>
        <xdr:cNvPr id="36" name="図 35">
          <a:extLst>
            <a:ext uri="{FF2B5EF4-FFF2-40B4-BE49-F238E27FC236}">
              <a16:creationId xmlns:a16="http://schemas.microsoft.com/office/drawing/2014/main" id="{4421E29D-6BF9-44D1-A59F-026EA8070B6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14088" y="6416894"/>
          <a:ext cx="144000" cy="144000"/>
        </a:xfrm>
        <a:prstGeom prst="rect">
          <a:avLst/>
        </a:prstGeom>
      </xdr:spPr>
    </xdr:pic>
    <xdr:clientData/>
  </xdr:oneCellAnchor>
  <xdr:twoCellAnchor>
    <xdr:from>
      <xdr:col>62</xdr:col>
      <xdr:colOff>8614</xdr:colOff>
      <xdr:row>46</xdr:row>
      <xdr:rowOff>41373</xdr:rowOff>
    </xdr:from>
    <xdr:to>
      <xdr:col>65</xdr:col>
      <xdr:colOff>115294</xdr:colOff>
      <xdr:row>47</xdr:row>
      <xdr:rowOff>121970</xdr:rowOff>
    </xdr:to>
    <xdr:sp macro="" textlink="">
      <xdr:nvSpPr>
        <xdr:cNvPr id="37" name="フローチャート: 代替処理 36">
          <a:extLst>
            <a:ext uri="{FF2B5EF4-FFF2-40B4-BE49-F238E27FC236}">
              <a16:creationId xmlns:a16="http://schemas.microsoft.com/office/drawing/2014/main" id="{CDFC4CCA-D230-431D-A391-B95751700ED9}"/>
            </a:ext>
          </a:extLst>
        </xdr:cNvPr>
        <xdr:cNvSpPr/>
      </xdr:nvSpPr>
      <xdr:spPr bwMode="auto">
        <a:xfrm>
          <a:off x="10524214" y="690889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15</xdr:col>
      <xdr:colOff>0</xdr:colOff>
      <xdr:row>67</xdr:row>
      <xdr:rowOff>0</xdr:rowOff>
    </xdr:from>
    <xdr:ext cx="154736" cy="144000"/>
    <xdr:pic>
      <xdr:nvPicPr>
        <xdr:cNvPr id="38" name="図 37">
          <a:extLst>
            <a:ext uri="{FF2B5EF4-FFF2-40B4-BE49-F238E27FC236}">
              <a16:creationId xmlns:a16="http://schemas.microsoft.com/office/drawing/2014/main" id="{160DB9BB-2D67-4A44-A72F-178F118A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02774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9525</xdr:colOff>
      <xdr:row>56</xdr:row>
      <xdr:rowOff>9525</xdr:rowOff>
    </xdr:from>
    <xdr:ext cx="154736" cy="144000"/>
    <xdr:pic>
      <xdr:nvPicPr>
        <xdr:cNvPr id="39" name="図 38">
          <a:extLst>
            <a:ext uri="{FF2B5EF4-FFF2-40B4-BE49-F238E27FC236}">
              <a16:creationId xmlns:a16="http://schemas.microsoft.com/office/drawing/2014/main" id="{C241C563-39F0-4ABE-A900-3A77CA8A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0100" y="8610600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0" name="図 39">
          <a:extLst>
            <a:ext uri="{FF2B5EF4-FFF2-40B4-BE49-F238E27FC236}">
              <a16:creationId xmlns:a16="http://schemas.microsoft.com/office/drawing/2014/main" id="{594F3BAE-2225-4146-B68F-9ADA0C57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59</xdr:row>
      <xdr:rowOff>7327</xdr:rowOff>
    </xdr:from>
    <xdr:ext cx="154736" cy="144000"/>
    <xdr:pic>
      <xdr:nvPicPr>
        <xdr:cNvPr id="41" name="図 40">
          <a:extLst>
            <a:ext uri="{FF2B5EF4-FFF2-40B4-BE49-F238E27FC236}">
              <a16:creationId xmlns:a16="http://schemas.microsoft.com/office/drawing/2014/main" id="{27A6761A-04A1-4606-8AF4-386CE817B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0656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59</xdr:row>
      <xdr:rowOff>6569</xdr:rowOff>
    </xdr:from>
    <xdr:ext cx="144000" cy="144000"/>
    <xdr:pic>
      <xdr:nvPicPr>
        <xdr:cNvPr id="42" name="図 41">
          <a:extLst>
            <a:ext uri="{FF2B5EF4-FFF2-40B4-BE49-F238E27FC236}">
              <a16:creationId xmlns:a16="http://schemas.microsoft.com/office/drawing/2014/main" id="{C4E7165D-4A15-487F-A15D-34AE6E8D925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064844"/>
          <a:ext cx="144000" cy="144000"/>
        </a:xfrm>
        <a:prstGeom prst="rect">
          <a:avLst/>
        </a:prstGeom>
      </xdr:spPr>
    </xdr:pic>
    <xdr:clientData/>
  </xdr:oneCellAnchor>
  <xdr:oneCellAnchor>
    <xdr:from>
      <xdr:col>13</xdr:col>
      <xdr:colOff>7327</xdr:colOff>
      <xdr:row>63</xdr:row>
      <xdr:rowOff>7327</xdr:rowOff>
    </xdr:from>
    <xdr:ext cx="154736" cy="144000"/>
    <xdr:pic>
      <xdr:nvPicPr>
        <xdr:cNvPr id="43" name="図 42">
          <a:extLst>
            <a:ext uri="{FF2B5EF4-FFF2-40B4-BE49-F238E27FC236}">
              <a16:creationId xmlns:a16="http://schemas.microsoft.com/office/drawing/2014/main" id="{0543B149-B447-41EF-A3EE-21D8D0AA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96752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13138</xdr:colOff>
      <xdr:row>60</xdr:row>
      <xdr:rowOff>6569</xdr:rowOff>
    </xdr:from>
    <xdr:ext cx="144000" cy="144000"/>
    <xdr:pic>
      <xdr:nvPicPr>
        <xdr:cNvPr id="44" name="図 43">
          <a:extLst>
            <a:ext uri="{FF2B5EF4-FFF2-40B4-BE49-F238E27FC236}">
              <a16:creationId xmlns:a16="http://schemas.microsoft.com/office/drawing/2014/main" id="{56C05958-7EFB-460F-B27A-144A49D0B4F3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663" y="9217244"/>
          <a:ext cx="144000" cy="1440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154736" cy="144000"/>
    <xdr:pic>
      <xdr:nvPicPr>
        <xdr:cNvPr id="45" name="図 44">
          <a:extLst>
            <a:ext uri="{FF2B5EF4-FFF2-40B4-BE49-F238E27FC236}">
              <a16:creationId xmlns:a16="http://schemas.microsoft.com/office/drawing/2014/main" id="{4804CD89-5068-467E-9A5E-F105C7238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92106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66</xdr:col>
      <xdr:colOff>107674</xdr:colOff>
      <xdr:row>69</xdr:row>
      <xdr:rowOff>33753</xdr:rowOff>
    </xdr:from>
    <xdr:to>
      <xdr:col>70</xdr:col>
      <xdr:colOff>122914</xdr:colOff>
      <xdr:row>70</xdr:row>
      <xdr:rowOff>114350</xdr:rowOff>
    </xdr:to>
    <xdr:sp macro="" textlink="">
      <xdr:nvSpPr>
        <xdr:cNvPr id="46" name="フローチャート: 代替処理 45">
          <a:extLst>
            <a:ext uri="{FF2B5EF4-FFF2-40B4-BE49-F238E27FC236}">
              <a16:creationId xmlns:a16="http://schemas.microsoft.com/office/drawing/2014/main" id="{0218FDB9-3F21-4B80-B074-BD99951A321F}"/>
            </a:ext>
          </a:extLst>
        </xdr:cNvPr>
        <xdr:cNvSpPr/>
      </xdr:nvSpPr>
      <xdr:spPr bwMode="auto">
        <a:xfrm>
          <a:off x="11375749" y="10616028"/>
          <a:ext cx="701040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2</xdr:col>
      <xdr:colOff>124239</xdr:colOff>
      <xdr:row>69</xdr:row>
      <xdr:rowOff>33131</xdr:rowOff>
    </xdr:from>
    <xdr:to>
      <xdr:col>6</xdr:col>
      <xdr:colOff>155297</xdr:colOff>
      <xdr:row>70</xdr:row>
      <xdr:rowOff>114971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258B6F48-603F-4457-A258-B10A1EFE4153}"/>
            </a:ext>
          </a:extLst>
        </xdr:cNvPr>
        <xdr:cNvSpPr/>
      </xdr:nvSpPr>
      <xdr:spPr bwMode="auto">
        <a:xfrm>
          <a:off x="448089" y="10615406"/>
          <a:ext cx="697808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クリア</a:t>
          </a:r>
        </a:p>
      </xdr:txBody>
    </xdr:sp>
    <xdr:clientData/>
  </xdr:twoCellAnchor>
  <xdr:twoCellAnchor>
    <xdr:from>
      <xdr:col>25</xdr:col>
      <xdr:colOff>28033</xdr:colOff>
      <xdr:row>69</xdr:row>
      <xdr:rowOff>51434</xdr:rowOff>
    </xdr:from>
    <xdr:to>
      <xdr:col>28</xdr:col>
      <xdr:colOff>91109</xdr:colOff>
      <xdr:row>70</xdr:row>
      <xdr:rowOff>96669</xdr:rowOff>
    </xdr:to>
    <xdr:sp macro="" textlink="">
      <xdr:nvSpPr>
        <xdr:cNvPr id="48" name="フローチャート: 代替処理 47">
          <a:extLst>
            <a:ext uri="{FF2B5EF4-FFF2-40B4-BE49-F238E27FC236}">
              <a16:creationId xmlns:a16="http://schemas.microsoft.com/office/drawing/2014/main" id="{40FE44A1-367C-4F1C-803D-FDDCC5DF3BEC}"/>
            </a:ext>
          </a:extLst>
        </xdr:cNvPr>
        <xdr:cNvSpPr/>
      </xdr:nvSpPr>
      <xdr:spPr bwMode="auto">
        <a:xfrm>
          <a:off x="4142833" y="10633709"/>
          <a:ext cx="596476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21</xdr:col>
      <xdr:colOff>69447</xdr:colOff>
      <xdr:row>69</xdr:row>
      <xdr:rowOff>51434</xdr:rowOff>
    </xdr:from>
    <xdr:to>
      <xdr:col>24</xdr:col>
      <xdr:colOff>132522</xdr:colOff>
      <xdr:row>70</xdr:row>
      <xdr:rowOff>96669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4CF7211E-CF2F-472B-82F5-3EA7BBA41163}"/>
            </a:ext>
          </a:extLst>
        </xdr:cNvPr>
        <xdr:cNvSpPr/>
      </xdr:nvSpPr>
      <xdr:spPr bwMode="auto">
        <a:xfrm>
          <a:off x="3488922" y="10633709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行追加</a:t>
          </a:r>
        </a:p>
      </xdr:txBody>
    </xdr:sp>
    <xdr:clientData/>
  </xdr:twoCellAnchor>
  <xdr:twoCellAnchor>
    <xdr:from>
      <xdr:col>30</xdr:col>
      <xdr:colOff>56986</xdr:colOff>
      <xdr:row>69</xdr:row>
      <xdr:rowOff>31475</xdr:rowOff>
    </xdr:from>
    <xdr:to>
      <xdr:col>32</xdr:col>
      <xdr:colOff>41414</xdr:colOff>
      <xdr:row>70</xdr:row>
      <xdr:rowOff>116628</xdr:rowOff>
    </xdr:to>
    <xdr:sp macro="" textlink="">
      <xdr:nvSpPr>
        <xdr:cNvPr id="50" name="フローチャート: 代替処理 49">
          <a:extLst>
            <a:ext uri="{FF2B5EF4-FFF2-40B4-BE49-F238E27FC236}">
              <a16:creationId xmlns:a16="http://schemas.microsoft.com/office/drawing/2014/main" id="{6012DFF1-018C-442E-A78C-6AD3FD90FA98}"/>
            </a:ext>
          </a:extLst>
        </xdr:cNvPr>
        <xdr:cNvSpPr/>
      </xdr:nvSpPr>
      <xdr:spPr bwMode="auto">
        <a:xfrm>
          <a:off x="5029036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▲</a:t>
          </a:r>
        </a:p>
      </xdr:txBody>
    </xdr:sp>
    <xdr:clientData/>
  </xdr:twoCellAnchor>
  <xdr:twoCellAnchor>
    <xdr:from>
      <xdr:col>32</xdr:col>
      <xdr:colOff>76865</xdr:colOff>
      <xdr:row>69</xdr:row>
      <xdr:rowOff>31475</xdr:rowOff>
    </xdr:from>
    <xdr:to>
      <xdr:col>34</xdr:col>
      <xdr:colOff>61293</xdr:colOff>
      <xdr:row>70</xdr:row>
      <xdr:rowOff>116628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D2D40035-44C2-4754-A9C4-18A622385B6D}"/>
            </a:ext>
          </a:extLst>
        </xdr:cNvPr>
        <xdr:cNvSpPr/>
      </xdr:nvSpPr>
      <xdr:spPr bwMode="auto">
        <a:xfrm>
          <a:off x="5372765" y="10613750"/>
          <a:ext cx="308278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▼</a:t>
          </a:r>
        </a:p>
      </xdr:txBody>
    </xdr:sp>
    <xdr:clientData/>
  </xdr:twoCellAnchor>
  <xdr:oneCellAnchor>
    <xdr:from>
      <xdr:col>12</xdr:col>
      <xdr:colOff>28575</xdr:colOff>
      <xdr:row>56</xdr:row>
      <xdr:rowOff>9525</xdr:rowOff>
    </xdr:from>
    <xdr:ext cx="121422" cy="146538"/>
    <xdr:pic>
      <xdr:nvPicPr>
        <xdr:cNvPr id="52" name="図 51">
          <a:extLst>
            <a:ext uri="{FF2B5EF4-FFF2-40B4-BE49-F238E27FC236}">
              <a16:creationId xmlns:a16="http://schemas.microsoft.com/office/drawing/2014/main" id="{143B2455-BF48-4E60-9CB2-103DEC24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0725" y="86106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38100</xdr:colOff>
      <xdr:row>65</xdr:row>
      <xdr:rowOff>9525</xdr:rowOff>
    </xdr:from>
    <xdr:ext cx="121422" cy="146538"/>
    <xdr:pic>
      <xdr:nvPicPr>
        <xdr:cNvPr id="53" name="図 52">
          <a:extLst>
            <a:ext uri="{FF2B5EF4-FFF2-40B4-BE49-F238E27FC236}">
              <a16:creationId xmlns:a16="http://schemas.microsoft.com/office/drawing/2014/main" id="{53DD4CDD-F6CF-4E8D-8967-14B94FA45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5" y="99822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4" name="図 53">
          <a:extLst>
            <a:ext uri="{FF2B5EF4-FFF2-40B4-BE49-F238E27FC236}">
              <a16:creationId xmlns:a16="http://schemas.microsoft.com/office/drawing/2014/main" id="{3B3B3A96-BBB4-47CB-B566-281D09E67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56</xdr:row>
      <xdr:rowOff>0</xdr:rowOff>
    </xdr:from>
    <xdr:ext cx="154736" cy="144000"/>
    <xdr:pic>
      <xdr:nvPicPr>
        <xdr:cNvPr id="55" name="図 54">
          <a:extLst>
            <a:ext uri="{FF2B5EF4-FFF2-40B4-BE49-F238E27FC236}">
              <a16:creationId xmlns:a16="http://schemas.microsoft.com/office/drawing/2014/main" id="{6C30423C-666A-4852-8695-22F3E6B6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8601075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38100</xdr:colOff>
      <xdr:row>63</xdr:row>
      <xdr:rowOff>9525</xdr:rowOff>
    </xdr:from>
    <xdr:ext cx="121422" cy="146538"/>
    <xdr:pic>
      <xdr:nvPicPr>
        <xdr:cNvPr id="56" name="図 55">
          <a:extLst>
            <a:ext uri="{FF2B5EF4-FFF2-40B4-BE49-F238E27FC236}">
              <a16:creationId xmlns:a16="http://schemas.microsoft.com/office/drawing/2014/main" id="{25BBDA78-8627-4D3F-B1DA-1C035ABD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96774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78972</xdr:colOff>
      <xdr:row>69</xdr:row>
      <xdr:rowOff>60959</xdr:rowOff>
    </xdr:from>
    <xdr:to>
      <xdr:col>20</xdr:col>
      <xdr:colOff>142047</xdr:colOff>
      <xdr:row>70</xdr:row>
      <xdr:rowOff>106194</xdr:rowOff>
    </xdr:to>
    <xdr:sp macro="" textlink="">
      <xdr:nvSpPr>
        <xdr:cNvPr id="57" name="フローチャート: 代替処理 56">
          <a:extLst>
            <a:ext uri="{FF2B5EF4-FFF2-40B4-BE49-F238E27FC236}">
              <a16:creationId xmlns:a16="http://schemas.microsoft.com/office/drawing/2014/main" id="{605A86F6-F1A0-4CA0-92B0-F8038FD478F5}"/>
            </a:ext>
          </a:extLst>
        </xdr:cNvPr>
        <xdr:cNvSpPr/>
      </xdr:nvSpPr>
      <xdr:spPr bwMode="auto">
        <a:xfrm>
          <a:off x="2850747" y="10643234"/>
          <a:ext cx="548850" cy="197635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7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行コピー</a:t>
          </a:r>
        </a:p>
      </xdr:txBody>
    </xdr:sp>
    <xdr:clientData/>
  </xdr:twoCellAnchor>
  <xdr:twoCellAnchor>
    <xdr:from>
      <xdr:col>62</xdr:col>
      <xdr:colOff>8614</xdr:colOff>
      <xdr:row>69</xdr:row>
      <xdr:rowOff>41373</xdr:rowOff>
    </xdr:from>
    <xdr:to>
      <xdr:col>65</xdr:col>
      <xdr:colOff>115294</xdr:colOff>
      <xdr:row>70</xdr:row>
      <xdr:rowOff>121970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241586BF-2E26-43AC-A76F-3624B6E084C9}"/>
            </a:ext>
          </a:extLst>
        </xdr:cNvPr>
        <xdr:cNvSpPr/>
      </xdr:nvSpPr>
      <xdr:spPr bwMode="auto">
        <a:xfrm>
          <a:off x="10524214" y="10623648"/>
          <a:ext cx="687705" cy="23299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49</xdr:col>
      <xdr:colOff>47625</xdr:colOff>
      <xdr:row>59</xdr:row>
      <xdr:rowOff>0</xdr:rowOff>
    </xdr:from>
    <xdr:ext cx="121422" cy="146538"/>
    <xdr:pic>
      <xdr:nvPicPr>
        <xdr:cNvPr id="59" name="図 58">
          <a:extLst>
            <a:ext uri="{FF2B5EF4-FFF2-40B4-BE49-F238E27FC236}">
              <a16:creationId xmlns:a16="http://schemas.microsoft.com/office/drawing/2014/main" id="{794B5F44-C600-4BEB-BB6C-20F88DB2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90582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22663</xdr:colOff>
      <xdr:row>63</xdr:row>
      <xdr:rowOff>25619</xdr:rowOff>
    </xdr:from>
    <xdr:ext cx="144000" cy="144000"/>
    <xdr:pic>
      <xdr:nvPicPr>
        <xdr:cNvPr id="60" name="図 59">
          <a:extLst>
            <a:ext uri="{FF2B5EF4-FFF2-40B4-BE49-F238E27FC236}">
              <a16:creationId xmlns:a16="http://schemas.microsoft.com/office/drawing/2014/main" id="{88D46EFA-029F-4055-8B62-5D15AE205D6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18563" y="9693494"/>
          <a:ext cx="144000" cy="144000"/>
        </a:xfrm>
        <a:prstGeom prst="rect">
          <a:avLst/>
        </a:prstGeom>
      </xdr:spPr>
    </xdr:pic>
    <xdr:clientData/>
  </xdr:oneCellAnchor>
  <xdr:twoCellAnchor>
    <xdr:from>
      <xdr:col>3</xdr:col>
      <xdr:colOff>17808</xdr:colOff>
      <xdr:row>117</xdr:row>
      <xdr:rowOff>24434</xdr:rowOff>
    </xdr:from>
    <xdr:to>
      <xdr:col>7</xdr:col>
      <xdr:colOff>65432</xdr:colOff>
      <xdr:row>118</xdr:row>
      <xdr:rowOff>106274</xdr:rowOff>
    </xdr:to>
    <xdr:sp macro="" textlink="">
      <xdr:nvSpPr>
        <xdr:cNvPr id="61" name="フローチャート: 代替処理 60">
          <a:extLst>
            <a:ext uri="{FF2B5EF4-FFF2-40B4-BE49-F238E27FC236}">
              <a16:creationId xmlns:a16="http://schemas.microsoft.com/office/drawing/2014/main" id="{9CC77372-26CC-43DC-99CD-35FD72A511D8}"/>
            </a:ext>
          </a:extLst>
        </xdr:cNvPr>
        <xdr:cNvSpPr/>
      </xdr:nvSpPr>
      <xdr:spPr bwMode="auto">
        <a:xfrm>
          <a:off x="522633" y="181314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57</xdr:col>
      <xdr:colOff>103533</xdr:colOff>
      <xdr:row>117</xdr:row>
      <xdr:rowOff>24434</xdr:rowOff>
    </xdr:from>
    <xdr:to>
      <xdr:col>61</xdr:col>
      <xdr:colOff>151157</xdr:colOff>
      <xdr:row>118</xdr:row>
      <xdr:rowOff>106274</xdr:rowOff>
    </xdr:to>
    <xdr:sp macro="" textlink="">
      <xdr:nvSpPr>
        <xdr:cNvPr id="62" name="フローチャート: 代替処理 61">
          <a:extLst>
            <a:ext uri="{FF2B5EF4-FFF2-40B4-BE49-F238E27FC236}">
              <a16:creationId xmlns:a16="http://schemas.microsoft.com/office/drawing/2014/main" id="{D54E11A3-9328-48DF-999F-E2EB587301BC}"/>
            </a:ext>
          </a:extLst>
        </xdr:cNvPr>
        <xdr:cNvSpPr/>
      </xdr:nvSpPr>
      <xdr:spPr bwMode="auto">
        <a:xfrm>
          <a:off x="9809508" y="1813145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94</xdr:row>
      <xdr:rowOff>9525</xdr:rowOff>
    </xdr:from>
    <xdr:ext cx="121422" cy="146538"/>
    <xdr:pic>
      <xdr:nvPicPr>
        <xdr:cNvPr id="63" name="図 62">
          <a:extLst>
            <a:ext uri="{FF2B5EF4-FFF2-40B4-BE49-F238E27FC236}">
              <a16:creationId xmlns:a16="http://schemas.microsoft.com/office/drawing/2014/main" id="{F0D6BE68-1A12-433C-AB43-FA0889C77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146113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64" name="図 63">
          <a:extLst>
            <a:ext uri="{FF2B5EF4-FFF2-40B4-BE49-F238E27FC236}">
              <a16:creationId xmlns:a16="http://schemas.microsoft.com/office/drawing/2014/main" id="{10C4A49E-323C-4D3E-9446-79EF10F6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65" name="図 64">
          <a:extLst>
            <a:ext uri="{FF2B5EF4-FFF2-40B4-BE49-F238E27FC236}">
              <a16:creationId xmlns:a16="http://schemas.microsoft.com/office/drawing/2014/main" id="{92ADB9EC-8E51-4A58-9F19-6F76A6F0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66" name="図 65">
          <a:extLst>
            <a:ext uri="{FF2B5EF4-FFF2-40B4-BE49-F238E27FC236}">
              <a16:creationId xmlns:a16="http://schemas.microsoft.com/office/drawing/2014/main" id="{B2D1D356-8409-410C-9287-FEED9F8C3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67" name="図 66">
          <a:extLst>
            <a:ext uri="{FF2B5EF4-FFF2-40B4-BE49-F238E27FC236}">
              <a16:creationId xmlns:a16="http://schemas.microsoft.com/office/drawing/2014/main" id="{73BF107E-0B69-4E1D-9666-EED164791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68" name="図 67">
          <a:extLst>
            <a:ext uri="{FF2B5EF4-FFF2-40B4-BE49-F238E27FC236}">
              <a16:creationId xmlns:a16="http://schemas.microsoft.com/office/drawing/2014/main" id="{4194F073-A373-4EC6-9710-539CBD83C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69" name="図 68">
          <a:extLst>
            <a:ext uri="{FF2B5EF4-FFF2-40B4-BE49-F238E27FC236}">
              <a16:creationId xmlns:a16="http://schemas.microsoft.com/office/drawing/2014/main" id="{3483008B-1C1A-4D59-93DD-38D2FD9C4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0" name="図 69">
          <a:extLst>
            <a:ext uri="{FF2B5EF4-FFF2-40B4-BE49-F238E27FC236}">
              <a16:creationId xmlns:a16="http://schemas.microsoft.com/office/drawing/2014/main" id="{6311130A-B9B7-4C82-9F7F-1EDDE5C8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71" name="図 70">
          <a:extLst>
            <a:ext uri="{FF2B5EF4-FFF2-40B4-BE49-F238E27FC236}">
              <a16:creationId xmlns:a16="http://schemas.microsoft.com/office/drawing/2014/main" id="{4D28255E-3EDA-42E2-AA98-47AA8C67E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2" name="図 71">
          <a:extLst>
            <a:ext uri="{FF2B5EF4-FFF2-40B4-BE49-F238E27FC236}">
              <a16:creationId xmlns:a16="http://schemas.microsoft.com/office/drawing/2014/main" id="{AF1528F6-4094-4DF0-9BE1-CAA541D92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73" name="図 72">
          <a:extLst>
            <a:ext uri="{FF2B5EF4-FFF2-40B4-BE49-F238E27FC236}">
              <a16:creationId xmlns:a16="http://schemas.microsoft.com/office/drawing/2014/main" id="{40DDCA11-B361-4B87-A345-DF6FEE500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74" name="図 73">
          <a:extLst>
            <a:ext uri="{FF2B5EF4-FFF2-40B4-BE49-F238E27FC236}">
              <a16:creationId xmlns:a16="http://schemas.microsoft.com/office/drawing/2014/main" id="{B677E807-11F6-4138-8559-DA16A8EC5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75" name="図 74">
          <a:extLst>
            <a:ext uri="{FF2B5EF4-FFF2-40B4-BE49-F238E27FC236}">
              <a16:creationId xmlns:a16="http://schemas.microsoft.com/office/drawing/2014/main" id="{B7722746-D0F5-40CA-A3EE-5B809A15C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76" name="図 75">
          <a:extLst>
            <a:ext uri="{FF2B5EF4-FFF2-40B4-BE49-F238E27FC236}">
              <a16:creationId xmlns:a16="http://schemas.microsoft.com/office/drawing/2014/main" id="{AE733FAD-8D6F-4148-8737-C52B6A2CA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77" name="図 76">
          <a:extLst>
            <a:ext uri="{FF2B5EF4-FFF2-40B4-BE49-F238E27FC236}">
              <a16:creationId xmlns:a16="http://schemas.microsoft.com/office/drawing/2014/main" id="{1BDA33F8-D17A-45E5-8D34-86C83FE22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98</xdr:row>
      <xdr:rowOff>7327</xdr:rowOff>
    </xdr:from>
    <xdr:ext cx="154736" cy="144000"/>
    <xdr:pic>
      <xdr:nvPicPr>
        <xdr:cNvPr id="78" name="図 77">
          <a:extLst>
            <a:ext uri="{FF2B5EF4-FFF2-40B4-BE49-F238E27FC236}">
              <a16:creationId xmlns:a16="http://schemas.microsoft.com/office/drawing/2014/main" id="{7776E327-DC39-4805-BDD2-88399BEC2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79" name="図 78">
          <a:extLst>
            <a:ext uri="{FF2B5EF4-FFF2-40B4-BE49-F238E27FC236}">
              <a16:creationId xmlns:a16="http://schemas.microsoft.com/office/drawing/2014/main" id="{07491F3F-B411-4270-923A-3DB924C16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98</xdr:row>
      <xdr:rowOff>7327</xdr:rowOff>
    </xdr:from>
    <xdr:ext cx="154736" cy="144000"/>
    <xdr:pic>
      <xdr:nvPicPr>
        <xdr:cNvPr id="80" name="図 79">
          <a:extLst>
            <a:ext uri="{FF2B5EF4-FFF2-40B4-BE49-F238E27FC236}">
              <a16:creationId xmlns:a16="http://schemas.microsoft.com/office/drawing/2014/main" id="{75EAF470-22C2-46B3-9994-DDF1C109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1" name="図 80">
          <a:extLst>
            <a:ext uri="{FF2B5EF4-FFF2-40B4-BE49-F238E27FC236}">
              <a16:creationId xmlns:a16="http://schemas.microsoft.com/office/drawing/2014/main" id="{353B0CC4-B490-4CB1-BA4F-2C721F490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2" name="図 81">
          <a:extLst>
            <a:ext uri="{FF2B5EF4-FFF2-40B4-BE49-F238E27FC236}">
              <a16:creationId xmlns:a16="http://schemas.microsoft.com/office/drawing/2014/main" id="{97F32CF2-2685-4517-8A88-4A973B1A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83" name="図 82">
          <a:extLst>
            <a:ext uri="{FF2B5EF4-FFF2-40B4-BE49-F238E27FC236}">
              <a16:creationId xmlns:a16="http://schemas.microsoft.com/office/drawing/2014/main" id="{D387B48F-ECAF-4CEE-86FF-087265292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99</xdr:row>
      <xdr:rowOff>7327</xdr:rowOff>
    </xdr:from>
    <xdr:ext cx="154736" cy="144000"/>
    <xdr:pic>
      <xdr:nvPicPr>
        <xdr:cNvPr id="84" name="図 83">
          <a:extLst>
            <a:ext uri="{FF2B5EF4-FFF2-40B4-BE49-F238E27FC236}">
              <a16:creationId xmlns:a16="http://schemas.microsoft.com/office/drawing/2014/main" id="{905DC2B8-5E11-4882-A701-80EBB4578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100</xdr:row>
      <xdr:rowOff>7327</xdr:rowOff>
    </xdr:from>
    <xdr:ext cx="154736" cy="144000"/>
    <xdr:pic>
      <xdr:nvPicPr>
        <xdr:cNvPr id="85" name="図 84">
          <a:extLst>
            <a:ext uri="{FF2B5EF4-FFF2-40B4-BE49-F238E27FC236}">
              <a16:creationId xmlns:a16="http://schemas.microsoft.com/office/drawing/2014/main" id="{CD1912DC-3264-4AD4-B61E-E818D6C63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99</xdr:row>
      <xdr:rowOff>7327</xdr:rowOff>
    </xdr:from>
    <xdr:ext cx="154736" cy="144000"/>
    <xdr:pic>
      <xdr:nvPicPr>
        <xdr:cNvPr id="86" name="図 85">
          <a:extLst>
            <a:ext uri="{FF2B5EF4-FFF2-40B4-BE49-F238E27FC236}">
              <a16:creationId xmlns:a16="http://schemas.microsoft.com/office/drawing/2014/main" id="{40303D19-4BC9-4A6B-A71A-667D17A73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100</xdr:row>
      <xdr:rowOff>7327</xdr:rowOff>
    </xdr:from>
    <xdr:ext cx="154736" cy="144000"/>
    <xdr:pic>
      <xdr:nvPicPr>
        <xdr:cNvPr id="87" name="図 86">
          <a:extLst>
            <a:ext uri="{FF2B5EF4-FFF2-40B4-BE49-F238E27FC236}">
              <a16:creationId xmlns:a16="http://schemas.microsoft.com/office/drawing/2014/main" id="{62FD2731-873E-4B5D-9C9C-4B72DC1A1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98</xdr:row>
      <xdr:rowOff>7327</xdr:rowOff>
    </xdr:from>
    <xdr:ext cx="154736" cy="144000"/>
    <xdr:pic>
      <xdr:nvPicPr>
        <xdr:cNvPr id="88" name="図 87">
          <a:extLst>
            <a:ext uri="{FF2B5EF4-FFF2-40B4-BE49-F238E27FC236}">
              <a16:creationId xmlns:a16="http://schemas.microsoft.com/office/drawing/2014/main" id="{83745E0F-0646-4F7D-8161-71052A584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89" name="図 88">
          <a:extLst>
            <a:ext uri="{FF2B5EF4-FFF2-40B4-BE49-F238E27FC236}">
              <a16:creationId xmlns:a16="http://schemas.microsoft.com/office/drawing/2014/main" id="{F3CC1B2A-CBFF-40DB-B36B-F3AF0512A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99</xdr:row>
      <xdr:rowOff>7327</xdr:rowOff>
    </xdr:from>
    <xdr:ext cx="154736" cy="144000"/>
    <xdr:pic>
      <xdr:nvPicPr>
        <xdr:cNvPr id="90" name="図 89">
          <a:extLst>
            <a:ext uri="{FF2B5EF4-FFF2-40B4-BE49-F238E27FC236}">
              <a16:creationId xmlns:a16="http://schemas.microsoft.com/office/drawing/2014/main" id="{515A18ED-020D-44A3-8AE3-7846871E1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100</xdr:row>
      <xdr:rowOff>7327</xdr:rowOff>
    </xdr:from>
    <xdr:ext cx="154736" cy="144000"/>
    <xdr:pic>
      <xdr:nvPicPr>
        <xdr:cNvPr id="91" name="図 90">
          <a:extLst>
            <a:ext uri="{FF2B5EF4-FFF2-40B4-BE49-F238E27FC236}">
              <a16:creationId xmlns:a16="http://schemas.microsoft.com/office/drawing/2014/main" id="{BE6B3260-75A6-4A22-B906-AD8AA8939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2" name="図 91">
          <a:extLst>
            <a:ext uri="{FF2B5EF4-FFF2-40B4-BE49-F238E27FC236}">
              <a16:creationId xmlns:a16="http://schemas.microsoft.com/office/drawing/2014/main" id="{CD380E75-4F1A-4E75-8AC1-A956EDF2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3" name="図 92">
          <a:extLst>
            <a:ext uri="{FF2B5EF4-FFF2-40B4-BE49-F238E27FC236}">
              <a16:creationId xmlns:a16="http://schemas.microsoft.com/office/drawing/2014/main" id="{BEA28C54-6843-429E-AB40-D356BB7C7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4" name="図 93">
          <a:extLst>
            <a:ext uri="{FF2B5EF4-FFF2-40B4-BE49-F238E27FC236}">
              <a16:creationId xmlns:a16="http://schemas.microsoft.com/office/drawing/2014/main" id="{32287179-12D8-48A1-9CE6-6566FB835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5" name="図 94">
          <a:extLst>
            <a:ext uri="{FF2B5EF4-FFF2-40B4-BE49-F238E27FC236}">
              <a16:creationId xmlns:a16="http://schemas.microsoft.com/office/drawing/2014/main" id="{F7EFF58E-B348-4AB3-9D4D-937A3DF67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98</xdr:row>
      <xdr:rowOff>7327</xdr:rowOff>
    </xdr:from>
    <xdr:ext cx="154736" cy="144000"/>
    <xdr:pic>
      <xdr:nvPicPr>
        <xdr:cNvPr id="96" name="図 95">
          <a:extLst>
            <a:ext uri="{FF2B5EF4-FFF2-40B4-BE49-F238E27FC236}">
              <a16:creationId xmlns:a16="http://schemas.microsoft.com/office/drawing/2014/main" id="{51F684EF-F6D6-4331-B8FB-D9E7E404B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2187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7" name="図 96">
          <a:extLst>
            <a:ext uri="{FF2B5EF4-FFF2-40B4-BE49-F238E27FC236}">
              <a16:creationId xmlns:a16="http://schemas.microsoft.com/office/drawing/2014/main" id="{0D9F810C-E27E-4C31-AA0F-1178948E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99</xdr:row>
      <xdr:rowOff>7327</xdr:rowOff>
    </xdr:from>
    <xdr:ext cx="154736" cy="144000"/>
    <xdr:pic>
      <xdr:nvPicPr>
        <xdr:cNvPr id="98" name="図 97">
          <a:extLst>
            <a:ext uri="{FF2B5EF4-FFF2-40B4-BE49-F238E27FC236}">
              <a16:creationId xmlns:a16="http://schemas.microsoft.com/office/drawing/2014/main" id="{4FBF1393-EFD8-4978-8BA1-AA2ED1124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3711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100</xdr:row>
      <xdr:rowOff>7327</xdr:rowOff>
    </xdr:from>
    <xdr:ext cx="154736" cy="144000"/>
    <xdr:pic>
      <xdr:nvPicPr>
        <xdr:cNvPr id="99" name="図 98">
          <a:extLst>
            <a:ext uri="{FF2B5EF4-FFF2-40B4-BE49-F238E27FC236}">
              <a16:creationId xmlns:a16="http://schemas.microsoft.com/office/drawing/2014/main" id="{80E9EF68-E51A-412D-8809-A2528CF5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155235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100" name="図 99">
          <a:extLst>
            <a:ext uri="{FF2B5EF4-FFF2-40B4-BE49-F238E27FC236}">
              <a16:creationId xmlns:a16="http://schemas.microsoft.com/office/drawing/2014/main" id="{92A85AFF-CD13-4967-9FEB-8812347D9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92</xdr:row>
      <xdr:rowOff>7327</xdr:rowOff>
    </xdr:from>
    <xdr:ext cx="154736" cy="144000"/>
    <xdr:pic>
      <xdr:nvPicPr>
        <xdr:cNvPr id="101" name="図 100">
          <a:extLst>
            <a:ext uri="{FF2B5EF4-FFF2-40B4-BE49-F238E27FC236}">
              <a16:creationId xmlns:a16="http://schemas.microsoft.com/office/drawing/2014/main" id="{9DE8E115-A0B7-40CF-9016-BD5C3014E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1430435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81</xdr:row>
      <xdr:rowOff>91109</xdr:rowOff>
    </xdr:from>
    <xdr:to>
      <xdr:col>52</xdr:col>
      <xdr:colOff>49696</xdr:colOff>
      <xdr:row>95</xdr:row>
      <xdr:rowOff>57978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D9CFEDA6-8AD5-41F3-8819-CF43217DFEBB}"/>
            </a:ext>
          </a:extLst>
        </xdr:cNvPr>
        <xdr:cNvSpPr/>
      </xdr:nvSpPr>
      <xdr:spPr bwMode="auto">
        <a:xfrm>
          <a:off x="419100" y="1271173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118773</xdr:colOff>
      <xdr:row>117</xdr:row>
      <xdr:rowOff>24434</xdr:rowOff>
    </xdr:from>
    <xdr:to>
      <xdr:col>56</xdr:col>
      <xdr:colOff>13997</xdr:colOff>
      <xdr:row>118</xdr:row>
      <xdr:rowOff>106274</xdr:rowOff>
    </xdr:to>
    <xdr:sp macro="" textlink="">
      <xdr:nvSpPr>
        <xdr:cNvPr id="103" name="フローチャート: 代替処理 102">
          <a:extLst>
            <a:ext uri="{FF2B5EF4-FFF2-40B4-BE49-F238E27FC236}">
              <a16:creationId xmlns:a16="http://schemas.microsoft.com/office/drawing/2014/main" id="{060D381B-ADB3-479F-B1D3-C13550C8F8EA}"/>
            </a:ext>
          </a:extLst>
        </xdr:cNvPr>
        <xdr:cNvSpPr/>
      </xdr:nvSpPr>
      <xdr:spPr bwMode="auto">
        <a:xfrm>
          <a:off x="8853198" y="1813145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82</xdr:row>
      <xdr:rowOff>9525</xdr:rowOff>
    </xdr:from>
    <xdr:ext cx="121422" cy="146538"/>
    <xdr:pic>
      <xdr:nvPicPr>
        <xdr:cNvPr id="104" name="図 103">
          <a:extLst>
            <a:ext uri="{FF2B5EF4-FFF2-40B4-BE49-F238E27FC236}">
              <a16:creationId xmlns:a16="http://schemas.microsoft.com/office/drawing/2014/main" id="{40F7E0F2-D4E1-4627-902B-10677148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1278255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82</xdr:row>
      <xdr:rowOff>25619</xdr:rowOff>
    </xdr:from>
    <xdr:ext cx="144000" cy="144000"/>
    <xdr:pic>
      <xdr:nvPicPr>
        <xdr:cNvPr id="105" name="図 104">
          <a:extLst>
            <a:ext uri="{FF2B5EF4-FFF2-40B4-BE49-F238E27FC236}">
              <a16:creationId xmlns:a16="http://schemas.microsoft.com/office/drawing/2014/main" id="{0D81219F-D2B3-4BDB-8916-C5A3ECCEC752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1279864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86</xdr:row>
      <xdr:rowOff>6569</xdr:rowOff>
    </xdr:from>
    <xdr:ext cx="144000" cy="144000"/>
    <xdr:pic>
      <xdr:nvPicPr>
        <xdr:cNvPr id="106" name="図 105">
          <a:extLst>
            <a:ext uri="{FF2B5EF4-FFF2-40B4-BE49-F238E27FC236}">
              <a16:creationId xmlns:a16="http://schemas.microsoft.com/office/drawing/2014/main" id="{6B06C74D-F665-4658-BD93-73E756F8EEA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13389194"/>
          <a:ext cx="144000" cy="144000"/>
        </a:xfrm>
        <a:prstGeom prst="rect">
          <a:avLst/>
        </a:prstGeom>
      </xdr:spPr>
    </xdr:pic>
    <xdr:clientData/>
  </xdr:oneCellAnchor>
  <xdr:twoCellAnchor>
    <xdr:from>
      <xdr:col>2</xdr:col>
      <xdr:colOff>177248</xdr:colOff>
      <xdr:row>198</xdr:row>
      <xdr:rowOff>36445</xdr:rowOff>
    </xdr:from>
    <xdr:to>
      <xdr:col>7</xdr:col>
      <xdr:colOff>993</xdr:colOff>
      <xdr:row>199</xdr:row>
      <xdr:rowOff>121598</xdr:rowOff>
    </xdr:to>
    <xdr:sp macro="" textlink="">
      <xdr:nvSpPr>
        <xdr:cNvPr id="107" name="フローチャート: 代替処理 106">
          <a:extLst>
            <a:ext uri="{FF2B5EF4-FFF2-40B4-BE49-F238E27FC236}">
              <a16:creationId xmlns:a16="http://schemas.microsoft.com/office/drawing/2014/main" id="{260BF358-50AD-45AE-AD1F-421608D40EDC}"/>
            </a:ext>
          </a:extLst>
        </xdr:cNvPr>
        <xdr:cNvSpPr/>
      </xdr:nvSpPr>
      <xdr:spPr bwMode="auto">
        <a:xfrm>
          <a:off x="501098" y="30906970"/>
          <a:ext cx="65242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22</xdr:col>
      <xdr:colOff>76200</xdr:colOff>
      <xdr:row>198</xdr:row>
      <xdr:rowOff>40752</xdr:rowOff>
    </xdr:from>
    <xdr:to>
      <xdr:col>27</xdr:col>
      <xdr:colOff>66508</xdr:colOff>
      <xdr:row>199</xdr:row>
      <xdr:rowOff>125905</xdr:rowOff>
    </xdr:to>
    <xdr:sp macro="" textlink="">
      <xdr:nvSpPr>
        <xdr:cNvPr id="108" name="フローチャート: 代替処理 107">
          <a:extLst>
            <a:ext uri="{FF2B5EF4-FFF2-40B4-BE49-F238E27FC236}">
              <a16:creationId xmlns:a16="http://schemas.microsoft.com/office/drawing/2014/main" id="{8D35A3BD-6199-47AB-8D44-0ACFC8724D10}"/>
            </a:ext>
          </a:extLst>
        </xdr:cNvPr>
        <xdr:cNvSpPr/>
      </xdr:nvSpPr>
      <xdr:spPr bwMode="auto">
        <a:xfrm>
          <a:off x="3657600" y="30911277"/>
          <a:ext cx="89518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詳細入力</a:t>
          </a:r>
        </a:p>
      </xdr:txBody>
    </xdr:sp>
    <xdr:clientData/>
  </xdr:twoCellAnchor>
  <xdr:twoCellAnchor>
    <xdr:from>
      <xdr:col>71</xdr:col>
      <xdr:colOff>55908</xdr:colOff>
      <xdr:row>198</xdr:row>
      <xdr:rowOff>14909</xdr:rowOff>
    </xdr:from>
    <xdr:to>
      <xdr:col>77</xdr:col>
      <xdr:colOff>65432</xdr:colOff>
      <xdr:row>199</xdr:row>
      <xdr:rowOff>96749</xdr:rowOff>
    </xdr:to>
    <xdr:sp macro="" textlink="">
      <xdr:nvSpPr>
        <xdr:cNvPr id="109" name="フローチャート: 代替処理 108">
          <a:extLst>
            <a:ext uri="{FF2B5EF4-FFF2-40B4-BE49-F238E27FC236}">
              <a16:creationId xmlns:a16="http://schemas.microsoft.com/office/drawing/2014/main" id="{FAE5D9FA-3E1F-4C95-BA7C-26DD1ACAEE0E}"/>
            </a:ext>
          </a:extLst>
        </xdr:cNvPr>
        <xdr:cNvSpPr/>
      </xdr:nvSpPr>
      <xdr:spPr bwMode="auto">
        <a:xfrm>
          <a:off x="12181233" y="30885434"/>
          <a:ext cx="10382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twoCellAnchor>
    <xdr:from>
      <xdr:col>12</xdr:col>
      <xdr:colOff>22364</xdr:colOff>
      <xdr:row>198</xdr:row>
      <xdr:rowOff>23607</xdr:rowOff>
    </xdr:from>
    <xdr:to>
      <xdr:col>16</xdr:col>
      <xdr:colOff>53174</xdr:colOff>
      <xdr:row>199</xdr:row>
      <xdr:rowOff>108760</xdr:rowOff>
    </xdr:to>
    <xdr:sp macro="" textlink="">
      <xdr:nvSpPr>
        <xdr:cNvPr id="110" name="フローチャート: 代替処理 109">
          <a:extLst>
            <a:ext uri="{FF2B5EF4-FFF2-40B4-BE49-F238E27FC236}">
              <a16:creationId xmlns:a16="http://schemas.microsoft.com/office/drawing/2014/main" id="{AB3E4C56-063F-4F47-8163-6932E389850D}"/>
            </a:ext>
          </a:extLst>
        </xdr:cNvPr>
        <xdr:cNvSpPr/>
      </xdr:nvSpPr>
      <xdr:spPr bwMode="auto">
        <a:xfrm>
          <a:off x="1984514" y="30894132"/>
          <a:ext cx="678510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16</xdr:col>
      <xdr:colOff>144615</xdr:colOff>
      <xdr:row>198</xdr:row>
      <xdr:rowOff>23607</xdr:rowOff>
    </xdr:from>
    <xdr:to>
      <xdr:col>21</xdr:col>
      <xdr:colOff>2153</xdr:colOff>
      <xdr:row>199</xdr:row>
      <xdr:rowOff>108760</xdr:rowOff>
    </xdr:to>
    <xdr:sp macro="" textlink="">
      <xdr:nvSpPr>
        <xdr:cNvPr id="111" name="フローチャート: 代替処理 110">
          <a:extLst>
            <a:ext uri="{FF2B5EF4-FFF2-40B4-BE49-F238E27FC236}">
              <a16:creationId xmlns:a16="http://schemas.microsoft.com/office/drawing/2014/main" id="{A380E78D-C703-4C38-BCA8-BE611768126A}"/>
            </a:ext>
          </a:extLst>
        </xdr:cNvPr>
        <xdr:cNvSpPr/>
      </xdr:nvSpPr>
      <xdr:spPr bwMode="auto">
        <a:xfrm>
          <a:off x="2754465" y="30894132"/>
          <a:ext cx="667163" cy="237553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63</xdr:col>
      <xdr:colOff>47625</xdr:colOff>
      <xdr:row>60</xdr:row>
      <xdr:rowOff>47625</xdr:rowOff>
    </xdr:from>
    <xdr:to>
      <xdr:col>81</xdr:col>
      <xdr:colOff>161925</xdr:colOff>
      <xdr:row>65</xdr:row>
      <xdr:rowOff>47625</xdr:rowOff>
    </xdr:to>
    <xdr:sp macro="" textlink="">
      <xdr:nvSpPr>
        <xdr:cNvPr id="112" name="吹き出し: 四角形 111">
          <a:extLst>
            <a:ext uri="{FF2B5EF4-FFF2-40B4-BE49-F238E27FC236}">
              <a16:creationId xmlns:a16="http://schemas.microsoft.com/office/drawing/2014/main" id="{2D482E41-11D0-452E-AC7D-74C478ADC812}"/>
            </a:ext>
          </a:extLst>
        </xdr:cNvPr>
        <xdr:cNvSpPr/>
      </xdr:nvSpPr>
      <xdr:spPr>
        <a:xfrm>
          <a:off x="10801350" y="9258300"/>
          <a:ext cx="3200400" cy="762000"/>
        </a:xfrm>
        <a:prstGeom prst="wedgeRectCallout">
          <a:avLst>
            <a:gd name="adj1" fmla="val -94940"/>
            <a:gd name="adj2" fmla="val 86250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受注区分で加工商品、製品を選択時、受注明細が非表示となる</a:t>
          </a:r>
        </a:p>
      </xdr:txBody>
    </xdr:sp>
    <xdr:clientData/>
  </xdr:twoCellAnchor>
  <xdr:twoCellAnchor>
    <xdr:from>
      <xdr:col>3</xdr:col>
      <xdr:colOff>17808</xdr:colOff>
      <xdr:row>176</xdr:row>
      <xdr:rowOff>24434</xdr:rowOff>
    </xdr:from>
    <xdr:to>
      <xdr:col>7</xdr:col>
      <xdr:colOff>65432</xdr:colOff>
      <xdr:row>177</xdr:row>
      <xdr:rowOff>106274</xdr:rowOff>
    </xdr:to>
    <xdr:sp macro="" textlink="">
      <xdr:nvSpPr>
        <xdr:cNvPr id="113" name="フローチャート: 代替処理 112">
          <a:extLst>
            <a:ext uri="{FF2B5EF4-FFF2-40B4-BE49-F238E27FC236}">
              <a16:creationId xmlns:a16="http://schemas.microsoft.com/office/drawing/2014/main" id="{E7C44C0B-0BB4-49B5-A50F-1F6C3542E473}"/>
            </a:ext>
          </a:extLst>
        </xdr:cNvPr>
        <xdr:cNvSpPr/>
      </xdr:nvSpPr>
      <xdr:spPr bwMode="auto">
        <a:xfrm>
          <a:off x="522633" y="273326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戻る</a:t>
          </a:r>
        </a:p>
      </xdr:txBody>
    </xdr:sp>
    <xdr:clientData/>
  </xdr:twoCellAnchor>
  <xdr:twoCellAnchor>
    <xdr:from>
      <xdr:col>53</xdr:col>
      <xdr:colOff>113058</xdr:colOff>
      <xdr:row>176</xdr:row>
      <xdr:rowOff>24434</xdr:rowOff>
    </xdr:from>
    <xdr:to>
      <xdr:col>57</xdr:col>
      <xdr:colOff>160682</xdr:colOff>
      <xdr:row>177</xdr:row>
      <xdr:rowOff>106274</xdr:rowOff>
    </xdr:to>
    <xdr:sp macro="" textlink="">
      <xdr:nvSpPr>
        <xdr:cNvPr id="114" name="フローチャート: 代替処理 113">
          <a:extLst>
            <a:ext uri="{FF2B5EF4-FFF2-40B4-BE49-F238E27FC236}">
              <a16:creationId xmlns:a16="http://schemas.microsoft.com/office/drawing/2014/main" id="{37584B5B-DFE4-4743-BA6A-C83E7658AD67}"/>
            </a:ext>
          </a:extLst>
        </xdr:cNvPr>
        <xdr:cNvSpPr/>
      </xdr:nvSpPr>
      <xdr:spPr bwMode="auto">
        <a:xfrm>
          <a:off x="9171333" y="27332609"/>
          <a:ext cx="695324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次画面</a:t>
          </a:r>
        </a:p>
      </xdr:txBody>
    </xdr:sp>
    <xdr:clientData/>
  </xdr:twoCellAnchor>
  <xdr:oneCellAnchor>
    <xdr:from>
      <xdr:col>11</xdr:col>
      <xdr:colOff>38100</xdr:colOff>
      <xdr:row>153</xdr:row>
      <xdr:rowOff>9525</xdr:rowOff>
    </xdr:from>
    <xdr:ext cx="121422" cy="146538"/>
    <xdr:pic>
      <xdr:nvPicPr>
        <xdr:cNvPr id="115" name="図 114">
          <a:extLst>
            <a:ext uri="{FF2B5EF4-FFF2-40B4-BE49-F238E27FC236}">
              <a16:creationId xmlns:a16="http://schemas.microsoft.com/office/drawing/2014/main" id="{10366094-E383-439E-9AA6-D9A5B8E80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238125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16" name="図 115">
          <a:extLst>
            <a:ext uri="{FF2B5EF4-FFF2-40B4-BE49-F238E27FC236}">
              <a16:creationId xmlns:a16="http://schemas.microsoft.com/office/drawing/2014/main" id="{D6AAC5B0-01DD-4C9E-A566-8F6104E73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17" name="図 116">
          <a:extLst>
            <a:ext uri="{FF2B5EF4-FFF2-40B4-BE49-F238E27FC236}">
              <a16:creationId xmlns:a16="http://schemas.microsoft.com/office/drawing/2014/main" id="{D48A0E9F-14DD-4663-B974-B7CF1DA3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157</xdr:row>
      <xdr:rowOff>7327</xdr:rowOff>
    </xdr:from>
    <xdr:ext cx="154736" cy="144000"/>
    <xdr:pic>
      <xdr:nvPicPr>
        <xdr:cNvPr id="118" name="図 117">
          <a:extLst>
            <a:ext uri="{FF2B5EF4-FFF2-40B4-BE49-F238E27FC236}">
              <a16:creationId xmlns:a16="http://schemas.microsoft.com/office/drawing/2014/main" id="{83AA996F-E48A-43B9-AB97-FEE3547EF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19" name="図 118">
          <a:extLst>
            <a:ext uri="{FF2B5EF4-FFF2-40B4-BE49-F238E27FC236}">
              <a16:creationId xmlns:a16="http://schemas.microsoft.com/office/drawing/2014/main" id="{FD95A2C6-D6A0-4C1A-A81F-0CE7430A7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157</xdr:row>
      <xdr:rowOff>7327</xdr:rowOff>
    </xdr:from>
    <xdr:ext cx="154736" cy="144000"/>
    <xdr:pic>
      <xdr:nvPicPr>
        <xdr:cNvPr id="120" name="図 119">
          <a:extLst>
            <a:ext uri="{FF2B5EF4-FFF2-40B4-BE49-F238E27FC236}">
              <a16:creationId xmlns:a16="http://schemas.microsoft.com/office/drawing/2014/main" id="{543E69A2-D782-48D8-BF1B-77D82624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21" name="図 120">
          <a:extLst>
            <a:ext uri="{FF2B5EF4-FFF2-40B4-BE49-F238E27FC236}">
              <a16:creationId xmlns:a16="http://schemas.microsoft.com/office/drawing/2014/main" id="{0CBCD453-0F50-478B-BAB8-C5F77089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22" name="図 121">
          <a:extLst>
            <a:ext uri="{FF2B5EF4-FFF2-40B4-BE49-F238E27FC236}">
              <a16:creationId xmlns:a16="http://schemas.microsoft.com/office/drawing/2014/main" id="{BA231502-2CC0-4992-9E18-8DC0F9F02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23" name="図 122">
          <a:extLst>
            <a:ext uri="{FF2B5EF4-FFF2-40B4-BE49-F238E27FC236}">
              <a16:creationId xmlns:a16="http://schemas.microsoft.com/office/drawing/2014/main" id="{FAA92148-FACF-4F1F-A6D2-933FE803A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24" name="図 123">
          <a:extLst>
            <a:ext uri="{FF2B5EF4-FFF2-40B4-BE49-F238E27FC236}">
              <a16:creationId xmlns:a16="http://schemas.microsoft.com/office/drawing/2014/main" id="{C4F67AE1-F4CF-4E0D-A898-872E4A173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25" name="図 124">
          <a:extLst>
            <a:ext uri="{FF2B5EF4-FFF2-40B4-BE49-F238E27FC236}">
              <a16:creationId xmlns:a16="http://schemas.microsoft.com/office/drawing/2014/main" id="{24023F01-B9D7-4265-A602-EA8EEF4A1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26" name="図 125">
          <a:extLst>
            <a:ext uri="{FF2B5EF4-FFF2-40B4-BE49-F238E27FC236}">
              <a16:creationId xmlns:a16="http://schemas.microsoft.com/office/drawing/2014/main" id="{A41369EB-7DC7-4B09-AFEA-77EC7A15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27" name="図 126">
          <a:extLst>
            <a:ext uri="{FF2B5EF4-FFF2-40B4-BE49-F238E27FC236}">
              <a16:creationId xmlns:a16="http://schemas.microsoft.com/office/drawing/2014/main" id="{7638780A-9314-4C5F-935B-C25F47D7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28" name="図 127">
          <a:extLst>
            <a:ext uri="{FF2B5EF4-FFF2-40B4-BE49-F238E27FC236}">
              <a16:creationId xmlns:a16="http://schemas.microsoft.com/office/drawing/2014/main" id="{2A76E747-413A-4A54-930C-520412EC5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29" name="図 128">
          <a:extLst>
            <a:ext uri="{FF2B5EF4-FFF2-40B4-BE49-F238E27FC236}">
              <a16:creationId xmlns:a16="http://schemas.microsoft.com/office/drawing/2014/main" id="{420AD159-A2C2-40CA-8E7C-969D07C3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157</xdr:row>
      <xdr:rowOff>7327</xdr:rowOff>
    </xdr:from>
    <xdr:ext cx="154736" cy="144000"/>
    <xdr:pic>
      <xdr:nvPicPr>
        <xdr:cNvPr id="130" name="図 129">
          <a:extLst>
            <a:ext uri="{FF2B5EF4-FFF2-40B4-BE49-F238E27FC236}">
              <a16:creationId xmlns:a16="http://schemas.microsoft.com/office/drawing/2014/main" id="{72278070-72CF-43E5-88AE-E7CEC193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31" name="図 130">
          <a:extLst>
            <a:ext uri="{FF2B5EF4-FFF2-40B4-BE49-F238E27FC236}">
              <a16:creationId xmlns:a16="http://schemas.microsoft.com/office/drawing/2014/main" id="{B401B511-B460-41E6-B58E-6D10CA8BD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157</xdr:row>
      <xdr:rowOff>7327</xdr:rowOff>
    </xdr:from>
    <xdr:ext cx="154736" cy="144000"/>
    <xdr:pic>
      <xdr:nvPicPr>
        <xdr:cNvPr id="132" name="図 131">
          <a:extLst>
            <a:ext uri="{FF2B5EF4-FFF2-40B4-BE49-F238E27FC236}">
              <a16:creationId xmlns:a16="http://schemas.microsoft.com/office/drawing/2014/main" id="{8B23BC0F-9882-4386-B0D9-95EF0B48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33" name="図 132">
          <a:extLst>
            <a:ext uri="{FF2B5EF4-FFF2-40B4-BE49-F238E27FC236}">
              <a16:creationId xmlns:a16="http://schemas.microsoft.com/office/drawing/2014/main" id="{7A484B38-4FF7-41B2-96E1-E2A224C4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34" name="図 133">
          <a:extLst>
            <a:ext uri="{FF2B5EF4-FFF2-40B4-BE49-F238E27FC236}">
              <a16:creationId xmlns:a16="http://schemas.microsoft.com/office/drawing/2014/main" id="{4EC71E31-937C-4D3B-89A1-5B44A095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35" name="図 134">
          <a:extLst>
            <a:ext uri="{FF2B5EF4-FFF2-40B4-BE49-F238E27FC236}">
              <a16:creationId xmlns:a16="http://schemas.microsoft.com/office/drawing/2014/main" id="{97C1DCC1-C917-4DD0-A97E-CFA0B40B3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158</xdr:row>
      <xdr:rowOff>7327</xdr:rowOff>
    </xdr:from>
    <xdr:ext cx="154736" cy="144000"/>
    <xdr:pic>
      <xdr:nvPicPr>
        <xdr:cNvPr id="136" name="図 135">
          <a:extLst>
            <a:ext uri="{FF2B5EF4-FFF2-40B4-BE49-F238E27FC236}">
              <a16:creationId xmlns:a16="http://schemas.microsoft.com/office/drawing/2014/main" id="{41A25A0E-5E35-43CF-B1A9-093A6A33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7327</xdr:colOff>
      <xdr:row>159</xdr:row>
      <xdr:rowOff>7327</xdr:rowOff>
    </xdr:from>
    <xdr:ext cx="154736" cy="144000"/>
    <xdr:pic>
      <xdr:nvPicPr>
        <xdr:cNvPr id="137" name="図 136">
          <a:extLst>
            <a:ext uri="{FF2B5EF4-FFF2-40B4-BE49-F238E27FC236}">
              <a16:creationId xmlns:a16="http://schemas.microsoft.com/office/drawing/2014/main" id="{90D2080C-95E5-478D-A9B2-85E8BD992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745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158</xdr:row>
      <xdr:rowOff>7327</xdr:rowOff>
    </xdr:from>
    <xdr:ext cx="154736" cy="144000"/>
    <xdr:pic>
      <xdr:nvPicPr>
        <xdr:cNvPr id="138" name="図 137">
          <a:extLst>
            <a:ext uri="{FF2B5EF4-FFF2-40B4-BE49-F238E27FC236}">
              <a16:creationId xmlns:a16="http://schemas.microsoft.com/office/drawing/2014/main" id="{C10D3AD3-7A51-4961-9A99-23ACEC99E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38</xdr:col>
      <xdr:colOff>7327</xdr:colOff>
      <xdr:row>159</xdr:row>
      <xdr:rowOff>7327</xdr:rowOff>
    </xdr:from>
    <xdr:ext cx="154736" cy="144000"/>
    <xdr:pic>
      <xdr:nvPicPr>
        <xdr:cNvPr id="139" name="図 138">
          <a:extLst>
            <a:ext uri="{FF2B5EF4-FFF2-40B4-BE49-F238E27FC236}">
              <a16:creationId xmlns:a16="http://schemas.microsoft.com/office/drawing/2014/main" id="{6E9194D7-F945-4B2F-841B-03DD17D2B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4777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157</xdr:row>
      <xdr:rowOff>7327</xdr:rowOff>
    </xdr:from>
    <xdr:ext cx="154736" cy="144000"/>
    <xdr:pic>
      <xdr:nvPicPr>
        <xdr:cNvPr id="140" name="図 139">
          <a:extLst>
            <a:ext uri="{FF2B5EF4-FFF2-40B4-BE49-F238E27FC236}">
              <a16:creationId xmlns:a16="http://schemas.microsoft.com/office/drawing/2014/main" id="{B0D28E94-C251-4CB2-8C8A-3C052D991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1" name="図 140">
          <a:extLst>
            <a:ext uri="{FF2B5EF4-FFF2-40B4-BE49-F238E27FC236}">
              <a16:creationId xmlns:a16="http://schemas.microsoft.com/office/drawing/2014/main" id="{FE5739CF-C177-41F9-8A70-D0443238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158</xdr:row>
      <xdr:rowOff>7327</xdr:rowOff>
    </xdr:from>
    <xdr:ext cx="154736" cy="144000"/>
    <xdr:pic>
      <xdr:nvPicPr>
        <xdr:cNvPr id="142" name="図 141">
          <a:extLst>
            <a:ext uri="{FF2B5EF4-FFF2-40B4-BE49-F238E27FC236}">
              <a16:creationId xmlns:a16="http://schemas.microsoft.com/office/drawing/2014/main" id="{32BD5FE9-20CE-44B0-8FA8-E79C6A67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7327</xdr:colOff>
      <xdr:row>159</xdr:row>
      <xdr:rowOff>7327</xdr:rowOff>
    </xdr:from>
    <xdr:ext cx="154736" cy="144000"/>
    <xdr:pic>
      <xdr:nvPicPr>
        <xdr:cNvPr id="143" name="図 142">
          <a:extLst>
            <a:ext uri="{FF2B5EF4-FFF2-40B4-BE49-F238E27FC236}">
              <a16:creationId xmlns:a16="http://schemas.microsoft.com/office/drawing/2014/main" id="{9EF1E937-F56D-408E-8212-4EDA3FECC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157</xdr:row>
      <xdr:rowOff>7327</xdr:rowOff>
    </xdr:from>
    <xdr:ext cx="154736" cy="144000"/>
    <xdr:pic>
      <xdr:nvPicPr>
        <xdr:cNvPr id="144" name="図 143">
          <a:extLst>
            <a:ext uri="{FF2B5EF4-FFF2-40B4-BE49-F238E27FC236}">
              <a16:creationId xmlns:a16="http://schemas.microsoft.com/office/drawing/2014/main" id="{F7A2EBC4-BBC1-44A0-B83D-26EE885E2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45" name="図 144">
          <a:extLst>
            <a:ext uri="{FF2B5EF4-FFF2-40B4-BE49-F238E27FC236}">
              <a16:creationId xmlns:a16="http://schemas.microsoft.com/office/drawing/2014/main" id="{23F7787B-070D-474F-AD8E-DE8FD971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46" name="図 145">
          <a:extLst>
            <a:ext uri="{FF2B5EF4-FFF2-40B4-BE49-F238E27FC236}">
              <a16:creationId xmlns:a16="http://schemas.microsoft.com/office/drawing/2014/main" id="{FC0219A6-DBA6-43DF-90A8-0B270011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47" name="図 146">
          <a:extLst>
            <a:ext uri="{FF2B5EF4-FFF2-40B4-BE49-F238E27FC236}">
              <a16:creationId xmlns:a16="http://schemas.microsoft.com/office/drawing/2014/main" id="{8A01A069-CA7B-41A6-A58F-60E3977DD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157</xdr:row>
      <xdr:rowOff>7327</xdr:rowOff>
    </xdr:from>
    <xdr:ext cx="154736" cy="144000"/>
    <xdr:pic>
      <xdr:nvPicPr>
        <xdr:cNvPr id="148" name="図 147">
          <a:extLst>
            <a:ext uri="{FF2B5EF4-FFF2-40B4-BE49-F238E27FC236}">
              <a16:creationId xmlns:a16="http://schemas.microsoft.com/office/drawing/2014/main" id="{D1935113-A3B1-4191-9604-AA3B4E731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4199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49" name="図 148">
          <a:extLst>
            <a:ext uri="{FF2B5EF4-FFF2-40B4-BE49-F238E27FC236}">
              <a16:creationId xmlns:a16="http://schemas.microsoft.com/office/drawing/2014/main" id="{12A555AC-3C5F-4AF4-8608-391A16B7E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158</xdr:row>
      <xdr:rowOff>7327</xdr:rowOff>
    </xdr:from>
    <xdr:ext cx="154736" cy="144000"/>
    <xdr:pic>
      <xdr:nvPicPr>
        <xdr:cNvPr id="150" name="図 149">
          <a:extLst>
            <a:ext uri="{FF2B5EF4-FFF2-40B4-BE49-F238E27FC236}">
              <a16:creationId xmlns:a16="http://schemas.microsoft.com/office/drawing/2014/main" id="{DF186746-2277-4D11-933A-4DE34441A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5723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49</xdr:col>
      <xdr:colOff>7327</xdr:colOff>
      <xdr:row>159</xdr:row>
      <xdr:rowOff>7327</xdr:rowOff>
    </xdr:from>
    <xdr:ext cx="154736" cy="144000"/>
    <xdr:pic>
      <xdr:nvPicPr>
        <xdr:cNvPr id="151" name="図 150">
          <a:extLst>
            <a:ext uri="{FF2B5EF4-FFF2-40B4-BE49-F238E27FC236}">
              <a16:creationId xmlns:a16="http://schemas.microsoft.com/office/drawing/2014/main" id="{63217193-29D2-4D8B-A1F3-F5F684C80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7902" y="247247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151</xdr:row>
      <xdr:rowOff>7327</xdr:rowOff>
    </xdr:from>
    <xdr:ext cx="154736" cy="144000"/>
    <xdr:pic>
      <xdr:nvPicPr>
        <xdr:cNvPr id="152" name="図 151">
          <a:extLst>
            <a:ext uri="{FF2B5EF4-FFF2-40B4-BE49-F238E27FC236}">
              <a16:creationId xmlns:a16="http://schemas.microsoft.com/office/drawing/2014/main" id="{2D834796-8EE4-43F3-B208-9D0417B21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505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7327</xdr:colOff>
      <xdr:row>151</xdr:row>
      <xdr:rowOff>7327</xdr:rowOff>
    </xdr:from>
    <xdr:ext cx="154736" cy="144000"/>
    <xdr:pic>
      <xdr:nvPicPr>
        <xdr:cNvPr id="153" name="図 152">
          <a:extLst>
            <a:ext uri="{FF2B5EF4-FFF2-40B4-BE49-F238E27FC236}">
              <a16:creationId xmlns:a16="http://schemas.microsoft.com/office/drawing/2014/main" id="{D1CCC3C7-F90F-470B-AC2F-69147102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6352" y="23505502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164</xdr:row>
      <xdr:rowOff>23648</xdr:rowOff>
    </xdr:from>
    <xdr:ext cx="121422" cy="146538"/>
    <xdr:pic>
      <xdr:nvPicPr>
        <xdr:cNvPr id="154" name="図 153">
          <a:extLst>
            <a:ext uri="{FF2B5EF4-FFF2-40B4-BE49-F238E27FC236}">
              <a16:creationId xmlns:a16="http://schemas.microsoft.com/office/drawing/2014/main" id="{46EE7897-C03B-4166-85E6-78E48F46D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5030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95250</xdr:colOff>
      <xdr:row>140</xdr:row>
      <xdr:rowOff>91109</xdr:rowOff>
    </xdr:from>
    <xdr:to>
      <xdr:col>52</xdr:col>
      <xdr:colOff>49696</xdr:colOff>
      <xdr:row>154</xdr:row>
      <xdr:rowOff>57978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8DBAEDF1-3457-4D8E-9088-6E76B718FB3F}"/>
            </a:ext>
          </a:extLst>
        </xdr:cNvPr>
        <xdr:cNvSpPr/>
      </xdr:nvSpPr>
      <xdr:spPr bwMode="auto">
        <a:xfrm>
          <a:off x="419100" y="21912884"/>
          <a:ext cx="8526946" cy="2100469"/>
        </a:xfrm>
        <a:prstGeom prst="rect">
          <a:avLst/>
        </a:prstGeom>
        <a:noFill/>
        <a:ln w="19050" cap="flat" cmpd="sng" algn="ctr">
          <a:solidFill>
            <a:srgbClr val="003399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54</xdr:col>
      <xdr:colOff>35802</xdr:colOff>
      <xdr:row>164</xdr:row>
      <xdr:rowOff>14123</xdr:rowOff>
    </xdr:from>
    <xdr:ext cx="121422" cy="146538"/>
    <xdr:pic>
      <xdr:nvPicPr>
        <xdr:cNvPr id="156" name="図 155">
          <a:extLst>
            <a:ext uri="{FF2B5EF4-FFF2-40B4-BE49-F238E27FC236}">
              <a16:creationId xmlns:a16="http://schemas.microsoft.com/office/drawing/2014/main" id="{9804F40B-77D1-45B3-B4B7-273C682E9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54934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167</xdr:row>
      <xdr:rowOff>0</xdr:rowOff>
    </xdr:from>
    <xdr:ext cx="121422" cy="146538"/>
    <xdr:pic>
      <xdr:nvPicPr>
        <xdr:cNvPr id="157" name="図 156">
          <a:extLst>
            <a:ext uri="{FF2B5EF4-FFF2-40B4-BE49-F238E27FC236}">
              <a16:creationId xmlns:a16="http://schemas.microsoft.com/office/drawing/2014/main" id="{0D8403A4-F826-4F9E-A2D6-BEC8617B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9365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48</xdr:col>
      <xdr:colOff>33048</xdr:colOff>
      <xdr:row>176</xdr:row>
      <xdr:rowOff>24434</xdr:rowOff>
    </xdr:from>
    <xdr:to>
      <xdr:col>52</xdr:col>
      <xdr:colOff>90197</xdr:colOff>
      <xdr:row>177</xdr:row>
      <xdr:rowOff>106274</xdr:rowOff>
    </xdr:to>
    <xdr:sp macro="" textlink="">
      <xdr:nvSpPr>
        <xdr:cNvPr id="158" name="フローチャート: 代替処理 157">
          <a:extLst>
            <a:ext uri="{FF2B5EF4-FFF2-40B4-BE49-F238E27FC236}">
              <a16:creationId xmlns:a16="http://schemas.microsoft.com/office/drawing/2014/main" id="{EF672CDF-3B74-4D68-94B2-333939661D88}"/>
            </a:ext>
          </a:extLst>
        </xdr:cNvPr>
        <xdr:cNvSpPr/>
      </xdr:nvSpPr>
      <xdr:spPr bwMode="auto">
        <a:xfrm>
          <a:off x="8281698" y="27332609"/>
          <a:ext cx="704849" cy="23424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受注伝票</a:t>
          </a:r>
        </a:p>
      </xdr:txBody>
    </xdr:sp>
    <xdr:clientData/>
  </xdr:twoCellAnchor>
  <xdr:oneCellAnchor>
    <xdr:from>
      <xdr:col>47</xdr:col>
      <xdr:colOff>38100</xdr:colOff>
      <xdr:row>141</xdr:row>
      <xdr:rowOff>9525</xdr:rowOff>
    </xdr:from>
    <xdr:ext cx="121422" cy="146538"/>
    <xdr:pic>
      <xdr:nvPicPr>
        <xdr:cNvPr id="159" name="図 158">
          <a:extLst>
            <a:ext uri="{FF2B5EF4-FFF2-40B4-BE49-F238E27FC236}">
              <a16:creationId xmlns:a16="http://schemas.microsoft.com/office/drawing/2014/main" id="{937B253A-9B60-4EEC-9F23-083B36489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21983700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166</xdr:row>
      <xdr:rowOff>147473</xdr:rowOff>
    </xdr:from>
    <xdr:ext cx="121422" cy="146538"/>
    <xdr:pic>
      <xdr:nvPicPr>
        <xdr:cNvPr id="160" name="図 159">
          <a:extLst>
            <a:ext uri="{FF2B5EF4-FFF2-40B4-BE49-F238E27FC236}">
              <a16:creationId xmlns:a16="http://schemas.microsoft.com/office/drawing/2014/main" id="{35EBDBFF-D315-4743-965C-A41A8179E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259316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164</xdr:row>
      <xdr:rowOff>23648</xdr:rowOff>
    </xdr:from>
    <xdr:ext cx="121422" cy="146538"/>
    <xdr:pic>
      <xdr:nvPicPr>
        <xdr:cNvPr id="161" name="図 160">
          <a:extLst>
            <a:ext uri="{FF2B5EF4-FFF2-40B4-BE49-F238E27FC236}">
              <a16:creationId xmlns:a16="http://schemas.microsoft.com/office/drawing/2014/main" id="{217B7A44-70FC-440E-B61D-849D80C75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5030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167</xdr:row>
      <xdr:rowOff>3726</xdr:rowOff>
    </xdr:from>
    <xdr:ext cx="154736" cy="144000"/>
    <xdr:pic>
      <xdr:nvPicPr>
        <xdr:cNvPr id="162" name="図 161">
          <a:extLst>
            <a:ext uri="{FF2B5EF4-FFF2-40B4-BE49-F238E27FC236}">
              <a16:creationId xmlns:a16="http://schemas.microsoft.com/office/drawing/2014/main" id="{C8D7D776-8ABA-49FC-83D1-9D4A58DB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59403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35802</xdr:colOff>
      <xdr:row>167</xdr:row>
      <xdr:rowOff>0</xdr:rowOff>
    </xdr:from>
    <xdr:ext cx="121422" cy="146538"/>
    <xdr:pic>
      <xdr:nvPicPr>
        <xdr:cNvPr id="163" name="図 162">
          <a:extLst>
            <a:ext uri="{FF2B5EF4-FFF2-40B4-BE49-F238E27FC236}">
              <a16:creationId xmlns:a16="http://schemas.microsoft.com/office/drawing/2014/main" id="{FD426F30-6C77-41AD-B6CC-E2173931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4827" y="259365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22663</xdr:colOff>
      <xdr:row>141</xdr:row>
      <xdr:rowOff>25619</xdr:rowOff>
    </xdr:from>
    <xdr:ext cx="144000" cy="144000"/>
    <xdr:pic>
      <xdr:nvPicPr>
        <xdr:cNvPr id="164" name="図 163">
          <a:extLst>
            <a:ext uri="{FF2B5EF4-FFF2-40B4-BE49-F238E27FC236}">
              <a16:creationId xmlns:a16="http://schemas.microsoft.com/office/drawing/2014/main" id="{6C6F481C-E61D-4E00-AB3A-9AD3E4B2563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2613" y="21999794"/>
          <a:ext cx="144000" cy="144000"/>
        </a:xfrm>
        <a:prstGeom prst="rect">
          <a:avLst/>
        </a:prstGeom>
      </xdr:spPr>
    </xdr:pic>
    <xdr:clientData/>
  </xdr:oneCellAnchor>
  <xdr:oneCellAnchor>
    <xdr:from>
      <xdr:col>31</xdr:col>
      <xdr:colOff>41713</xdr:colOff>
      <xdr:row>145</xdr:row>
      <xdr:rowOff>6569</xdr:rowOff>
    </xdr:from>
    <xdr:ext cx="144000" cy="144000"/>
    <xdr:pic>
      <xdr:nvPicPr>
        <xdr:cNvPr id="165" name="図 164">
          <a:extLst>
            <a:ext uri="{FF2B5EF4-FFF2-40B4-BE49-F238E27FC236}">
              <a16:creationId xmlns:a16="http://schemas.microsoft.com/office/drawing/2014/main" id="{41349517-8441-4139-9351-75260ED3E9BE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688" y="22590344"/>
          <a:ext cx="144000" cy="144000"/>
        </a:xfrm>
        <a:prstGeom prst="rect">
          <a:avLst/>
        </a:prstGeom>
      </xdr:spPr>
    </xdr:pic>
    <xdr:clientData/>
  </xdr:oneCellAnchor>
  <xdr:twoCellAnchor>
    <xdr:from>
      <xdr:col>2</xdr:col>
      <xdr:colOff>152400</xdr:colOff>
      <xdr:row>231</xdr:row>
      <xdr:rowOff>0</xdr:rowOff>
    </xdr:from>
    <xdr:to>
      <xdr:col>7</xdr:col>
      <xdr:colOff>12375</xdr:colOff>
      <xdr:row>232</xdr:row>
      <xdr:rowOff>80670</xdr:rowOff>
    </xdr:to>
    <xdr:sp macro="" textlink="">
      <xdr:nvSpPr>
        <xdr:cNvPr id="166" name="フローチャート: 代替処理 165">
          <a:extLst>
            <a:ext uri="{FF2B5EF4-FFF2-40B4-BE49-F238E27FC236}">
              <a16:creationId xmlns:a16="http://schemas.microsoft.com/office/drawing/2014/main" id="{5C3EABF1-4C93-4E9B-AC71-B02B9C9BEA74}"/>
            </a:ext>
          </a:extLst>
        </xdr:cNvPr>
        <xdr:cNvSpPr/>
      </xdr:nvSpPr>
      <xdr:spPr bwMode="auto">
        <a:xfrm>
          <a:off x="476250" y="36109275"/>
          <a:ext cx="68865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7</xdr:col>
      <xdr:colOff>105106</xdr:colOff>
      <xdr:row>231</xdr:row>
      <xdr:rowOff>0</xdr:rowOff>
    </xdr:from>
    <xdr:to>
      <xdr:col>11</xdr:col>
      <xdr:colOff>127006</xdr:colOff>
      <xdr:row>232</xdr:row>
      <xdr:rowOff>80670</xdr:rowOff>
    </xdr:to>
    <xdr:sp macro="" textlink="">
      <xdr:nvSpPr>
        <xdr:cNvPr id="167" name="フローチャート: 代替処理 166">
          <a:extLst>
            <a:ext uri="{FF2B5EF4-FFF2-40B4-BE49-F238E27FC236}">
              <a16:creationId xmlns:a16="http://schemas.microsoft.com/office/drawing/2014/main" id="{E0BFBD2C-FDB6-4C76-B015-2386B06AA3DE}"/>
            </a:ext>
          </a:extLst>
        </xdr:cNvPr>
        <xdr:cNvSpPr/>
      </xdr:nvSpPr>
      <xdr:spPr bwMode="auto">
        <a:xfrm>
          <a:off x="1257631" y="36109275"/>
          <a:ext cx="66960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60</xdr:col>
      <xdr:colOff>47438</xdr:colOff>
      <xdr:row>231</xdr:row>
      <xdr:rowOff>20544</xdr:rowOff>
    </xdr:from>
    <xdr:to>
      <xdr:col>64</xdr:col>
      <xdr:colOff>88714</xdr:colOff>
      <xdr:row>232</xdr:row>
      <xdr:rowOff>93370</xdr:rowOff>
    </xdr:to>
    <xdr:sp macro="" textlink="">
      <xdr:nvSpPr>
        <xdr:cNvPr id="168" name="フローチャート: 代替処理 167">
          <a:extLst>
            <a:ext uri="{FF2B5EF4-FFF2-40B4-BE49-F238E27FC236}">
              <a16:creationId xmlns:a16="http://schemas.microsoft.com/office/drawing/2014/main" id="{2F4BF080-7B48-4F45-850F-E649663B6771}"/>
            </a:ext>
          </a:extLst>
        </xdr:cNvPr>
        <xdr:cNvSpPr/>
      </xdr:nvSpPr>
      <xdr:spPr bwMode="auto">
        <a:xfrm>
          <a:off x="10239188" y="36129819"/>
          <a:ext cx="774701" cy="225226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工程へ反映</a:t>
          </a:r>
        </a:p>
      </xdr:txBody>
    </xdr:sp>
    <xdr:clientData/>
  </xdr:twoCellAnchor>
  <xdr:twoCellAnchor>
    <xdr:from>
      <xdr:col>2</xdr:col>
      <xdr:colOff>152400</xdr:colOff>
      <xdr:row>231</xdr:row>
      <xdr:rowOff>0</xdr:rowOff>
    </xdr:from>
    <xdr:to>
      <xdr:col>7</xdr:col>
      <xdr:colOff>12375</xdr:colOff>
      <xdr:row>232</xdr:row>
      <xdr:rowOff>80670</xdr:rowOff>
    </xdr:to>
    <xdr:sp macro="" textlink="">
      <xdr:nvSpPr>
        <xdr:cNvPr id="169" name="フローチャート: 代替処理 168">
          <a:extLst>
            <a:ext uri="{FF2B5EF4-FFF2-40B4-BE49-F238E27FC236}">
              <a16:creationId xmlns:a16="http://schemas.microsoft.com/office/drawing/2014/main" id="{56D2B869-0DE7-4EC2-8334-84C83E1CFD98}"/>
            </a:ext>
          </a:extLst>
        </xdr:cNvPr>
        <xdr:cNvSpPr/>
      </xdr:nvSpPr>
      <xdr:spPr bwMode="auto">
        <a:xfrm>
          <a:off x="476250" y="36109275"/>
          <a:ext cx="68865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行削除</a:t>
          </a:r>
        </a:p>
      </xdr:txBody>
    </xdr:sp>
    <xdr:clientData/>
  </xdr:twoCellAnchor>
  <xdr:twoCellAnchor>
    <xdr:from>
      <xdr:col>7</xdr:col>
      <xdr:colOff>105106</xdr:colOff>
      <xdr:row>231</xdr:row>
      <xdr:rowOff>0</xdr:rowOff>
    </xdr:from>
    <xdr:to>
      <xdr:col>11</xdr:col>
      <xdr:colOff>127006</xdr:colOff>
      <xdr:row>232</xdr:row>
      <xdr:rowOff>80670</xdr:rowOff>
    </xdr:to>
    <xdr:sp macro="" textlink="">
      <xdr:nvSpPr>
        <xdr:cNvPr id="170" name="フローチャート: 代替処理 169">
          <a:extLst>
            <a:ext uri="{FF2B5EF4-FFF2-40B4-BE49-F238E27FC236}">
              <a16:creationId xmlns:a16="http://schemas.microsoft.com/office/drawing/2014/main" id="{D40F7EEB-EE1A-4863-B116-9D791513FAE5}"/>
            </a:ext>
          </a:extLst>
        </xdr:cNvPr>
        <xdr:cNvSpPr/>
      </xdr:nvSpPr>
      <xdr:spPr bwMode="auto">
        <a:xfrm>
          <a:off x="1257631" y="36109275"/>
          <a:ext cx="669600" cy="233070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行挿入</a:t>
          </a:r>
        </a:p>
      </xdr:txBody>
    </xdr:sp>
    <xdr:clientData/>
  </xdr:twoCellAnchor>
  <xdr:twoCellAnchor>
    <xdr:from>
      <xdr:col>58</xdr:col>
      <xdr:colOff>82412</xdr:colOff>
      <xdr:row>176</xdr:row>
      <xdr:rowOff>24434</xdr:rowOff>
    </xdr:from>
    <xdr:to>
      <xdr:col>62</xdr:col>
      <xdr:colOff>154712</xdr:colOff>
      <xdr:row>177</xdr:row>
      <xdr:rowOff>99391</xdr:rowOff>
    </xdr:to>
    <xdr:sp macro="" textlink="">
      <xdr:nvSpPr>
        <xdr:cNvPr id="171" name="フローチャート: 代替処理 170">
          <a:extLst>
            <a:ext uri="{FF2B5EF4-FFF2-40B4-BE49-F238E27FC236}">
              <a16:creationId xmlns:a16="http://schemas.microsoft.com/office/drawing/2014/main" id="{E4A56DA3-4031-4C67-B9D2-27222C089B5D}"/>
            </a:ext>
          </a:extLst>
        </xdr:cNvPr>
        <xdr:cNvSpPr/>
      </xdr:nvSpPr>
      <xdr:spPr bwMode="auto">
        <a:xfrm>
          <a:off x="9950312" y="27332609"/>
          <a:ext cx="720000" cy="227357"/>
        </a:xfrm>
        <a:prstGeom prst="flowChartAlternateProcess">
          <a:avLst/>
        </a:prstGeom>
        <a:solidFill>
          <a:srgbClr val="339966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overflow" horzOverflow="overflow" wrap="square" lIns="0" tIns="0" rIns="0" bIns="0" rtlCol="0" anchor="ctr" upright="1"/>
        <a:lstStyle/>
        <a:p>
          <a:pPr algn="ctr"/>
          <a:r>
            <a:rPr kumimoji="1" lang="ja-JP" altLang="en-US" sz="9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更新</a:t>
          </a:r>
        </a:p>
      </xdr:txBody>
    </xdr:sp>
    <xdr:clientData/>
  </xdr:twoCellAnchor>
  <xdr:oneCellAnchor>
    <xdr:from>
      <xdr:col>23</xdr:col>
      <xdr:colOff>16752</xdr:colOff>
      <xdr:row>167</xdr:row>
      <xdr:rowOff>0</xdr:rowOff>
    </xdr:from>
    <xdr:ext cx="121422" cy="146538"/>
    <xdr:pic>
      <xdr:nvPicPr>
        <xdr:cNvPr id="172" name="図 171">
          <a:extLst>
            <a:ext uri="{FF2B5EF4-FFF2-40B4-BE49-F238E27FC236}">
              <a16:creationId xmlns:a16="http://schemas.microsoft.com/office/drawing/2014/main" id="{998841EA-A6C8-4277-8C4C-825B53F5A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25936575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167</xdr:row>
      <xdr:rowOff>3726</xdr:rowOff>
    </xdr:from>
    <xdr:ext cx="154736" cy="144000"/>
    <xdr:pic>
      <xdr:nvPicPr>
        <xdr:cNvPr id="173" name="図 172">
          <a:extLst>
            <a:ext uri="{FF2B5EF4-FFF2-40B4-BE49-F238E27FC236}">
              <a16:creationId xmlns:a16="http://schemas.microsoft.com/office/drawing/2014/main" id="{50F55C62-F8E6-47F3-B50E-F6F633AE6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2594030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16752</xdr:colOff>
      <xdr:row>167</xdr:row>
      <xdr:rowOff>23648</xdr:rowOff>
    </xdr:from>
    <xdr:ext cx="121422" cy="146538"/>
    <xdr:pic>
      <xdr:nvPicPr>
        <xdr:cNvPr id="174" name="図 173">
          <a:extLst>
            <a:ext uri="{FF2B5EF4-FFF2-40B4-BE49-F238E27FC236}">
              <a16:creationId xmlns:a16="http://schemas.microsoft.com/office/drawing/2014/main" id="{9ACAB609-906A-414F-80EF-720641A6F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2652" y="2596022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167</xdr:row>
      <xdr:rowOff>14123</xdr:rowOff>
    </xdr:from>
    <xdr:ext cx="121422" cy="146538"/>
    <xdr:pic>
      <xdr:nvPicPr>
        <xdr:cNvPr id="175" name="図 174">
          <a:extLst>
            <a:ext uri="{FF2B5EF4-FFF2-40B4-BE49-F238E27FC236}">
              <a16:creationId xmlns:a16="http://schemas.microsoft.com/office/drawing/2014/main" id="{F408E4CA-7126-4E4D-B51A-371FDFB3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259506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105</xdr:row>
      <xdr:rowOff>23648</xdr:rowOff>
    </xdr:from>
    <xdr:ext cx="121422" cy="146538"/>
    <xdr:pic>
      <xdr:nvPicPr>
        <xdr:cNvPr id="176" name="図 175">
          <a:extLst>
            <a:ext uri="{FF2B5EF4-FFF2-40B4-BE49-F238E27FC236}">
              <a16:creationId xmlns:a16="http://schemas.microsoft.com/office/drawing/2014/main" id="{249375F3-95B6-4FF4-91F4-E702879C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3018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105</xdr:row>
      <xdr:rowOff>14123</xdr:rowOff>
    </xdr:from>
    <xdr:ext cx="121422" cy="146538"/>
    <xdr:pic>
      <xdr:nvPicPr>
        <xdr:cNvPr id="177" name="図 176">
          <a:extLst>
            <a:ext uri="{FF2B5EF4-FFF2-40B4-BE49-F238E27FC236}">
              <a16:creationId xmlns:a16="http://schemas.microsoft.com/office/drawing/2014/main" id="{3B49D846-D5AC-4CDE-932B-69639AED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2923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32</xdr:col>
      <xdr:colOff>64377</xdr:colOff>
      <xdr:row>107</xdr:row>
      <xdr:rowOff>147473</xdr:rowOff>
    </xdr:from>
    <xdr:ext cx="121422" cy="146538"/>
    <xdr:pic>
      <xdr:nvPicPr>
        <xdr:cNvPr id="178" name="図 177">
          <a:extLst>
            <a:ext uri="{FF2B5EF4-FFF2-40B4-BE49-F238E27FC236}">
              <a16:creationId xmlns:a16="http://schemas.microsoft.com/office/drawing/2014/main" id="{B1408A03-8116-46F1-8135-B02AA98F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0277" y="1673049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23</xdr:col>
      <xdr:colOff>16752</xdr:colOff>
      <xdr:row>105</xdr:row>
      <xdr:rowOff>23648</xdr:rowOff>
    </xdr:from>
    <xdr:ext cx="121422" cy="146538"/>
    <xdr:pic>
      <xdr:nvPicPr>
        <xdr:cNvPr id="179" name="図 178">
          <a:extLst>
            <a:ext uri="{FF2B5EF4-FFF2-40B4-BE49-F238E27FC236}">
              <a16:creationId xmlns:a16="http://schemas.microsoft.com/office/drawing/2014/main" id="{C9245F4A-49D2-4A4D-94C0-66BB751E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077" y="16301873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108</xdr:row>
      <xdr:rowOff>3726</xdr:rowOff>
    </xdr:from>
    <xdr:ext cx="154736" cy="144000"/>
    <xdr:pic>
      <xdr:nvPicPr>
        <xdr:cNvPr id="180" name="図 179">
          <a:extLst>
            <a:ext uri="{FF2B5EF4-FFF2-40B4-BE49-F238E27FC236}">
              <a16:creationId xmlns:a16="http://schemas.microsoft.com/office/drawing/2014/main" id="{C0578955-01B9-44BA-90A8-018B7D5B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6739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104363</xdr:colOff>
      <xdr:row>108</xdr:row>
      <xdr:rowOff>3726</xdr:rowOff>
    </xdr:from>
    <xdr:ext cx="154736" cy="144000"/>
    <xdr:pic>
      <xdr:nvPicPr>
        <xdr:cNvPr id="181" name="図 180">
          <a:extLst>
            <a:ext uri="{FF2B5EF4-FFF2-40B4-BE49-F238E27FC236}">
              <a16:creationId xmlns:a16="http://schemas.microsoft.com/office/drawing/2014/main" id="{BD23EE50-D22E-4187-AF1A-D9D7275A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438" y="16739151"/>
          <a:ext cx="154736" cy="14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54</xdr:col>
      <xdr:colOff>35802</xdr:colOff>
      <xdr:row>108</xdr:row>
      <xdr:rowOff>14123</xdr:rowOff>
    </xdr:from>
    <xdr:ext cx="121422" cy="146538"/>
    <xdr:pic>
      <xdr:nvPicPr>
        <xdr:cNvPr id="182" name="図 181">
          <a:extLst>
            <a:ext uri="{FF2B5EF4-FFF2-40B4-BE49-F238E27FC236}">
              <a16:creationId xmlns:a16="http://schemas.microsoft.com/office/drawing/2014/main" id="{27EDFD68-56AF-41AB-B22D-7D4F3013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6002" y="16749548"/>
          <a:ext cx="121422" cy="146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813377</xdr:colOff>
      <xdr:row>122</xdr:row>
      <xdr:rowOff>93519</xdr:rowOff>
    </xdr:from>
    <xdr:to>
      <xdr:col>38</xdr:col>
      <xdr:colOff>685677</xdr:colOff>
      <xdr:row>126</xdr:row>
      <xdr:rowOff>1</xdr:rowOff>
    </xdr:to>
    <xdr:sp macro="" textlink="">
      <xdr:nvSpPr>
        <xdr:cNvPr id="2" name="吹き出し: 四角形 4">
          <a:extLst>
            <a:ext uri="{FF2B5EF4-FFF2-40B4-BE49-F238E27FC236}">
              <a16:creationId xmlns:a16="http://schemas.microsoft.com/office/drawing/2014/main" id="{229CA5C0-81F5-427E-9045-2062942242E0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SpPr/>
      </xdr:nvSpPr>
      <xdr:spPr>
        <a:xfrm>
          <a:off x="51981677" y="25496694"/>
          <a:ext cx="2186875" cy="706582"/>
        </a:xfrm>
        <a:prstGeom prst="wedgeRectCallout">
          <a:avLst>
            <a:gd name="adj1" fmla="val -22020"/>
            <a:gd name="adj2" fmla="val 85935"/>
          </a:avLst>
        </a:prstGeom>
        <a:solidFill>
          <a:srgbClr val="FFFFFF"/>
        </a:solidFill>
        <a:ln w="12700">
          <a:solidFill>
            <a:srgbClr val="5B9BD4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000000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枝番３はトムソン工程後につくためブランクスのみの想定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COMMON\DOC\DB_XLS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ownpackage365.sharepoint.com/Users/ishid/Desktop/608_&#35069;&#21697;&#12510;&#12473;&#12479;&#36899;&#25658;/&#12496;&#12483;&#12481;&#27231;&#33021;_MGBGB0020_&#12510;&#12473;&#12479;&#36899;&#25658;&#12496;&#12483;&#12481;_Rev0.0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Z1\MDSOL_CP\%23svn\010.&#26368;&#32066;&#25104;&#26524;&#29289;\07.&#38283;&#30330;&#27231;&#33021;&#20181;&#27096;(&#12450;&#12489;&#12458;&#12531;&#35373;&#35336;&#26360;)\7.3.SCM(&#36009;&#22770;&#65289;&#38283;&#30330;&#20181;&#27096;\7.3.1%20WEB&#12471;&#12473;&#12486;&#12512;\&#12304;MSBBPA070&#12305;_&#30011;&#38754;&#35373;&#35336;&#26360;_&#12450;&#12489;&#12458;&#12531;(Web&#21463;&#27880;&#20837;&#21147;)_20230418_V11.xlsx" TargetMode="External"/><Relationship Id="rId1" Type="http://schemas.openxmlformats.org/officeDocument/2006/relationships/externalLinkPath" Target="/Z1/MDSOL_CP/%23svn/010.&#26368;&#32066;&#25104;&#26524;&#29289;/07.&#38283;&#30330;&#27231;&#33021;&#20181;&#27096;(&#12450;&#12489;&#12458;&#12531;&#35373;&#35336;&#26360;)/7.3.SCM(&#36009;&#22770;&#65289;&#38283;&#30330;&#20181;&#27096;/7.3.1%20WEB&#12471;&#12473;&#12486;&#12512;/&#12304;MSBBPA070&#12305;_&#30011;&#38754;&#35373;&#35336;&#26360;_&#12450;&#12489;&#12458;&#12531;(Web&#21463;&#27880;&#20837;&#21147;)_20230418_V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社員リスト"/>
      <sheetName val="承認票"/>
      <sheetName val="１．InfoCube (YKCH0010)案１"/>
      <sheetName val="１．InfoCube (YKCH0010) 案２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（カスタマイズ）"/>
      <sheetName val="表紙"/>
      <sheetName val="変更来歴（カスタマイズ）"/>
      <sheetName val="変更来歴"/>
      <sheetName val="概要"/>
      <sheetName val="概要（カスタマイズ）"/>
      <sheetName val="引数説明"/>
      <sheetName val="処理・サービス関連図"/>
      <sheetName val="処理詳細"/>
      <sheetName val="更新入出力仕様"/>
      <sheetName val="メッセージ一覧"/>
      <sheetName val="バッチ・ＩＦデータ確認"/>
      <sheetName val="補足説明"/>
    </sheetNames>
    <sheetDataSet>
      <sheetData sheetId="0">
        <row r="10">
          <cell r="M10" t="str">
            <v>バッチ機能</v>
          </cell>
        </row>
        <row r="20">
          <cell r="U20" t="str">
            <v>J052-0-0001</v>
          </cell>
        </row>
      </sheetData>
      <sheetData sheetId="1">
        <row r="5">
          <cell r="O5" t="str">
            <v>M7-US-1311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次"/>
      <sheetName val="表紙"/>
      <sheetName val="改訂"/>
      <sheetName val="概要"/>
      <sheetName val="概要 (セッション用)"/>
      <sheetName val="WEBテーブル関連図"/>
      <sheetName val="レイアウト"/>
      <sheetName val="レイアウト(CP案_0518)"/>
      <sheetName val="レイアウト旧"/>
      <sheetName val="レイアウト (シート)"/>
      <sheetName val="レイアウト (商品購買) "/>
      <sheetName val="レイアウト_bk01"/>
      <sheetName val="レイアウト (プリフル入力)"/>
      <sheetName val="Popupレイアウト"/>
      <sheetName val="現行画面"/>
      <sheetName val="項目説明"/>
      <sheetName val="引数説明"/>
      <sheetName val="処理詳細"/>
      <sheetName val="処理概要"/>
      <sheetName val="処理・サービス関連図"/>
      <sheetName val="検索入出力仕様"/>
      <sheetName val="テーブル項目_受注"/>
      <sheetName val="テーブル項目_受注明細"/>
      <sheetName val="テーブル項目_受注加工工程"/>
      <sheetName val="テーブル項目_受注工程備考"/>
      <sheetName val="テーブル項目_受注加工材料"/>
      <sheetName val="更新入出力仕様"/>
      <sheetName val="メッセージ一覧"/>
      <sheetName val="補足説明資料"/>
      <sheetName val="補足説明資料_仕掛チェック"/>
      <sheetName val="補足説明資料_受注画面制御"/>
      <sheetName val="受発注パタン詳細"/>
      <sheetName val="登録サンプル_加工受注"/>
      <sheetName val="登録サンプル_シート受注"/>
      <sheetName val="登録サンプル_商品購買"/>
      <sheetName val="登録サンプル_版型"/>
      <sheetName val="登録サンプル_有償支給"/>
      <sheetName val="登録サンプル_経費品"/>
      <sheetName val="登録サンプル_原紙売り"/>
      <sheetName val="登録サンプル_輪切り"/>
      <sheetName val="mcframe7受注"/>
      <sheetName val="2-1-1. ファイルフォーマット（注文）"/>
      <sheetName val="2-1-8. 受信ＩＦ確認（注文）"/>
      <sheetName val="|→現行テーブル"/>
      <sheetName val="受注基本ファイル"/>
      <sheetName val="受注加工ファイル"/>
      <sheetName val="Sheet1"/>
      <sheetName val="１対Nパタン"/>
    </sheetNames>
    <sheetDataSet>
      <sheetData sheetId="0"/>
      <sheetData sheetId="1">
        <row r="54">
          <cell r="A54" t="str">
            <v>Webシステム</v>
          </cell>
        </row>
        <row r="64">
          <cell r="AJ64" t="str">
            <v>MSBB</v>
          </cell>
          <cell r="AX64" t="str">
            <v>Webシステム</v>
          </cell>
        </row>
        <row r="65">
          <cell r="O65" t="str">
            <v>表紙</v>
          </cell>
          <cell r="AJ65" t="str">
            <v>MSBBPA070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2433-EFC8-4C8A-99BA-C61A5B018C43}">
  <dimension ref="B2:J17"/>
  <sheetViews>
    <sheetView showGridLines="0" tabSelected="1" workbookViewId="0">
      <selection activeCell="N13" sqref="N13"/>
    </sheetView>
  </sheetViews>
  <sheetFormatPr defaultRowHeight="18.75"/>
  <sheetData>
    <row r="2" spans="2:10">
      <c r="B2" s="875" t="s">
        <v>1261</v>
      </c>
    </row>
    <row r="4" spans="2:10">
      <c r="B4" t="s">
        <v>1265</v>
      </c>
      <c r="C4" s="875" t="s">
        <v>1262</v>
      </c>
    </row>
    <row r="5" spans="2:10">
      <c r="C5" t="s">
        <v>1263</v>
      </c>
    </row>
    <row r="8" spans="2:10">
      <c r="B8" s="875" t="s">
        <v>1264</v>
      </c>
    </row>
    <row r="10" spans="2:10">
      <c r="B10" t="s">
        <v>1265</v>
      </c>
      <c r="C10" s="875" t="s">
        <v>1273</v>
      </c>
      <c r="J10" t="s">
        <v>1272</v>
      </c>
    </row>
    <row r="11" spans="2:10">
      <c r="C11" t="s">
        <v>1266</v>
      </c>
    </row>
    <row r="12" spans="2:10">
      <c r="C12" t="s">
        <v>1267</v>
      </c>
    </row>
    <row r="13" spans="2:10">
      <c r="C13" t="s">
        <v>1268</v>
      </c>
    </row>
    <row r="15" spans="2:10">
      <c r="B15" t="s">
        <v>1265</v>
      </c>
      <c r="C15" s="875" t="s">
        <v>1269</v>
      </c>
    </row>
    <row r="16" spans="2:10">
      <c r="C16" t="s">
        <v>1270</v>
      </c>
    </row>
    <row r="17" spans="3:3">
      <c r="C17" t="s">
        <v>1271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EACD-14AC-41C3-939F-3DAD09897732}">
  <sheetPr>
    <tabColor rgb="FF0000FF"/>
  </sheetPr>
  <dimension ref="B2:S93"/>
  <sheetViews>
    <sheetView showGridLines="0" topLeftCell="A29" zoomScale="85" zoomScaleNormal="85" workbookViewId="0">
      <selection activeCell="D51" sqref="D51"/>
    </sheetView>
  </sheetViews>
  <sheetFormatPr defaultRowHeight="15.75"/>
  <cols>
    <col min="1" max="1" width="6.5" style="135" customWidth="1"/>
    <col min="2" max="2" width="9.375" style="135" bestFit="1" customWidth="1"/>
    <col min="3" max="3" width="18.125" style="135" customWidth="1"/>
    <col min="4" max="4" width="19.75" style="135" bestFit="1" customWidth="1"/>
    <col min="5" max="5" width="13.375" style="135" customWidth="1"/>
    <col min="6" max="6" width="19.75" style="135" customWidth="1"/>
    <col min="7" max="7" width="9.25" style="135" customWidth="1"/>
    <col min="8" max="8" width="9.25" style="134" customWidth="1"/>
    <col min="9" max="9" width="22.25" style="135" bestFit="1" customWidth="1"/>
    <col min="10" max="10" width="21" style="135" customWidth="1"/>
    <col min="11" max="11" width="29.125" style="135" bestFit="1" customWidth="1"/>
    <col min="12" max="16" width="14" style="135" customWidth="1"/>
    <col min="17" max="17" width="11.25" style="135" bestFit="1" customWidth="1"/>
    <col min="18" max="18" width="17.5" style="135" bestFit="1" customWidth="1"/>
    <col min="19" max="19" width="11.875" style="135" customWidth="1"/>
    <col min="20" max="16384" width="9" style="135"/>
  </cols>
  <sheetData>
    <row r="2" spans="2:19">
      <c r="B2" s="335" t="s">
        <v>234</v>
      </c>
      <c r="C2" s="336"/>
      <c r="D2" s="336"/>
      <c r="E2" s="336"/>
      <c r="F2" s="336"/>
      <c r="G2" s="337" t="s">
        <v>366</v>
      </c>
      <c r="H2" s="470"/>
      <c r="I2" s="338"/>
      <c r="J2" s="343" t="s">
        <v>688</v>
      </c>
      <c r="K2" s="338"/>
      <c r="Q2" s="327"/>
      <c r="R2" s="327"/>
      <c r="S2" s="327"/>
    </row>
    <row r="3" spans="2:19" s="326" customFormat="1">
      <c r="B3" s="346" t="s">
        <v>4</v>
      </c>
      <c r="C3" s="344"/>
      <c r="D3" s="344" t="s">
        <v>365</v>
      </c>
      <c r="E3" s="344"/>
      <c r="F3" s="345"/>
      <c r="G3" s="337"/>
      <c r="H3" s="343" t="s">
        <v>300</v>
      </c>
      <c r="I3" s="347"/>
      <c r="J3" s="339"/>
      <c r="K3" s="340"/>
      <c r="L3" s="135"/>
      <c r="M3" s="135"/>
      <c r="N3" s="135"/>
      <c r="O3" s="135"/>
      <c r="P3" s="135"/>
    </row>
    <row r="4" spans="2:19">
      <c r="B4" s="341">
        <v>10</v>
      </c>
      <c r="C4" s="342" t="s">
        <v>140</v>
      </c>
      <c r="D4" s="342" t="s">
        <v>84</v>
      </c>
      <c r="E4" s="363"/>
      <c r="F4" s="334"/>
      <c r="G4" s="138" t="s">
        <v>367</v>
      </c>
      <c r="H4" s="139"/>
      <c r="I4" s="328"/>
      <c r="J4" s="342" t="s">
        <v>1246</v>
      </c>
      <c r="K4" s="328"/>
    </row>
    <row r="5" spans="2:19">
      <c r="B5" s="329"/>
      <c r="C5" s="327"/>
      <c r="E5" s="364"/>
      <c r="F5" s="331"/>
      <c r="G5" s="140"/>
      <c r="H5" s="134">
        <v>12</v>
      </c>
      <c r="I5" s="330" t="s">
        <v>82</v>
      </c>
      <c r="K5" s="331"/>
    </row>
    <row r="6" spans="2:19">
      <c r="B6" s="329"/>
      <c r="C6" s="327"/>
      <c r="E6" s="364"/>
      <c r="F6" s="331"/>
      <c r="G6" s="140"/>
      <c r="H6" s="134">
        <v>13</v>
      </c>
      <c r="I6" s="330" t="s">
        <v>87</v>
      </c>
      <c r="K6" s="331"/>
    </row>
    <row r="7" spans="2:19">
      <c r="B7" s="329"/>
      <c r="C7" s="327"/>
      <c r="E7" s="364"/>
      <c r="F7" s="331"/>
      <c r="G7" s="140"/>
      <c r="H7" s="134">
        <v>21</v>
      </c>
      <c r="I7" s="330" t="s">
        <v>90</v>
      </c>
      <c r="K7" s="331"/>
    </row>
    <row r="8" spans="2:19">
      <c r="B8" s="329"/>
      <c r="C8" s="327"/>
      <c r="E8" s="364"/>
      <c r="F8" s="331"/>
      <c r="G8" s="140"/>
      <c r="H8" s="134">
        <v>23</v>
      </c>
      <c r="I8" s="330" t="s">
        <v>95</v>
      </c>
      <c r="K8" s="331"/>
    </row>
    <row r="9" spans="2:19">
      <c r="B9" s="329"/>
      <c r="C9" s="327"/>
      <c r="E9" s="364"/>
      <c r="F9" s="331"/>
      <c r="G9" s="140"/>
      <c r="H9" s="134">
        <v>31</v>
      </c>
      <c r="I9" s="330" t="s">
        <v>97</v>
      </c>
      <c r="K9" s="331"/>
    </row>
    <row r="10" spans="2:19">
      <c r="B10" s="141"/>
      <c r="C10" s="143"/>
      <c r="D10" s="143"/>
      <c r="E10" s="365"/>
      <c r="F10" s="333"/>
      <c r="G10" s="140"/>
      <c r="H10" s="134">
        <v>32</v>
      </c>
      <c r="I10" s="330" t="s">
        <v>99</v>
      </c>
      <c r="J10" s="143"/>
      <c r="K10" s="333"/>
    </row>
    <row r="11" spans="2:19">
      <c r="B11" s="341">
        <v>11</v>
      </c>
      <c r="C11" s="342" t="s">
        <v>343</v>
      </c>
      <c r="D11" s="342" t="s">
        <v>84</v>
      </c>
      <c r="E11" s="363"/>
      <c r="F11" s="334"/>
      <c r="G11" s="138" t="s">
        <v>367</v>
      </c>
      <c r="H11" s="139"/>
      <c r="I11" s="328"/>
      <c r="J11" s="342" t="s">
        <v>1246</v>
      </c>
      <c r="K11" s="334"/>
    </row>
    <row r="12" spans="2:19">
      <c r="B12" s="329"/>
      <c r="C12" s="327"/>
      <c r="D12" s="327"/>
      <c r="E12" s="366"/>
      <c r="F12" s="330"/>
      <c r="G12" s="140"/>
      <c r="H12" s="134">
        <v>12</v>
      </c>
      <c r="I12" s="330" t="s">
        <v>82</v>
      </c>
      <c r="J12" s="327"/>
      <c r="K12" s="330"/>
    </row>
    <row r="13" spans="2:19">
      <c r="B13" s="329"/>
      <c r="C13" s="327"/>
      <c r="E13" s="364"/>
      <c r="F13" s="331"/>
      <c r="G13" s="140"/>
      <c r="H13" s="134">
        <v>13</v>
      </c>
      <c r="I13" s="330" t="s">
        <v>87</v>
      </c>
      <c r="J13" s="327"/>
      <c r="K13" s="330"/>
    </row>
    <row r="14" spans="2:19">
      <c r="B14" s="329"/>
      <c r="C14" s="327"/>
      <c r="D14" s="327"/>
      <c r="E14" s="366"/>
      <c r="F14" s="330"/>
      <c r="G14" s="140"/>
      <c r="H14" s="134">
        <v>21</v>
      </c>
      <c r="I14" s="330" t="s">
        <v>90</v>
      </c>
      <c r="J14" s="327"/>
      <c r="K14" s="330"/>
    </row>
    <row r="15" spans="2:19">
      <c r="B15" s="329"/>
      <c r="C15" s="327"/>
      <c r="D15" s="134"/>
      <c r="E15" s="367"/>
      <c r="F15" s="152"/>
      <c r="G15" s="160"/>
      <c r="H15" s="134">
        <v>23</v>
      </c>
      <c r="I15" s="330" t="s">
        <v>95</v>
      </c>
      <c r="J15" s="327"/>
      <c r="K15" s="330"/>
    </row>
    <row r="16" spans="2:19">
      <c r="B16" s="329"/>
      <c r="C16" s="327"/>
      <c r="D16" s="134"/>
      <c r="E16" s="367"/>
      <c r="F16" s="152"/>
      <c r="G16" s="160"/>
      <c r="H16" s="134">
        <v>31</v>
      </c>
      <c r="I16" s="330" t="s">
        <v>97</v>
      </c>
      <c r="J16" s="327"/>
      <c r="K16" s="330"/>
    </row>
    <row r="17" spans="2:11">
      <c r="B17" s="140"/>
      <c r="D17" s="389"/>
      <c r="E17" s="384"/>
      <c r="F17" s="385"/>
      <c r="G17" s="386"/>
      <c r="H17" s="387">
        <v>32</v>
      </c>
      <c r="I17" s="388" t="s">
        <v>99</v>
      </c>
      <c r="J17" s="389"/>
      <c r="K17" s="385"/>
    </row>
    <row r="18" spans="2:11">
      <c r="B18" s="140"/>
      <c r="D18" s="854" t="s">
        <v>413</v>
      </c>
      <c r="E18" s="855" t="s">
        <v>378</v>
      </c>
      <c r="F18" s="854"/>
      <c r="G18" s="856"/>
      <c r="H18" s="857"/>
      <c r="I18" s="850"/>
      <c r="J18" s="858" t="s">
        <v>415</v>
      </c>
      <c r="K18" s="859"/>
    </row>
    <row r="19" spans="2:11">
      <c r="B19" s="140"/>
      <c r="D19" s="860"/>
      <c r="E19" s="861" t="s">
        <v>369</v>
      </c>
      <c r="F19" s="854" t="s">
        <v>368</v>
      </c>
      <c r="G19" s="856" t="s">
        <v>377</v>
      </c>
      <c r="H19" s="857"/>
      <c r="I19" s="850"/>
      <c r="J19" s="856" t="s">
        <v>414</v>
      </c>
      <c r="K19" s="850" t="s">
        <v>420</v>
      </c>
    </row>
    <row r="20" spans="2:11">
      <c r="B20" s="140"/>
      <c r="D20" s="862"/>
      <c r="E20" s="855" t="s">
        <v>370</v>
      </c>
      <c r="F20" s="863" t="s">
        <v>371</v>
      </c>
      <c r="G20" s="856"/>
      <c r="H20" s="857">
        <v>12</v>
      </c>
      <c r="I20" s="864" t="s">
        <v>82</v>
      </c>
      <c r="J20" s="856" t="s">
        <v>411</v>
      </c>
      <c r="K20" s="850" t="s">
        <v>1247</v>
      </c>
    </row>
    <row r="21" spans="2:11">
      <c r="B21" s="140"/>
      <c r="D21" s="860"/>
      <c r="E21" s="855"/>
      <c r="F21" s="863" t="s">
        <v>372</v>
      </c>
      <c r="G21" s="856"/>
      <c r="H21" s="857">
        <v>13</v>
      </c>
      <c r="I21" s="864" t="s">
        <v>87</v>
      </c>
      <c r="J21" s="865"/>
      <c r="K21" s="866"/>
    </row>
    <row r="22" spans="2:11">
      <c r="B22" s="140"/>
      <c r="D22" s="860"/>
      <c r="E22" s="855"/>
      <c r="F22" s="863" t="s">
        <v>373</v>
      </c>
      <c r="G22" s="856"/>
      <c r="H22" s="857">
        <v>21</v>
      </c>
      <c r="I22" s="864" t="s">
        <v>90</v>
      </c>
      <c r="J22" s="865"/>
      <c r="K22" s="866"/>
    </row>
    <row r="23" spans="2:11">
      <c r="B23" s="140"/>
      <c r="D23" s="860"/>
      <c r="E23" s="855"/>
      <c r="F23" s="863" t="s">
        <v>374</v>
      </c>
      <c r="G23" s="856"/>
      <c r="H23" s="857">
        <v>23</v>
      </c>
      <c r="I23" s="864" t="s">
        <v>95</v>
      </c>
      <c r="J23" s="865"/>
      <c r="K23" s="866"/>
    </row>
    <row r="24" spans="2:11">
      <c r="B24" s="140"/>
      <c r="D24" s="860"/>
      <c r="E24" s="855"/>
      <c r="F24" s="863" t="s">
        <v>375</v>
      </c>
      <c r="G24" s="856"/>
      <c r="H24" s="857">
        <v>31</v>
      </c>
      <c r="I24" s="864" t="s">
        <v>97</v>
      </c>
      <c r="J24" s="865"/>
      <c r="K24" s="866"/>
    </row>
    <row r="25" spans="2:11">
      <c r="B25" s="140"/>
      <c r="D25" s="860"/>
      <c r="E25" s="855"/>
      <c r="F25" s="863" t="s">
        <v>376</v>
      </c>
      <c r="G25" s="856"/>
      <c r="H25" s="857">
        <v>32</v>
      </c>
      <c r="I25" s="864" t="s">
        <v>99</v>
      </c>
      <c r="J25" s="865"/>
      <c r="K25" s="866"/>
    </row>
    <row r="26" spans="2:11">
      <c r="B26" s="141"/>
      <c r="C26" s="143"/>
      <c r="D26" s="867"/>
      <c r="E26" s="868"/>
      <c r="F26" s="869"/>
      <c r="G26" s="870"/>
      <c r="H26" s="871"/>
      <c r="I26" s="872"/>
      <c r="J26" s="873"/>
      <c r="K26" s="874"/>
    </row>
    <row r="27" spans="2:11">
      <c r="B27" s="341">
        <v>20</v>
      </c>
      <c r="C27" s="342" t="s">
        <v>137</v>
      </c>
      <c r="D27" s="342" t="s">
        <v>381</v>
      </c>
      <c r="E27" s="371"/>
      <c r="F27" s="328"/>
      <c r="G27" s="138" t="s">
        <v>412</v>
      </c>
      <c r="H27" s="139"/>
      <c r="I27" s="334"/>
      <c r="J27" s="138"/>
      <c r="K27" s="328"/>
    </row>
    <row r="28" spans="2:11">
      <c r="B28" s="140"/>
      <c r="E28" s="366"/>
      <c r="F28" s="330"/>
      <c r="G28" s="140"/>
      <c r="H28" s="134">
        <v>11</v>
      </c>
      <c r="I28" s="330" t="s">
        <v>53</v>
      </c>
      <c r="J28" s="160" t="s">
        <v>419</v>
      </c>
      <c r="K28" s="330"/>
    </row>
    <row r="29" spans="2:11">
      <c r="B29" s="140"/>
      <c r="E29" s="364"/>
      <c r="F29" s="331"/>
      <c r="G29" s="140"/>
      <c r="H29" s="134">
        <v>22</v>
      </c>
      <c r="I29" s="330" t="s">
        <v>93</v>
      </c>
      <c r="J29" s="140"/>
      <c r="K29" s="331"/>
    </row>
    <row r="30" spans="2:11">
      <c r="B30" s="141"/>
      <c r="C30" s="143"/>
      <c r="D30" s="143"/>
      <c r="E30" s="365"/>
      <c r="F30" s="333"/>
      <c r="G30" s="141"/>
      <c r="H30" s="142"/>
      <c r="I30" s="143"/>
      <c r="J30" s="141"/>
      <c r="K30" s="333"/>
    </row>
    <row r="31" spans="2:11">
      <c r="B31" s="341">
        <v>21</v>
      </c>
      <c r="C31" s="342" t="s">
        <v>52</v>
      </c>
      <c r="D31" s="342" t="s">
        <v>381</v>
      </c>
      <c r="E31" s="371"/>
      <c r="F31" s="328"/>
      <c r="G31" s="138" t="s">
        <v>412</v>
      </c>
      <c r="H31" s="139"/>
      <c r="I31" s="334"/>
      <c r="J31" s="138"/>
      <c r="K31" s="328"/>
    </row>
    <row r="32" spans="2:11">
      <c r="B32" s="140"/>
      <c r="E32" s="366"/>
      <c r="F32" s="330"/>
      <c r="G32" s="140"/>
      <c r="H32" s="134">
        <v>11</v>
      </c>
      <c r="I32" s="330" t="s">
        <v>53</v>
      </c>
      <c r="J32" s="160" t="s">
        <v>419</v>
      </c>
      <c r="K32" s="330"/>
    </row>
    <row r="33" spans="2:15">
      <c r="B33" s="329"/>
      <c r="C33" s="327"/>
      <c r="D33" s="327"/>
      <c r="E33" s="366"/>
      <c r="F33" s="330"/>
      <c r="G33" s="140"/>
      <c r="H33" s="134">
        <v>22</v>
      </c>
      <c r="I33" s="330" t="s">
        <v>93</v>
      </c>
      <c r="J33" s="160"/>
      <c r="K33" s="330"/>
    </row>
    <row r="34" spans="2:15">
      <c r="B34" s="329"/>
      <c r="C34" s="327"/>
      <c r="D34" s="401"/>
      <c r="E34" s="402"/>
      <c r="F34" s="401"/>
      <c r="G34" s="386"/>
      <c r="H34" s="387"/>
      <c r="I34" s="388"/>
      <c r="J34" s="391"/>
      <c r="K34" s="388"/>
    </row>
    <row r="35" spans="2:15">
      <c r="B35" s="329"/>
      <c r="C35" s="327"/>
      <c r="D35" s="349" t="s">
        <v>413</v>
      </c>
      <c r="E35" s="369" t="s">
        <v>378</v>
      </c>
      <c r="F35" s="349"/>
      <c r="G35" s="350"/>
      <c r="H35" s="352"/>
      <c r="I35" s="351"/>
      <c r="J35" s="350" t="s">
        <v>415</v>
      </c>
      <c r="K35" s="351"/>
    </row>
    <row r="36" spans="2:15">
      <c r="B36" s="329"/>
      <c r="C36" s="327"/>
      <c r="E36" s="368" t="s">
        <v>369</v>
      </c>
      <c r="F36" s="353" t="s">
        <v>368</v>
      </c>
      <c r="G36" s="350" t="s">
        <v>377</v>
      </c>
      <c r="H36" s="352"/>
      <c r="I36" s="353"/>
      <c r="J36" s="350" t="s">
        <v>414</v>
      </c>
      <c r="K36" s="351" t="s">
        <v>420</v>
      </c>
    </row>
    <row r="37" spans="2:15">
      <c r="B37" s="329"/>
      <c r="C37" s="327"/>
      <c r="E37" s="369" t="s">
        <v>370</v>
      </c>
      <c r="F37" s="351" t="s">
        <v>382</v>
      </c>
      <c r="G37" s="350"/>
      <c r="H37" s="352">
        <v>11</v>
      </c>
      <c r="I37" s="353" t="s">
        <v>53</v>
      </c>
      <c r="J37" s="350" t="s">
        <v>411</v>
      </c>
      <c r="K37" s="351" t="s">
        <v>1247</v>
      </c>
      <c r="L37" s="327"/>
      <c r="M37" s="327"/>
      <c r="N37" s="327"/>
      <c r="O37" s="327"/>
    </row>
    <row r="38" spans="2:15">
      <c r="B38" s="329"/>
      <c r="C38" s="327"/>
      <c r="E38" s="369"/>
      <c r="F38" s="351" t="s">
        <v>383</v>
      </c>
      <c r="G38" s="350"/>
      <c r="H38" s="352">
        <v>22</v>
      </c>
      <c r="I38" s="353" t="s">
        <v>93</v>
      </c>
      <c r="J38" s="160"/>
      <c r="K38" s="330"/>
      <c r="L38" s="327"/>
      <c r="M38" s="327"/>
      <c r="N38" s="327"/>
      <c r="O38" s="327"/>
    </row>
    <row r="39" spans="2:15">
      <c r="B39" s="329"/>
      <c r="C39" s="327"/>
      <c r="D39" s="332"/>
      <c r="E39" s="372"/>
      <c r="F39" s="356"/>
      <c r="G39" s="354"/>
      <c r="H39" s="357"/>
      <c r="I39" s="356"/>
      <c r="J39" s="390"/>
      <c r="K39" s="348"/>
      <c r="L39" s="327"/>
      <c r="M39" s="327"/>
      <c r="N39" s="327"/>
      <c r="O39" s="327"/>
    </row>
    <row r="40" spans="2:15">
      <c r="B40" s="341">
        <v>30</v>
      </c>
      <c r="C40" s="342" t="s">
        <v>118</v>
      </c>
      <c r="D40" s="358" t="s">
        <v>413</v>
      </c>
      <c r="E40" s="373" t="s">
        <v>388</v>
      </c>
      <c r="F40" s="360"/>
      <c r="G40" s="359" t="s">
        <v>377</v>
      </c>
      <c r="H40" s="361"/>
      <c r="I40" s="362"/>
      <c r="J40" s="350" t="s">
        <v>415</v>
      </c>
      <c r="K40" s="351"/>
      <c r="L40" s="327"/>
      <c r="M40" s="327"/>
      <c r="N40" s="327"/>
      <c r="O40" s="327"/>
    </row>
    <row r="41" spans="2:15">
      <c r="B41" s="329"/>
      <c r="C41" s="327"/>
      <c r="D41" s="327"/>
      <c r="E41" s="368" t="s">
        <v>369</v>
      </c>
      <c r="F41" s="353" t="s">
        <v>368</v>
      </c>
      <c r="G41" s="350"/>
      <c r="H41" s="352"/>
      <c r="I41" s="353"/>
      <c r="J41" s="350" t="s">
        <v>414</v>
      </c>
      <c r="K41" s="351" t="s">
        <v>420</v>
      </c>
      <c r="L41" s="327"/>
      <c r="M41" s="327"/>
      <c r="N41" s="327"/>
      <c r="O41" s="327"/>
    </row>
    <row r="42" spans="2:15">
      <c r="B42" s="329"/>
      <c r="C42" s="327"/>
      <c r="D42" s="327"/>
      <c r="E42" s="369" t="s">
        <v>370</v>
      </c>
      <c r="F42" s="351" t="s">
        <v>384</v>
      </c>
      <c r="G42" s="350"/>
      <c r="H42" s="352">
        <v>51</v>
      </c>
      <c r="I42" s="353" t="s">
        <v>119</v>
      </c>
      <c r="J42" s="350" t="s">
        <v>411</v>
      </c>
      <c r="K42" s="351" t="s">
        <v>1247</v>
      </c>
      <c r="L42" s="327"/>
      <c r="M42" s="327"/>
      <c r="N42" s="327"/>
      <c r="O42" s="327"/>
    </row>
    <row r="43" spans="2:15">
      <c r="B43" s="329"/>
      <c r="C43" s="327"/>
      <c r="D43" s="327"/>
      <c r="E43" s="369"/>
      <c r="F43" s="351" t="s">
        <v>385</v>
      </c>
      <c r="G43" s="350"/>
      <c r="H43" s="352">
        <v>52</v>
      </c>
      <c r="I43" s="353" t="s">
        <v>123</v>
      </c>
      <c r="J43" s="160"/>
      <c r="K43" s="330"/>
      <c r="L43" s="327"/>
      <c r="M43" s="327"/>
      <c r="N43" s="327"/>
      <c r="O43" s="327"/>
    </row>
    <row r="44" spans="2:15">
      <c r="B44" s="329"/>
      <c r="C44" s="327"/>
      <c r="D44" s="327"/>
      <c r="E44" s="369"/>
      <c r="F44" s="351" t="s">
        <v>386</v>
      </c>
      <c r="G44" s="350"/>
      <c r="H44" s="352">
        <v>62</v>
      </c>
      <c r="I44" s="353" t="s">
        <v>134</v>
      </c>
      <c r="J44" s="160"/>
      <c r="K44" s="330"/>
      <c r="L44" s="327"/>
      <c r="M44" s="327"/>
      <c r="N44" s="327"/>
      <c r="O44" s="327"/>
    </row>
    <row r="45" spans="2:15">
      <c r="B45" s="329"/>
      <c r="C45" s="327"/>
      <c r="D45" s="327"/>
      <c r="E45" s="369"/>
      <c r="F45" s="351" t="s">
        <v>387</v>
      </c>
      <c r="G45" s="350"/>
      <c r="H45" s="352">
        <v>71</v>
      </c>
      <c r="I45" s="353" t="s">
        <v>127</v>
      </c>
      <c r="J45" s="160"/>
      <c r="K45" s="330"/>
      <c r="L45" s="327"/>
      <c r="M45" s="327"/>
      <c r="N45" s="327"/>
      <c r="O45" s="327"/>
    </row>
    <row r="46" spans="2:15">
      <c r="B46" s="329"/>
      <c r="C46" s="327"/>
      <c r="D46" s="327"/>
      <c r="E46" s="369"/>
      <c r="F46" s="351" t="s">
        <v>395</v>
      </c>
      <c r="G46" s="350"/>
      <c r="H46" s="352" t="s">
        <v>396</v>
      </c>
      <c r="I46" s="353" t="s">
        <v>133</v>
      </c>
      <c r="J46" s="160"/>
      <c r="K46" s="330"/>
      <c r="L46" s="327"/>
      <c r="M46" s="327"/>
      <c r="N46" s="327"/>
      <c r="O46" s="327"/>
    </row>
    <row r="47" spans="2:15">
      <c r="B47" s="329"/>
      <c r="C47" s="327"/>
      <c r="D47" s="401"/>
      <c r="E47" s="379"/>
      <c r="F47" s="380"/>
      <c r="G47" s="381"/>
      <c r="H47" s="382"/>
      <c r="I47" s="380"/>
      <c r="J47" s="391"/>
      <c r="K47" s="388"/>
      <c r="L47" s="327"/>
      <c r="M47" s="327"/>
      <c r="N47" s="327"/>
      <c r="O47" s="327"/>
    </row>
    <row r="48" spans="2:15">
      <c r="B48" s="329"/>
      <c r="C48" s="327"/>
      <c r="D48" s="349" t="s">
        <v>416</v>
      </c>
      <c r="E48" s="369"/>
      <c r="F48" s="351"/>
      <c r="G48" s="350" t="s">
        <v>377</v>
      </c>
      <c r="H48" s="352"/>
      <c r="I48" s="353"/>
      <c r="J48" s="877" t="s">
        <v>417</v>
      </c>
      <c r="K48" s="351"/>
      <c r="L48" s="327"/>
      <c r="M48" s="327"/>
      <c r="N48" s="327"/>
      <c r="O48" s="327"/>
    </row>
    <row r="49" spans="2:15">
      <c r="B49" s="329"/>
      <c r="C49" s="327"/>
      <c r="D49" s="327"/>
      <c r="E49" s="368" t="s">
        <v>369</v>
      </c>
      <c r="F49" s="353" t="s">
        <v>390</v>
      </c>
      <c r="G49" s="350"/>
      <c r="H49" s="352"/>
      <c r="I49" s="351"/>
      <c r="J49" s="877"/>
      <c r="K49" s="351" t="s">
        <v>1247</v>
      </c>
      <c r="L49" s="327"/>
      <c r="M49" s="327"/>
      <c r="N49" s="327"/>
      <c r="O49" s="327"/>
    </row>
    <row r="50" spans="2:15">
      <c r="B50" s="329"/>
      <c r="C50" s="327"/>
      <c r="D50" s="327"/>
      <c r="E50" s="369" t="s">
        <v>370</v>
      </c>
      <c r="F50" s="876" t="s">
        <v>391</v>
      </c>
      <c r="G50" s="350"/>
      <c r="H50" s="352">
        <v>63</v>
      </c>
      <c r="I50" s="353" t="s">
        <v>184</v>
      </c>
      <c r="K50" s="330"/>
      <c r="L50" s="327"/>
      <c r="M50" s="327"/>
      <c r="N50" s="327"/>
      <c r="O50" s="327"/>
    </row>
    <row r="51" spans="2:15">
      <c r="B51" s="329"/>
      <c r="C51" s="327"/>
      <c r="D51" s="327"/>
      <c r="E51" s="369"/>
      <c r="F51" s="876" t="s">
        <v>392</v>
      </c>
      <c r="G51" s="350"/>
      <c r="H51" s="352">
        <v>81</v>
      </c>
      <c r="I51" s="353" t="s">
        <v>189</v>
      </c>
      <c r="J51" s="140"/>
      <c r="K51" s="330"/>
      <c r="L51" s="327"/>
      <c r="M51" s="327"/>
      <c r="N51" s="327"/>
      <c r="O51" s="327"/>
    </row>
    <row r="52" spans="2:15">
      <c r="B52" s="329"/>
      <c r="C52" s="327"/>
      <c r="D52" s="327"/>
      <c r="E52" s="369"/>
      <c r="F52" s="876" t="s">
        <v>393</v>
      </c>
      <c r="G52" s="350"/>
      <c r="H52" s="352">
        <v>91</v>
      </c>
      <c r="I52" s="353" t="s">
        <v>192</v>
      </c>
      <c r="K52" s="330"/>
      <c r="L52" s="327"/>
      <c r="M52" s="327"/>
      <c r="N52" s="327"/>
      <c r="O52" s="327"/>
    </row>
    <row r="53" spans="2:15">
      <c r="B53" s="329"/>
      <c r="C53" s="327"/>
      <c r="D53" s="327"/>
      <c r="E53" s="369"/>
      <c r="F53" s="876" t="s">
        <v>394</v>
      </c>
      <c r="G53" s="350"/>
      <c r="H53" s="352">
        <v>92</v>
      </c>
      <c r="I53" s="353" t="s">
        <v>194</v>
      </c>
      <c r="K53" s="330"/>
      <c r="L53" s="327"/>
      <c r="M53" s="327"/>
      <c r="N53" s="327"/>
      <c r="O53" s="327"/>
    </row>
    <row r="54" spans="2:15">
      <c r="B54" s="329"/>
      <c r="C54" s="327"/>
      <c r="D54" s="830"/>
      <c r="E54" s="831" t="s">
        <v>379</v>
      </c>
      <c r="F54" s="832" t="s">
        <v>380</v>
      </c>
      <c r="G54" s="833"/>
      <c r="H54" s="834"/>
      <c r="I54" s="835"/>
      <c r="J54" s="836"/>
      <c r="K54" s="837"/>
      <c r="L54" s="327"/>
      <c r="M54" s="327"/>
      <c r="N54" s="327"/>
      <c r="O54" s="327"/>
    </row>
    <row r="55" spans="2:15">
      <c r="B55" s="329"/>
      <c r="C55" s="327"/>
      <c r="D55" s="838" t="s">
        <v>1249</v>
      </c>
      <c r="E55" s="839"/>
      <c r="F55" s="840"/>
      <c r="G55" s="841"/>
      <c r="H55" s="842"/>
      <c r="I55" s="843"/>
      <c r="J55" s="844"/>
      <c r="K55" s="843"/>
      <c r="L55" s="327"/>
      <c r="M55" s="327"/>
      <c r="N55" s="327"/>
      <c r="O55" s="327"/>
    </row>
    <row r="56" spans="2:15">
      <c r="B56" s="329"/>
      <c r="C56" s="327"/>
      <c r="D56" s="327"/>
      <c r="E56" s="839"/>
      <c r="F56" s="840"/>
      <c r="G56" s="841"/>
      <c r="H56" s="842"/>
      <c r="I56" s="843"/>
      <c r="J56" s="844"/>
      <c r="K56" s="840" t="s">
        <v>1248</v>
      </c>
      <c r="L56" s="327"/>
      <c r="M56" s="327"/>
      <c r="N56" s="327"/>
      <c r="O56" s="327"/>
    </row>
    <row r="57" spans="2:15">
      <c r="B57" s="329"/>
      <c r="C57" s="327"/>
      <c r="D57" s="327"/>
      <c r="E57" s="839"/>
      <c r="F57" s="840"/>
      <c r="G57" s="841"/>
      <c r="H57" s="842"/>
      <c r="I57" s="843"/>
      <c r="J57" s="160"/>
      <c r="K57" s="853" t="s">
        <v>1256</v>
      </c>
      <c r="L57" s="327"/>
      <c r="M57" s="327"/>
      <c r="N57" s="327"/>
      <c r="O57" s="327"/>
    </row>
    <row r="58" spans="2:15">
      <c r="B58" s="329"/>
      <c r="C58" s="327"/>
      <c r="D58" s="327"/>
      <c r="E58" s="839"/>
      <c r="F58" s="840"/>
      <c r="G58" s="841"/>
      <c r="H58" s="842"/>
      <c r="I58" s="843"/>
      <c r="J58" s="160"/>
      <c r="K58" s="330"/>
      <c r="L58" s="327"/>
      <c r="M58" s="327"/>
      <c r="N58" s="327"/>
      <c r="O58" s="327"/>
    </row>
    <row r="59" spans="2:15">
      <c r="B59" s="329"/>
      <c r="C59" s="327"/>
      <c r="D59" s="332"/>
      <c r="E59" s="845"/>
      <c r="F59" s="846"/>
      <c r="G59" s="847"/>
      <c r="H59" s="848"/>
      <c r="I59" s="849"/>
      <c r="J59" s="390"/>
      <c r="K59" s="348"/>
      <c r="L59" s="327"/>
      <c r="M59" s="327"/>
      <c r="N59" s="327"/>
      <c r="O59" s="327"/>
    </row>
    <row r="60" spans="2:15">
      <c r="B60" s="341">
        <v>40</v>
      </c>
      <c r="C60" s="342" t="s">
        <v>101</v>
      </c>
      <c r="D60" s="838" t="s">
        <v>1251</v>
      </c>
      <c r="E60" s="839"/>
      <c r="F60" s="840"/>
      <c r="G60" s="841" t="s">
        <v>1253</v>
      </c>
      <c r="H60" s="842"/>
      <c r="I60" s="843"/>
      <c r="J60" s="844"/>
      <c r="K60" s="843"/>
      <c r="L60" s="327"/>
      <c r="M60" s="327"/>
      <c r="N60" s="327"/>
      <c r="O60" s="327"/>
    </row>
    <row r="61" spans="2:15">
      <c r="B61" s="329"/>
      <c r="C61" s="327"/>
      <c r="D61" s="838" t="s">
        <v>1252</v>
      </c>
      <c r="E61" s="839"/>
      <c r="F61" s="840"/>
      <c r="G61" s="841"/>
      <c r="H61" s="842">
        <v>43</v>
      </c>
      <c r="I61" s="843" t="s">
        <v>1254</v>
      </c>
      <c r="J61" s="844"/>
      <c r="K61" s="843" t="s">
        <v>1250</v>
      </c>
      <c r="L61" s="327"/>
      <c r="M61" s="327"/>
      <c r="N61" s="327"/>
      <c r="O61" s="327"/>
    </row>
    <row r="62" spans="2:15">
      <c r="B62" s="329"/>
      <c r="C62" s="327"/>
      <c r="D62" s="327"/>
      <c r="E62" s="839"/>
      <c r="F62" s="840"/>
      <c r="G62" s="841" t="s">
        <v>1255</v>
      </c>
      <c r="H62" s="842"/>
      <c r="I62" s="843"/>
      <c r="J62" s="160"/>
      <c r="K62" s="330"/>
      <c r="L62" s="327"/>
      <c r="M62" s="327"/>
      <c r="N62" s="327"/>
      <c r="O62" s="327"/>
    </row>
    <row r="63" spans="2:15">
      <c r="B63" s="329"/>
      <c r="C63" s="327"/>
      <c r="D63" s="327"/>
      <c r="E63" s="839"/>
      <c r="F63" s="840"/>
      <c r="G63" s="841"/>
      <c r="H63" s="842">
        <v>33</v>
      </c>
      <c r="I63" s="843" t="s">
        <v>102</v>
      </c>
      <c r="J63" s="160"/>
      <c r="K63" s="330"/>
      <c r="L63" s="327"/>
      <c r="M63" s="327"/>
      <c r="N63" s="327"/>
      <c r="O63" s="327"/>
    </row>
    <row r="64" spans="2:15">
      <c r="B64" s="329"/>
      <c r="C64" s="327"/>
      <c r="D64" s="327"/>
      <c r="E64" s="839"/>
      <c r="F64" s="840"/>
      <c r="G64" s="841"/>
      <c r="H64" s="842"/>
      <c r="I64" s="843"/>
      <c r="J64" s="160"/>
      <c r="K64" s="330"/>
      <c r="L64" s="327"/>
      <c r="M64" s="327"/>
      <c r="N64" s="327"/>
      <c r="O64" s="327"/>
    </row>
    <row r="65" spans="2:19">
      <c r="B65" s="329"/>
      <c r="C65" s="327"/>
      <c r="D65" s="358" t="s">
        <v>397</v>
      </c>
      <c r="E65" s="373" t="s">
        <v>388</v>
      </c>
      <c r="F65" s="360"/>
      <c r="G65" s="359" t="s">
        <v>377</v>
      </c>
      <c r="H65" s="361"/>
      <c r="I65" s="362"/>
      <c r="J65" s="359" t="s">
        <v>415</v>
      </c>
      <c r="K65" s="328"/>
      <c r="L65" s="327"/>
      <c r="M65" s="327"/>
      <c r="N65" s="327"/>
      <c r="O65" s="327"/>
    </row>
    <row r="66" spans="2:19">
      <c r="B66" s="329"/>
      <c r="C66" s="327"/>
      <c r="D66" s="327"/>
      <c r="E66" s="368" t="s">
        <v>369</v>
      </c>
      <c r="F66" s="351" t="s">
        <v>399</v>
      </c>
      <c r="G66" s="350"/>
      <c r="H66" s="352"/>
      <c r="I66" s="353"/>
      <c r="J66" s="350" t="s">
        <v>414</v>
      </c>
      <c r="K66" s="851" t="s">
        <v>420</v>
      </c>
      <c r="L66" s="327"/>
      <c r="M66" s="327"/>
      <c r="N66" s="327"/>
      <c r="O66" s="327"/>
    </row>
    <row r="67" spans="2:19">
      <c r="B67" s="329"/>
      <c r="C67" s="327"/>
      <c r="D67" s="327"/>
      <c r="E67" s="369" t="s">
        <v>370</v>
      </c>
      <c r="F67" s="351" t="s">
        <v>400</v>
      </c>
      <c r="G67" s="350"/>
      <c r="H67" s="352">
        <v>33</v>
      </c>
      <c r="I67" s="353" t="s">
        <v>102</v>
      </c>
      <c r="J67" s="350" t="s">
        <v>411</v>
      </c>
      <c r="K67" s="351" t="s">
        <v>1247</v>
      </c>
      <c r="L67" s="327"/>
      <c r="M67" s="327"/>
      <c r="N67" s="327"/>
      <c r="O67" s="327"/>
    </row>
    <row r="68" spans="2:19">
      <c r="B68" s="329"/>
      <c r="C68" s="327"/>
      <c r="D68" s="327"/>
      <c r="E68" s="369"/>
      <c r="F68" s="351" t="s">
        <v>401</v>
      </c>
      <c r="G68" s="350"/>
      <c r="H68" s="352">
        <v>41</v>
      </c>
      <c r="I68" s="353" t="s">
        <v>110</v>
      </c>
      <c r="J68" s="140"/>
      <c r="K68" s="331"/>
      <c r="L68" s="327"/>
      <c r="M68" s="327"/>
      <c r="N68" s="327"/>
      <c r="O68" s="327"/>
    </row>
    <row r="69" spans="2:19">
      <c r="B69" s="329"/>
      <c r="C69" s="327"/>
      <c r="D69" s="327"/>
      <c r="E69" s="369"/>
      <c r="F69" s="351" t="s">
        <v>402</v>
      </c>
      <c r="G69" s="350"/>
      <c r="H69" s="352">
        <v>42</v>
      </c>
      <c r="I69" s="353" t="s">
        <v>114</v>
      </c>
      <c r="J69" s="140"/>
      <c r="K69" s="331"/>
      <c r="L69" s="327"/>
      <c r="M69" s="327"/>
      <c r="N69" s="327"/>
      <c r="O69" s="327"/>
      <c r="R69" s="327"/>
      <c r="S69" s="327"/>
    </row>
    <row r="70" spans="2:19">
      <c r="B70" s="329"/>
      <c r="C70" s="327"/>
      <c r="D70" s="327"/>
      <c r="E70" s="374" t="s">
        <v>389</v>
      </c>
      <c r="F70" s="375"/>
      <c r="G70" s="376"/>
      <c r="H70" s="377"/>
      <c r="I70" s="378"/>
      <c r="J70" s="376" t="s">
        <v>415</v>
      </c>
      <c r="K70" s="403"/>
      <c r="L70" s="327"/>
      <c r="M70" s="327"/>
      <c r="N70" s="327"/>
      <c r="O70" s="327"/>
      <c r="R70" s="327"/>
      <c r="S70" s="327"/>
    </row>
    <row r="71" spans="2:19">
      <c r="B71" s="329"/>
      <c r="C71" s="327"/>
      <c r="D71" s="327"/>
      <c r="E71" s="368" t="s">
        <v>369</v>
      </c>
      <c r="F71" s="351" t="s">
        <v>403</v>
      </c>
      <c r="G71" s="350" t="s">
        <v>377</v>
      </c>
      <c r="H71" s="352"/>
      <c r="I71" s="353"/>
      <c r="J71" s="350" t="s">
        <v>414</v>
      </c>
      <c r="K71" s="851" t="s">
        <v>420</v>
      </c>
      <c r="L71" s="327"/>
      <c r="M71" s="327"/>
      <c r="N71" s="327"/>
      <c r="O71" s="327"/>
      <c r="R71" s="327"/>
      <c r="S71" s="327"/>
    </row>
    <row r="72" spans="2:19">
      <c r="B72" s="329"/>
      <c r="C72" s="327"/>
      <c r="D72" s="327"/>
      <c r="E72" s="369" t="s">
        <v>370</v>
      </c>
      <c r="F72" s="351" t="s">
        <v>404</v>
      </c>
      <c r="G72" s="350"/>
      <c r="H72" s="352">
        <v>33</v>
      </c>
      <c r="I72" s="353" t="s">
        <v>102</v>
      </c>
      <c r="J72" s="350" t="s">
        <v>411</v>
      </c>
      <c r="K72" s="351" t="s">
        <v>1247</v>
      </c>
    </row>
    <row r="73" spans="2:19">
      <c r="B73" s="329"/>
      <c r="C73" s="327"/>
      <c r="D73" s="327"/>
      <c r="E73" s="379"/>
      <c r="F73" s="380" t="s">
        <v>418</v>
      </c>
      <c r="G73" s="381"/>
      <c r="H73" s="382">
        <v>42</v>
      </c>
      <c r="I73" s="383" t="s">
        <v>114</v>
      </c>
      <c r="J73" s="386"/>
      <c r="K73" s="388"/>
    </row>
    <row r="74" spans="2:19">
      <c r="B74" s="329"/>
      <c r="C74" s="327"/>
      <c r="D74" s="327"/>
      <c r="E74" s="369" t="s">
        <v>405</v>
      </c>
      <c r="F74" s="351"/>
      <c r="G74" s="350"/>
      <c r="H74" s="352"/>
      <c r="I74" s="353"/>
      <c r="J74" s="350" t="s">
        <v>415</v>
      </c>
      <c r="K74" s="331"/>
    </row>
    <row r="75" spans="2:19">
      <c r="B75" s="140"/>
      <c r="D75" s="327"/>
      <c r="E75" s="368" t="s">
        <v>369</v>
      </c>
      <c r="F75" s="351" t="s">
        <v>406</v>
      </c>
      <c r="G75" s="350" t="s">
        <v>377</v>
      </c>
      <c r="H75" s="352"/>
      <c r="I75" s="353"/>
      <c r="J75" s="350" t="s">
        <v>414</v>
      </c>
      <c r="K75" s="851" t="s">
        <v>420</v>
      </c>
    </row>
    <row r="76" spans="2:19">
      <c r="B76" s="140"/>
      <c r="D76" s="327"/>
      <c r="E76" s="369" t="s">
        <v>370</v>
      </c>
      <c r="F76" s="351" t="s">
        <v>410</v>
      </c>
      <c r="G76" s="350"/>
      <c r="H76" s="352">
        <v>33</v>
      </c>
      <c r="I76" s="353" t="s">
        <v>102</v>
      </c>
      <c r="J76" s="350" t="s">
        <v>411</v>
      </c>
      <c r="K76" s="351" t="s">
        <v>1247</v>
      </c>
    </row>
    <row r="77" spans="2:19">
      <c r="B77" s="140"/>
      <c r="D77" s="327"/>
      <c r="E77" s="369"/>
      <c r="F77" s="351" t="s">
        <v>407</v>
      </c>
      <c r="G77" s="350"/>
      <c r="H77" s="352">
        <v>41</v>
      </c>
      <c r="I77" s="353" t="s">
        <v>110</v>
      </c>
      <c r="J77" s="140"/>
      <c r="K77" s="330"/>
    </row>
    <row r="78" spans="2:19">
      <c r="B78" s="140"/>
      <c r="D78" s="327"/>
      <c r="E78" s="369"/>
      <c r="F78" s="351" t="s">
        <v>408</v>
      </c>
      <c r="G78" s="350"/>
      <c r="H78" s="352">
        <v>41</v>
      </c>
      <c r="I78" s="353" t="s">
        <v>110</v>
      </c>
      <c r="J78" s="140"/>
      <c r="K78" s="330"/>
    </row>
    <row r="79" spans="2:19">
      <c r="B79" s="141"/>
      <c r="C79" s="143"/>
      <c r="D79" s="332"/>
      <c r="E79" s="370"/>
      <c r="F79" s="355" t="s">
        <v>409</v>
      </c>
      <c r="G79" s="354"/>
      <c r="H79" s="357">
        <v>42</v>
      </c>
      <c r="I79" s="356" t="s">
        <v>114</v>
      </c>
      <c r="J79" s="141"/>
      <c r="K79" s="348"/>
    </row>
    <row r="83" spans="5:15">
      <c r="L83" s="327"/>
      <c r="M83" s="327"/>
      <c r="O83" s="327"/>
    </row>
    <row r="93" spans="5:15">
      <c r="E93" s="134"/>
      <c r="F93" s="327"/>
      <c r="G93" s="327"/>
      <c r="K93" s="134"/>
    </row>
  </sheetData>
  <mergeCells count="1">
    <mergeCell ref="J48:J49"/>
  </mergeCells>
  <phoneticPr fontId="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03C0-C91C-417E-950D-F877A2745B29}">
  <sheetPr>
    <tabColor rgb="FF0000FF"/>
  </sheetPr>
  <dimension ref="B3:C31"/>
  <sheetViews>
    <sheetView showGridLines="0" zoomScaleNormal="100" workbookViewId="0">
      <selection activeCell="E31" sqref="E31"/>
    </sheetView>
  </sheetViews>
  <sheetFormatPr defaultRowHeight="18.75"/>
  <sheetData>
    <row r="3" spans="3:3">
      <c r="C3" s="875" t="s">
        <v>1260</v>
      </c>
    </row>
    <row r="31" spans="2:2">
      <c r="B31" s="875"/>
    </row>
  </sheetData>
  <phoneticPr fontId="3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E9A9-5B55-4510-8356-6BF07D4E2606}">
  <sheetPr>
    <tabColor rgb="FF0000FF"/>
  </sheetPr>
  <dimension ref="A1:CF78"/>
  <sheetViews>
    <sheetView showGridLines="0" zoomScaleNormal="100" workbookViewId="0">
      <selection activeCell="I25" sqref="I25"/>
    </sheetView>
  </sheetViews>
  <sheetFormatPr defaultRowHeight="18.75"/>
  <cols>
    <col min="1" max="1" width="2.625" style="123" customWidth="1"/>
    <col min="2" max="2" width="6.625" style="123" customWidth="1"/>
    <col min="3" max="3" width="9" style="123"/>
    <col min="4" max="5" width="4.625" style="123" customWidth="1"/>
    <col min="6" max="6" width="9" style="123"/>
    <col min="7" max="7" width="11.75" style="123" customWidth="1"/>
    <col min="8" max="8" width="9.25" style="122" customWidth="1"/>
    <col min="9" max="11" width="9" style="123"/>
    <col min="12" max="16" width="14" style="123" customWidth="1"/>
    <col min="17" max="18" width="9" style="123"/>
    <col min="19" max="19" width="11.875" style="123" customWidth="1"/>
    <col min="20" max="21" width="9" style="123"/>
    <col min="22" max="22" width="18.375" style="123" bestFit="1" customWidth="1"/>
    <col min="23" max="70" width="9" style="123"/>
    <col min="71" max="71" width="9" style="122"/>
    <col min="72" max="16384" width="9" style="123"/>
  </cols>
  <sheetData>
    <row r="1" spans="1:84" s="404" customFormat="1" ht="16.5" thickBot="1">
      <c r="A1" s="326"/>
      <c r="E1" s="405"/>
      <c r="F1" s="406" t="s">
        <v>424</v>
      </c>
      <c r="G1" s="406" t="s">
        <v>424</v>
      </c>
      <c r="H1" s="406" t="s">
        <v>424</v>
      </c>
      <c r="I1" s="406" t="s">
        <v>424</v>
      </c>
      <c r="J1" s="406" t="s">
        <v>424</v>
      </c>
      <c r="K1" s="406" t="s">
        <v>424</v>
      </c>
      <c r="L1" s="406" t="s">
        <v>424</v>
      </c>
      <c r="M1" s="406" t="s">
        <v>424</v>
      </c>
      <c r="N1" s="406" t="s">
        <v>424</v>
      </c>
      <c r="O1" s="406" t="s">
        <v>424</v>
      </c>
      <c r="P1" s="406" t="s">
        <v>424</v>
      </c>
      <c r="Q1" s="406" t="s">
        <v>424</v>
      </c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7"/>
      <c r="AM1" s="407"/>
      <c r="AN1" s="407"/>
      <c r="AO1" s="407"/>
      <c r="AP1" s="407"/>
      <c r="AQ1" s="407"/>
      <c r="AR1" s="407"/>
      <c r="AS1" s="407"/>
      <c r="AT1" s="407"/>
      <c r="AU1" s="407"/>
      <c r="AV1" s="407"/>
      <c r="AW1" s="407"/>
      <c r="AX1" s="407"/>
      <c r="AY1" s="407"/>
      <c r="AZ1" s="407"/>
      <c r="BA1" s="407"/>
      <c r="BB1" s="407"/>
      <c r="BC1" s="407"/>
      <c r="BD1" s="407"/>
      <c r="BE1" s="407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406"/>
      <c r="BS1" s="406"/>
      <c r="BT1" s="406"/>
      <c r="BU1" s="406"/>
      <c r="BV1" s="406"/>
      <c r="BW1" s="406"/>
      <c r="BX1" s="406"/>
      <c r="BY1" s="406"/>
      <c r="BZ1" s="406"/>
      <c r="CA1" s="407"/>
      <c r="CB1" s="406"/>
      <c r="CC1" s="406"/>
      <c r="CD1" s="406"/>
      <c r="CE1" s="406"/>
      <c r="CF1" s="406"/>
    </row>
    <row r="2" spans="1:84" s="404" customFormat="1" ht="24">
      <c r="A2" s="408" t="s">
        <v>425</v>
      </c>
      <c r="C2" s="409"/>
      <c r="D2" s="409"/>
      <c r="E2" s="410" t="s">
        <v>426</v>
      </c>
      <c r="F2" s="411" t="s">
        <v>427</v>
      </c>
      <c r="G2" s="412" t="s">
        <v>428</v>
      </c>
      <c r="H2" s="412" t="s">
        <v>429</v>
      </c>
      <c r="I2" s="412" t="s">
        <v>430</v>
      </c>
      <c r="J2" s="412" t="s">
        <v>431</v>
      </c>
      <c r="K2" s="412" t="s">
        <v>432</v>
      </c>
      <c r="L2" s="412" t="s">
        <v>433</v>
      </c>
      <c r="M2" s="412" t="s">
        <v>434</v>
      </c>
      <c r="N2" s="412" t="s">
        <v>435</v>
      </c>
      <c r="O2" s="412" t="s">
        <v>436</v>
      </c>
      <c r="P2" s="412" t="s">
        <v>437</v>
      </c>
      <c r="Q2" s="412" t="s">
        <v>438</v>
      </c>
      <c r="R2" s="412" t="s">
        <v>439</v>
      </c>
      <c r="S2" s="412" t="s">
        <v>440</v>
      </c>
      <c r="T2" s="412" t="s">
        <v>441</v>
      </c>
      <c r="U2" s="412" t="s">
        <v>442</v>
      </c>
      <c r="V2" s="412" t="s">
        <v>443</v>
      </c>
      <c r="W2" s="412" t="s">
        <v>444</v>
      </c>
      <c r="X2" s="412" t="s">
        <v>445</v>
      </c>
      <c r="Y2" s="412" t="s">
        <v>446</v>
      </c>
      <c r="Z2" s="412" t="s">
        <v>447</v>
      </c>
      <c r="AA2" s="412" t="s">
        <v>448</v>
      </c>
      <c r="AB2" s="412" t="s">
        <v>449</v>
      </c>
      <c r="AC2" s="412" t="s">
        <v>450</v>
      </c>
      <c r="AD2" s="412" t="s">
        <v>451</v>
      </c>
      <c r="AE2" s="412" t="s">
        <v>452</v>
      </c>
      <c r="AF2" s="412" t="s">
        <v>453</v>
      </c>
      <c r="AG2" s="412" t="s">
        <v>454</v>
      </c>
      <c r="AH2" s="412" t="s">
        <v>455</v>
      </c>
      <c r="AI2" s="412" t="s">
        <v>456</v>
      </c>
      <c r="AJ2" s="412" t="s">
        <v>457</v>
      </c>
      <c r="AK2" s="412" t="s">
        <v>458</v>
      </c>
      <c r="AL2" s="412" t="s">
        <v>459</v>
      </c>
      <c r="AM2" s="412" t="s">
        <v>460</v>
      </c>
      <c r="AN2" s="412" t="s">
        <v>461</v>
      </c>
      <c r="AO2" s="412" t="s">
        <v>462</v>
      </c>
      <c r="AP2" s="412" t="s">
        <v>463</v>
      </c>
      <c r="AQ2" s="412" t="s">
        <v>464</v>
      </c>
      <c r="AR2" s="412" t="s">
        <v>465</v>
      </c>
      <c r="AS2" s="412" t="s">
        <v>466</v>
      </c>
      <c r="AT2" s="412" t="s">
        <v>467</v>
      </c>
      <c r="AU2" s="412" t="s">
        <v>468</v>
      </c>
      <c r="AV2" s="412" t="s">
        <v>469</v>
      </c>
      <c r="AW2" s="412" t="s">
        <v>470</v>
      </c>
      <c r="AX2" s="412" t="s">
        <v>471</v>
      </c>
      <c r="AY2" s="412" t="s">
        <v>472</v>
      </c>
      <c r="AZ2" s="412" t="s">
        <v>473</v>
      </c>
      <c r="BA2" s="412" t="s">
        <v>474</v>
      </c>
      <c r="BB2" s="412" t="s">
        <v>475</v>
      </c>
      <c r="BC2" s="412" t="s">
        <v>476</v>
      </c>
      <c r="BD2" s="412" t="s">
        <v>477</v>
      </c>
      <c r="BE2" s="412" t="s">
        <v>478</v>
      </c>
      <c r="BF2" s="412" t="s">
        <v>479</v>
      </c>
      <c r="BG2" s="412" t="s">
        <v>480</v>
      </c>
      <c r="BH2" s="412" t="s">
        <v>481</v>
      </c>
      <c r="BI2" s="412" t="s">
        <v>482</v>
      </c>
      <c r="BJ2" s="412" t="s">
        <v>483</v>
      </c>
      <c r="BK2" s="412" t="s">
        <v>484</v>
      </c>
      <c r="BL2" s="412" t="s">
        <v>485</v>
      </c>
      <c r="BM2" s="412" t="s">
        <v>486</v>
      </c>
      <c r="BN2" s="412" t="s">
        <v>487</v>
      </c>
      <c r="BO2" s="412" t="s">
        <v>488</v>
      </c>
      <c r="BP2" s="412" t="s">
        <v>489</v>
      </c>
      <c r="BQ2" s="412" t="s">
        <v>490</v>
      </c>
      <c r="BR2" s="412" t="s">
        <v>491</v>
      </c>
      <c r="BS2" s="413" t="s">
        <v>492</v>
      </c>
      <c r="BT2" s="413" t="s">
        <v>493</v>
      </c>
      <c r="BU2" s="413" t="s">
        <v>494</v>
      </c>
      <c r="BV2" s="413" t="s">
        <v>495</v>
      </c>
      <c r="BW2" s="413" t="s">
        <v>496</v>
      </c>
      <c r="BX2" s="413" t="s">
        <v>497</v>
      </c>
      <c r="BY2" s="413" t="s">
        <v>498</v>
      </c>
      <c r="BZ2" s="413" t="s">
        <v>499</v>
      </c>
      <c r="CA2" s="413" t="s">
        <v>500</v>
      </c>
      <c r="CB2" s="413" t="s">
        <v>501</v>
      </c>
      <c r="CC2" s="413" t="s">
        <v>502</v>
      </c>
      <c r="CD2" s="413" t="s">
        <v>503</v>
      </c>
      <c r="CE2" s="413" t="s">
        <v>504</v>
      </c>
      <c r="CF2" s="414" t="s">
        <v>505</v>
      </c>
    </row>
    <row r="3" spans="1:84" s="404" customFormat="1" ht="12">
      <c r="C3" s="409"/>
      <c r="D3" s="409"/>
      <c r="E3" s="410" t="s">
        <v>506</v>
      </c>
      <c r="F3" s="415" t="s">
        <v>507</v>
      </c>
      <c r="G3" s="416" t="s">
        <v>507</v>
      </c>
      <c r="H3" s="475" t="s">
        <v>507</v>
      </c>
      <c r="I3" s="416" t="s">
        <v>507</v>
      </c>
      <c r="J3" s="416" t="s">
        <v>507</v>
      </c>
      <c r="K3" s="416" t="s">
        <v>507</v>
      </c>
      <c r="L3" s="416" t="s">
        <v>507</v>
      </c>
      <c r="M3" s="416" t="s">
        <v>507</v>
      </c>
      <c r="N3" s="416" t="s">
        <v>507</v>
      </c>
      <c r="O3" s="416" t="s">
        <v>507</v>
      </c>
      <c r="P3" s="416" t="s">
        <v>507</v>
      </c>
      <c r="Q3" s="416" t="s">
        <v>507</v>
      </c>
      <c r="R3" s="416" t="s">
        <v>507</v>
      </c>
      <c r="S3" s="416" t="s">
        <v>507</v>
      </c>
      <c r="T3" s="416" t="s">
        <v>507</v>
      </c>
      <c r="U3" s="416" t="s">
        <v>507</v>
      </c>
      <c r="V3" s="416" t="s">
        <v>507</v>
      </c>
      <c r="W3" s="416" t="s">
        <v>507</v>
      </c>
      <c r="X3" s="416" t="s">
        <v>507</v>
      </c>
      <c r="Y3" s="416" t="s">
        <v>507</v>
      </c>
      <c r="Z3" s="416" t="s">
        <v>507</v>
      </c>
      <c r="AA3" s="416" t="s">
        <v>507</v>
      </c>
      <c r="AB3" s="416" t="s">
        <v>507</v>
      </c>
      <c r="AC3" s="416" t="s">
        <v>507</v>
      </c>
      <c r="AD3" s="416" t="s">
        <v>507</v>
      </c>
      <c r="AE3" s="416" t="s">
        <v>507</v>
      </c>
      <c r="AF3" s="416" t="s">
        <v>507</v>
      </c>
      <c r="AG3" s="416" t="s">
        <v>507</v>
      </c>
      <c r="AH3" s="416" t="s">
        <v>507</v>
      </c>
      <c r="AI3" s="416" t="s">
        <v>507</v>
      </c>
      <c r="AJ3" s="416" t="s">
        <v>507</v>
      </c>
      <c r="AK3" s="416" t="s">
        <v>507</v>
      </c>
      <c r="AL3" s="416" t="s">
        <v>508</v>
      </c>
      <c r="AM3" s="416" t="s">
        <v>508</v>
      </c>
      <c r="AN3" s="416" t="s">
        <v>508</v>
      </c>
      <c r="AO3" s="416" t="s">
        <v>508</v>
      </c>
      <c r="AP3" s="416" t="s">
        <v>508</v>
      </c>
      <c r="AQ3" s="416" t="s">
        <v>508</v>
      </c>
      <c r="AR3" s="416" t="s">
        <v>508</v>
      </c>
      <c r="AS3" s="416" t="s">
        <v>508</v>
      </c>
      <c r="AT3" s="416" t="s">
        <v>508</v>
      </c>
      <c r="AU3" s="416" t="s">
        <v>508</v>
      </c>
      <c r="AV3" s="416" t="s">
        <v>509</v>
      </c>
      <c r="AW3" s="416" t="s">
        <v>509</v>
      </c>
      <c r="AX3" s="416" t="s">
        <v>509</v>
      </c>
      <c r="AY3" s="416" t="s">
        <v>509</v>
      </c>
      <c r="AZ3" s="416" t="s">
        <v>509</v>
      </c>
      <c r="BA3" s="416" t="s">
        <v>509</v>
      </c>
      <c r="BB3" s="416" t="s">
        <v>509</v>
      </c>
      <c r="BC3" s="416" t="s">
        <v>509</v>
      </c>
      <c r="BD3" s="416" t="s">
        <v>509</v>
      </c>
      <c r="BE3" s="416" t="s">
        <v>509</v>
      </c>
      <c r="BF3" s="416" t="s">
        <v>510</v>
      </c>
      <c r="BG3" s="416" t="s">
        <v>510</v>
      </c>
      <c r="BH3" s="416" t="s">
        <v>510</v>
      </c>
      <c r="BI3" s="416" t="s">
        <v>510</v>
      </c>
      <c r="BJ3" s="416" t="s">
        <v>510</v>
      </c>
      <c r="BK3" s="416" t="s">
        <v>510</v>
      </c>
      <c r="BL3" s="416" t="s">
        <v>510</v>
      </c>
      <c r="BM3" s="416" t="s">
        <v>510</v>
      </c>
      <c r="BN3" s="416" t="s">
        <v>510</v>
      </c>
      <c r="BO3" s="416" t="s">
        <v>510</v>
      </c>
      <c r="BP3" s="416" t="s">
        <v>507</v>
      </c>
      <c r="BQ3" s="416" t="s">
        <v>507</v>
      </c>
      <c r="BR3" s="416" t="s">
        <v>507</v>
      </c>
      <c r="BS3" s="417" t="s">
        <v>510</v>
      </c>
      <c r="BT3" s="417" t="s">
        <v>507</v>
      </c>
      <c r="BU3" s="417" t="s">
        <v>507</v>
      </c>
      <c r="BV3" s="417" t="s">
        <v>511</v>
      </c>
      <c r="BW3" s="417" t="s">
        <v>507</v>
      </c>
      <c r="BX3" s="417" t="s">
        <v>507</v>
      </c>
      <c r="BY3" s="417" t="s">
        <v>511</v>
      </c>
      <c r="BZ3" s="417" t="s">
        <v>507</v>
      </c>
      <c r="CA3" s="417" t="s">
        <v>508</v>
      </c>
      <c r="CB3" s="417" t="s">
        <v>507</v>
      </c>
      <c r="CC3" s="417" t="s">
        <v>507</v>
      </c>
      <c r="CD3" s="417" t="s">
        <v>511</v>
      </c>
      <c r="CE3" s="417" t="s">
        <v>507</v>
      </c>
      <c r="CF3" s="418" t="s">
        <v>507</v>
      </c>
    </row>
    <row r="4" spans="1:84" s="404" customFormat="1" ht="12.75" thickBot="1">
      <c r="C4" s="409"/>
      <c r="D4" s="409"/>
      <c r="E4" s="410" t="s">
        <v>512</v>
      </c>
      <c r="F4" s="419">
        <v>5</v>
      </c>
      <c r="G4" s="420">
        <v>20</v>
      </c>
      <c r="H4" s="420">
        <v>20</v>
      </c>
      <c r="I4" s="420">
        <v>20</v>
      </c>
      <c r="J4" s="420">
        <v>20</v>
      </c>
      <c r="K4" s="420">
        <v>20</v>
      </c>
      <c r="L4" s="420">
        <v>20</v>
      </c>
      <c r="M4" s="420">
        <v>20</v>
      </c>
      <c r="N4" s="420">
        <v>20</v>
      </c>
      <c r="O4" s="420">
        <v>20</v>
      </c>
      <c r="P4" s="420">
        <v>20</v>
      </c>
      <c r="Q4" s="420">
        <v>10</v>
      </c>
      <c r="R4" s="420">
        <v>100</v>
      </c>
      <c r="S4" s="420">
        <v>100</v>
      </c>
      <c r="T4" s="420">
        <v>100</v>
      </c>
      <c r="U4" s="420">
        <v>100</v>
      </c>
      <c r="V4" s="420">
        <v>100</v>
      </c>
      <c r="W4" s="420">
        <v>100</v>
      </c>
      <c r="X4" s="420">
        <v>100</v>
      </c>
      <c r="Y4" s="420">
        <v>100</v>
      </c>
      <c r="Z4" s="420">
        <v>100</v>
      </c>
      <c r="AA4" s="420">
        <v>100</v>
      </c>
      <c r="AB4" s="420">
        <v>100</v>
      </c>
      <c r="AC4" s="420">
        <v>100</v>
      </c>
      <c r="AD4" s="420">
        <v>100</v>
      </c>
      <c r="AE4" s="420">
        <v>100</v>
      </c>
      <c r="AF4" s="420">
        <v>100</v>
      </c>
      <c r="AG4" s="420">
        <v>100</v>
      </c>
      <c r="AH4" s="420">
        <v>100</v>
      </c>
      <c r="AI4" s="420">
        <v>100</v>
      </c>
      <c r="AJ4" s="420">
        <v>100</v>
      </c>
      <c r="AK4" s="420">
        <v>100</v>
      </c>
      <c r="AL4" s="420" t="s">
        <v>513</v>
      </c>
      <c r="AM4" s="420" t="s">
        <v>513</v>
      </c>
      <c r="AN4" s="420" t="s">
        <v>513</v>
      </c>
      <c r="AO4" s="420" t="s">
        <v>513</v>
      </c>
      <c r="AP4" s="420" t="s">
        <v>513</v>
      </c>
      <c r="AQ4" s="420" t="s">
        <v>513</v>
      </c>
      <c r="AR4" s="420" t="s">
        <v>513</v>
      </c>
      <c r="AS4" s="420" t="s">
        <v>513</v>
      </c>
      <c r="AT4" s="420" t="s">
        <v>513</v>
      </c>
      <c r="AU4" s="420" t="s">
        <v>513</v>
      </c>
      <c r="AV4" s="420"/>
      <c r="AW4" s="420"/>
      <c r="AX4" s="420"/>
      <c r="AY4" s="420"/>
      <c r="AZ4" s="420"/>
      <c r="BA4" s="420"/>
      <c r="BB4" s="420"/>
      <c r="BC4" s="420"/>
      <c r="BD4" s="420"/>
      <c r="BE4" s="420"/>
      <c r="BF4" s="420">
        <v>1</v>
      </c>
      <c r="BG4" s="420">
        <v>1</v>
      </c>
      <c r="BH4" s="420">
        <v>1</v>
      </c>
      <c r="BI4" s="420">
        <v>1</v>
      </c>
      <c r="BJ4" s="420">
        <v>1</v>
      </c>
      <c r="BK4" s="420">
        <v>1</v>
      </c>
      <c r="BL4" s="420">
        <v>1</v>
      </c>
      <c r="BM4" s="420">
        <v>1</v>
      </c>
      <c r="BN4" s="420">
        <v>1</v>
      </c>
      <c r="BO4" s="420">
        <v>1</v>
      </c>
      <c r="BP4" s="420">
        <v>100</v>
      </c>
      <c r="BQ4" s="420">
        <v>100</v>
      </c>
      <c r="BR4" s="420">
        <v>100</v>
      </c>
      <c r="BS4" s="421">
        <v>1</v>
      </c>
      <c r="BT4" s="421">
        <v>500</v>
      </c>
      <c r="BU4" s="421">
        <v>100</v>
      </c>
      <c r="BV4" s="421">
        <v>3</v>
      </c>
      <c r="BW4" s="421">
        <v>500</v>
      </c>
      <c r="BX4" s="421">
        <v>100</v>
      </c>
      <c r="BY4" s="421">
        <v>3</v>
      </c>
      <c r="BZ4" s="421">
        <v>50</v>
      </c>
      <c r="CA4" s="421">
        <v>90</v>
      </c>
      <c r="CB4" s="421">
        <v>500</v>
      </c>
      <c r="CC4" s="421">
        <v>100</v>
      </c>
      <c r="CD4" s="421">
        <v>3</v>
      </c>
      <c r="CE4" s="421">
        <v>50</v>
      </c>
      <c r="CF4" s="422">
        <v>50</v>
      </c>
    </row>
    <row r="5" spans="1:84" s="404" customFormat="1" ht="12">
      <c r="C5" s="423" t="s">
        <v>514</v>
      </c>
      <c r="D5" s="423" t="s">
        <v>515</v>
      </c>
      <c r="E5" s="424" t="s">
        <v>516</v>
      </c>
      <c r="F5" s="425" t="s">
        <v>517</v>
      </c>
      <c r="G5" s="426" t="s">
        <v>518</v>
      </c>
      <c r="H5" s="426" t="s">
        <v>519</v>
      </c>
      <c r="I5" s="426" t="s">
        <v>520</v>
      </c>
      <c r="J5" s="426" t="s">
        <v>521</v>
      </c>
      <c r="K5" s="426" t="s">
        <v>522</v>
      </c>
      <c r="L5" s="426" t="s">
        <v>523</v>
      </c>
      <c r="M5" s="426" t="s">
        <v>524</v>
      </c>
      <c r="N5" s="426" t="s">
        <v>525</v>
      </c>
      <c r="O5" s="426" t="s">
        <v>526</v>
      </c>
      <c r="P5" s="426" t="s">
        <v>527</v>
      </c>
      <c r="Q5" s="426" t="s">
        <v>528</v>
      </c>
      <c r="R5" s="426" t="s">
        <v>529</v>
      </c>
      <c r="S5" s="426" t="s">
        <v>530</v>
      </c>
      <c r="T5" s="426" t="s">
        <v>531</v>
      </c>
      <c r="U5" s="426" t="s">
        <v>532</v>
      </c>
      <c r="V5" s="426" t="s">
        <v>533</v>
      </c>
      <c r="W5" s="426" t="s">
        <v>534</v>
      </c>
      <c r="X5" s="426" t="s">
        <v>535</v>
      </c>
      <c r="Y5" s="426" t="s">
        <v>536</v>
      </c>
      <c r="Z5" s="426" t="s">
        <v>537</v>
      </c>
      <c r="AA5" s="426" t="s">
        <v>538</v>
      </c>
      <c r="AB5" s="426" t="s">
        <v>539</v>
      </c>
      <c r="AC5" s="426" t="s">
        <v>540</v>
      </c>
      <c r="AD5" s="426" t="s">
        <v>541</v>
      </c>
      <c r="AE5" s="426" t="s">
        <v>542</v>
      </c>
      <c r="AF5" s="426" t="s">
        <v>543</v>
      </c>
      <c r="AG5" s="426" t="s">
        <v>544</v>
      </c>
      <c r="AH5" s="426" t="s">
        <v>545</v>
      </c>
      <c r="AI5" s="426" t="s">
        <v>546</v>
      </c>
      <c r="AJ5" s="426" t="s">
        <v>547</v>
      </c>
      <c r="AK5" s="426" t="s">
        <v>548</v>
      </c>
      <c r="AL5" s="427" t="s">
        <v>549</v>
      </c>
      <c r="AM5" s="427" t="s">
        <v>550</v>
      </c>
      <c r="AN5" s="427" t="s">
        <v>551</v>
      </c>
      <c r="AO5" s="427" t="s">
        <v>552</v>
      </c>
      <c r="AP5" s="427" t="s">
        <v>553</v>
      </c>
      <c r="AQ5" s="427" t="s">
        <v>554</v>
      </c>
      <c r="AR5" s="427" t="s">
        <v>555</v>
      </c>
      <c r="AS5" s="427" t="s">
        <v>556</v>
      </c>
      <c r="AT5" s="427" t="s">
        <v>557</v>
      </c>
      <c r="AU5" s="427" t="s">
        <v>558</v>
      </c>
      <c r="AV5" s="427" t="s">
        <v>559</v>
      </c>
      <c r="AW5" s="427" t="s">
        <v>560</v>
      </c>
      <c r="AX5" s="427" t="s">
        <v>561</v>
      </c>
      <c r="AY5" s="427" t="s">
        <v>562</v>
      </c>
      <c r="AZ5" s="427" t="s">
        <v>563</v>
      </c>
      <c r="BA5" s="427" t="s">
        <v>564</v>
      </c>
      <c r="BB5" s="427" t="s">
        <v>565</v>
      </c>
      <c r="BC5" s="427" t="s">
        <v>566</v>
      </c>
      <c r="BD5" s="427" t="s">
        <v>567</v>
      </c>
      <c r="BE5" s="427" t="s">
        <v>568</v>
      </c>
      <c r="BF5" s="426" t="s">
        <v>569</v>
      </c>
      <c r="BG5" s="426" t="s">
        <v>570</v>
      </c>
      <c r="BH5" s="426" t="s">
        <v>571</v>
      </c>
      <c r="BI5" s="426" t="s">
        <v>572</v>
      </c>
      <c r="BJ5" s="426" t="s">
        <v>573</v>
      </c>
      <c r="BK5" s="426" t="s">
        <v>574</v>
      </c>
      <c r="BL5" s="426" t="s">
        <v>575</v>
      </c>
      <c r="BM5" s="426" t="s">
        <v>576</v>
      </c>
      <c r="BN5" s="426" t="s">
        <v>577</v>
      </c>
      <c r="BO5" s="426" t="s">
        <v>578</v>
      </c>
      <c r="BP5" s="426" t="s">
        <v>579</v>
      </c>
      <c r="BQ5" s="426" t="s">
        <v>580</v>
      </c>
      <c r="BR5" s="426" t="s">
        <v>581</v>
      </c>
      <c r="BS5" s="426" t="s">
        <v>582</v>
      </c>
      <c r="BT5" s="426" t="s">
        <v>583</v>
      </c>
      <c r="BU5" s="426" t="s">
        <v>584</v>
      </c>
      <c r="BV5" s="426" t="s">
        <v>585</v>
      </c>
      <c r="BW5" s="426" t="s">
        <v>586</v>
      </c>
      <c r="BX5" s="426" t="s">
        <v>587</v>
      </c>
      <c r="BY5" s="426" t="s">
        <v>588</v>
      </c>
      <c r="BZ5" s="426" t="s">
        <v>589</v>
      </c>
      <c r="CA5" s="427" t="s">
        <v>590</v>
      </c>
      <c r="CB5" s="426" t="s">
        <v>591</v>
      </c>
      <c r="CC5" s="426" t="s">
        <v>592</v>
      </c>
      <c r="CD5" s="426" t="s">
        <v>593</v>
      </c>
      <c r="CE5" s="426" t="s">
        <v>594</v>
      </c>
      <c r="CF5" s="428" t="s">
        <v>595</v>
      </c>
    </row>
    <row r="6" spans="1:84" s="438" customFormat="1" ht="49.5" customHeight="1">
      <c r="A6" s="429"/>
      <c r="B6" s="429" t="s">
        <v>596</v>
      </c>
      <c r="C6" s="430" t="s">
        <v>597</v>
      </c>
      <c r="D6" s="431" t="s">
        <v>598</v>
      </c>
      <c r="E6" s="430"/>
      <c r="F6" s="432" t="s">
        <v>599</v>
      </c>
      <c r="G6" s="433" t="s">
        <v>600</v>
      </c>
      <c r="H6" s="433" t="s">
        <v>601</v>
      </c>
      <c r="I6" s="433" t="s">
        <v>602</v>
      </c>
      <c r="J6" s="433" t="s">
        <v>603</v>
      </c>
      <c r="K6" s="434"/>
      <c r="L6" s="436" t="s">
        <v>680</v>
      </c>
      <c r="M6" s="436" t="s">
        <v>681</v>
      </c>
      <c r="N6" s="436" t="s">
        <v>682</v>
      </c>
      <c r="O6" s="436" t="s">
        <v>683</v>
      </c>
      <c r="P6" s="433" t="s">
        <v>679</v>
      </c>
      <c r="Q6" s="434" t="s">
        <v>604</v>
      </c>
      <c r="R6" s="435" t="s">
        <v>605</v>
      </c>
      <c r="S6" s="435" t="s">
        <v>686</v>
      </c>
      <c r="T6" s="434"/>
      <c r="U6" s="435" t="s">
        <v>684</v>
      </c>
      <c r="V6" s="435" t="s">
        <v>685</v>
      </c>
      <c r="W6" s="434"/>
      <c r="X6" s="434"/>
      <c r="Y6" s="434"/>
      <c r="Z6" s="434"/>
      <c r="AA6" s="434"/>
      <c r="AB6" s="434"/>
      <c r="AC6" s="434"/>
      <c r="AD6" s="434"/>
      <c r="AE6" s="434"/>
      <c r="AF6" s="434"/>
      <c r="AG6" s="434"/>
      <c r="AH6" s="434"/>
      <c r="AI6" s="434"/>
      <c r="AJ6" s="434"/>
      <c r="AK6" s="434"/>
      <c r="AL6" s="434"/>
      <c r="AM6" s="434"/>
      <c r="AN6" s="434"/>
      <c r="AO6" s="434"/>
      <c r="AP6" s="434"/>
      <c r="AQ6" s="434"/>
      <c r="AR6" s="434"/>
      <c r="AS6" s="434"/>
      <c r="AT6" s="434"/>
      <c r="AU6" s="434"/>
      <c r="AV6" s="434"/>
      <c r="AW6" s="434"/>
      <c r="AX6" s="434"/>
      <c r="AY6" s="434"/>
      <c r="AZ6" s="434"/>
      <c r="BA6" s="434"/>
      <c r="BB6" s="434"/>
      <c r="BC6" s="434"/>
      <c r="BD6" s="434"/>
      <c r="BE6" s="434"/>
      <c r="BF6" s="434"/>
      <c r="BG6" s="434"/>
      <c r="BH6" s="434"/>
      <c r="BI6" s="434"/>
      <c r="BJ6" s="434"/>
      <c r="BK6" s="434"/>
      <c r="BL6" s="434"/>
      <c r="BM6" s="434"/>
      <c r="BN6" s="434"/>
      <c r="BO6" s="434"/>
      <c r="BP6" s="434"/>
      <c r="BQ6" s="434"/>
      <c r="BR6" s="434"/>
      <c r="BS6" s="436"/>
      <c r="BT6" s="434"/>
      <c r="BU6" s="434"/>
      <c r="BV6" s="434"/>
      <c r="BW6" s="434"/>
      <c r="BX6" s="436" t="s">
        <v>606</v>
      </c>
      <c r="BY6" s="436" t="s">
        <v>607</v>
      </c>
      <c r="BZ6" s="434"/>
      <c r="CA6" s="434"/>
      <c r="CB6" s="434"/>
      <c r="CC6" s="434"/>
      <c r="CD6" s="434"/>
      <c r="CE6" s="434"/>
      <c r="CF6" s="437"/>
    </row>
    <row r="7" spans="1:84" s="446" customFormat="1" ht="16.350000000000001" customHeight="1">
      <c r="A7" s="439"/>
      <c r="B7" s="439" t="s">
        <v>608</v>
      </c>
      <c r="C7" s="440"/>
      <c r="D7" s="440"/>
      <c r="E7" s="440"/>
      <c r="F7" s="441" t="s">
        <v>609</v>
      </c>
      <c r="G7" s="120" t="s">
        <v>610</v>
      </c>
      <c r="H7" s="124" t="s">
        <v>611</v>
      </c>
      <c r="I7" s="120" t="s">
        <v>611</v>
      </c>
      <c r="J7" s="120" t="s">
        <v>611</v>
      </c>
      <c r="K7" s="120" t="s">
        <v>611</v>
      </c>
      <c r="L7" s="120" t="s">
        <v>421</v>
      </c>
      <c r="M7" s="120" t="s">
        <v>611</v>
      </c>
      <c r="N7" s="120" t="s">
        <v>611</v>
      </c>
      <c r="O7" s="120" t="s">
        <v>611</v>
      </c>
      <c r="P7" s="120" t="s">
        <v>612</v>
      </c>
      <c r="Q7" s="120" t="s">
        <v>613</v>
      </c>
      <c r="R7" s="442" t="s">
        <v>614</v>
      </c>
      <c r="S7" s="120" t="s">
        <v>612</v>
      </c>
      <c r="T7" s="120"/>
      <c r="U7" s="442" t="s">
        <v>82</v>
      </c>
      <c r="V7" s="120" t="s">
        <v>615</v>
      </c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120" t="s">
        <v>616</v>
      </c>
      <c r="BG7" s="120" t="s">
        <v>616</v>
      </c>
      <c r="BH7" s="120" t="s">
        <v>616</v>
      </c>
      <c r="BI7" s="120" t="s">
        <v>616</v>
      </c>
      <c r="BJ7" s="120" t="s">
        <v>616</v>
      </c>
      <c r="BK7" s="120" t="s">
        <v>616</v>
      </c>
      <c r="BL7" s="120" t="s">
        <v>616</v>
      </c>
      <c r="BM7" s="120" t="s">
        <v>616</v>
      </c>
      <c r="BN7" s="120" t="s">
        <v>616</v>
      </c>
      <c r="BO7" s="120" t="s">
        <v>616</v>
      </c>
      <c r="BP7" s="443"/>
      <c r="BQ7" s="443"/>
      <c r="BR7" s="443"/>
      <c r="BS7" s="124" t="s">
        <v>616</v>
      </c>
      <c r="BT7" s="120"/>
      <c r="BU7" s="120"/>
      <c r="BV7" s="120"/>
      <c r="BW7" s="120"/>
      <c r="BX7" s="120"/>
      <c r="BY7" s="120"/>
      <c r="BZ7" s="120"/>
      <c r="CA7" s="444"/>
      <c r="CB7" s="120"/>
      <c r="CC7" s="120"/>
      <c r="CD7" s="120"/>
      <c r="CE7" s="120"/>
      <c r="CF7" s="445"/>
    </row>
    <row r="8" spans="1:84" s="446" customFormat="1" ht="16.350000000000001" customHeight="1">
      <c r="A8" s="439"/>
      <c r="B8" s="439"/>
      <c r="C8" s="440"/>
      <c r="D8" s="440"/>
      <c r="E8" s="440"/>
      <c r="F8" s="447" t="s">
        <v>609</v>
      </c>
      <c r="G8" s="121" t="s">
        <v>610</v>
      </c>
      <c r="H8" s="125" t="s">
        <v>611</v>
      </c>
      <c r="I8" s="121" t="s">
        <v>611</v>
      </c>
      <c r="J8" s="121" t="s">
        <v>611</v>
      </c>
      <c r="K8" s="121" t="s">
        <v>611</v>
      </c>
      <c r="L8" s="121" t="s">
        <v>421</v>
      </c>
      <c r="M8" s="121" t="s">
        <v>611</v>
      </c>
      <c r="N8" s="121" t="s">
        <v>611</v>
      </c>
      <c r="O8" s="121" t="s">
        <v>611</v>
      </c>
      <c r="P8" s="121" t="s">
        <v>617</v>
      </c>
      <c r="Q8" s="121" t="s">
        <v>613</v>
      </c>
      <c r="R8" s="448" t="s">
        <v>618</v>
      </c>
      <c r="S8" s="121" t="s">
        <v>612</v>
      </c>
      <c r="T8" s="121"/>
      <c r="U8" s="448" t="s">
        <v>87</v>
      </c>
      <c r="V8" s="121" t="s">
        <v>615</v>
      </c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 t="s">
        <v>616</v>
      </c>
      <c r="BG8" s="121" t="s">
        <v>616</v>
      </c>
      <c r="BH8" s="121" t="s">
        <v>616</v>
      </c>
      <c r="BI8" s="121" t="s">
        <v>616</v>
      </c>
      <c r="BJ8" s="121" t="s">
        <v>616</v>
      </c>
      <c r="BK8" s="121" t="s">
        <v>616</v>
      </c>
      <c r="BL8" s="121" t="s">
        <v>616</v>
      </c>
      <c r="BM8" s="121" t="s">
        <v>616</v>
      </c>
      <c r="BN8" s="121" t="s">
        <v>616</v>
      </c>
      <c r="BO8" s="121" t="s">
        <v>616</v>
      </c>
      <c r="BP8" s="449"/>
      <c r="BQ8" s="449"/>
      <c r="BR8" s="449"/>
      <c r="BS8" s="125" t="s">
        <v>616</v>
      </c>
      <c r="BT8" s="121"/>
      <c r="BU8" s="121"/>
      <c r="BV8" s="121"/>
      <c r="BW8" s="121"/>
      <c r="BX8" s="121"/>
      <c r="BY8" s="121"/>
      <c r="BZ8" s="121"/>
      <c r="CA8" s="450"/>
      <c r="CB8" s="121"/>
      <c r="CC8" s="121"/>
      <c r="CD8" s="121"/>
      <c r="CE8" s="121"/>
      <c r="CF8" s="451"/>
    </row>
    <row r="9" spans="1:84" s="446" customFormat="1" ht="16.350000000000001" customHeight="1">
      <c r="A9" s="439"/>
      <c r="B9" s="439"/>
      <c r="C9" s="440"/>
      <c r="D9" s="440"/>
      <c r="E9" s="440"/>
      <c r="F9" s="447" t="s">
        <v>609</v>
      </c>
      <c r="G9" s="121" t="s">
        <v>610</v>
      </c>
      <c r="H9" s="125" t="s">
        <v>611</v>
      </c>
      <c r="I9" s="121" t="s">
        <v>611</v>
      </c>
      <c r="J9" s="121" t="s">
        <v>611</v>
      </c>
      <c r="K9" s="121" t="s">
        <v>611</v>
      </c>
      <c r="L9" s="121" t="s">
        <v>421</v>
      </c>
      <c r="M9" s="121" t="s">
        <v>611</v>
      </c>
      <c r="N9" s="121" t="s">
        <v>611</v>
      </c>
      <c r="O9" s="121" t="s">
        <v>611</v>
      </c>
      <c r="P9" s="121" t="s">
        <v>619</v>
      </c>
      <c r="Q9" s="121" t="s">
        <v>613</v>
      </c>
      <c r="R9" s="448" t="s">
        <v>620</v>
      </c>
      <c r="S9" s="121" t="s">
        <v>612</v>
      </c>
      <c r="T9" s="121"/>
      <c r="U9" s="448" t="s">
        <v>90</v>
      </c>
      <c r="V9" s="121" t="s">
        <v>615</v>
      </c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 t="s">
        <v>616</v>
      </c>
      <c r="BG9" s="121" t="s">
        <v>616</v>
      </c>
      <c r="BH9" s="121" t="s">
        <v>616</v>
      </c>
      <c r="BI9" s="121" t="s">
        <v>616</v>
      </c>
      <c r="BJ9" s="121" t="s">
        <v>616</v>
      </c>
      <c r="BK9" s="121" t="s">
        <v>616</v>
      </c>
      <c r="BL9" s="121" t="s">
        <v>616</v>
      </c>
      <c r="BM9" s="121" t="s">
        <v>616</v>
      </c>
      <c r="BN9" s="121" t="s">
        <v>616</v>
      </c>
      <c r="BO9" s="121" t="s">
        <v>616</v>
      </c>
      <c r="BP9" s="449"/>
      <c r="BQ9" s="449"/>
      <c r="BR9" s="449"/>
      <c r="BS9" s="125" t="s">
        <v>616</v>
      </c>
      <c r="BT9" s="121"/>
      <c r="BU9" s="121"/>
      <c r="BV9" s="121"/>
      <c r="BW9" s="121"/>
      <c r="BX9" s="121"/>
      <c r="BY9" s="121"/>
      <c r="BZ9" s="121"/>
      <c r="CA9" s="450"/>
      <c r="CB9" s="121"/>
      <c r="CC9" s="121"/>
      <c r="CD9" s="121"/>
      <c r="CE9" s="121"/>
      <c r="CF9" s="451"/>
    </row>
    <row r="10" spans="1:84" s="446" customFormat="1" ht="16.350000000000001" customHeight="1">
      <c r="A10" s="439"/>
      <c r="B10" s="439"/>
      <c r="C10" s="440"/>
      <c r="D10" s="440"/>
      <c r="E10" s="440"/>
      <c r="F10" s="447" t="s">
        <v>609</v>
      </c>
      <c r="G10" s="121" t="s">
        <v>610</v>
      </c>
      <c r="H10" s="125" t="s">
        <v>611</v>
      </c>
      <c r="I10" s="121" t="s">
        <v>611</v>
      </c>
      <c r="J10" s="121" t="s">
        <v>611</v>
      </c>
      <c r="K10" s="121" t="s">
        <v>611</v>
      </c>
      <c r="L10" s="121" t="s">
        <v>421</v>
      </c>
      <c r="M10" s="121" t="s">
        <v>611</v>
      </c>
      <c r="N10" s="121" t="s">
        <v>611</v>
      </c>
      <c r="O10" s="121" t="s">
        <v>611</v>
      </c>
      <c r="P10" s="121" t="s">
        <v>621</v>
      </c>
      <c r="Q10" s="121" t="s">
        <v>613</v>
      </c>
      <c r="R10" s="448" t="s">
        <v>622</v>
      </c>
      <c r="S10" s="121" t="s">
        <v>612</v>
      </c>
      <c r="T10" s="121"/>
      <c r="U10" s="448" t="s">
        <v>95</v>
      </c>
      <c r="V10" s="121" t="s">
        <v>615</v>
      </c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 t="s">
        <v>616</v>
      </c>
      <c r="BG10" s="121" t="s">
        <v>616</v>
      </c>
      <c r="BH10" s="121" t="s">
        <v>616</v>
      </c>
      <c r="BI10" s="121" t="s">
        <v>616</v>
      </c>
      <c r="BJ10" s="121" t="s">
        <v>616</v>
      </c>
      <c r="BK10" s="121" t="s">
        <v>616</v>
      </c>
      <c r="BL10" s="121" t="s">
        <v>616</v>
      </c>
      <c r="BM10" s="121" t="s">
        <v>616</v>
      </c>
      <c r="BN10" s="121" t="s">
        <v>616</v>
      </c>
      <c r="BO10" s="121" t="s">
        <v>616</v>
      </c>
      <c r="BP10" s="449"/>
      <c r="BQ10" s="449"/>
      <c r="BR10" s="449"/>
      <c r="BS10" s="125" t="s">
        <v>616</v>
      </c>
      <c r="BT10" s="121"/>
      <c r="BU10" s="121"/>
      <c r="BV10" s="121"/>
      <c r="BW10" s="121"/>
      <c r="BX10" s="121"/>
      <c r="BY10" s="121"/>
      <c r="BZ10" s="121"/>
      <c r="CA10" s="450"/>
      <c r="CB10" s="121"/>
      <c r="CC10" s="121"/>
      <c r="CD10" s="121"/>
      <c r="CE10" s="121"/>
      <c r="CF10" s="451"/>
    </row>
    <row r="11" spans="1:84" s="446" customFormat="1" ht="16.350000000000001" customHeight="1">
      <c r="A11" s="439"/>
      <c r="B11" s="439"/>
      <c r="C11" s="440"/>
      <c r="D11" s="440"/>
      <c r="E11" s="440"/>
      <c r="F11" s="447" t="s">
        <v>609</v>
      </c>
      <c r="G11" s="121" t="s">
        <v>610</v>
      </c>
      <c r="H11" s="125" t="s">
        <v>611</v>
      </c>
      <c r="I11" s="121" t="s">
        <v>611</v>
      </c>
      <c r="J11" s="121" t="s">
        <v>611</v>
      </c>
      <c r="K11" s="121" t="s">
        <v>611</v>
      </c>
      <c r="L11" s="121" t="s">
        <v>421</v>
      </c>
      <c r="M11" s="121" t="s">
        <v>611</v>
      </c>
      <c r="N11" s="121" t="s">
        <v>611</v>
      </c>
      <c r="O11" s="121" t="s">
        <v>611</v>
      </c>
      <c r="P11" s="121" t="s">
        <v>623</v>
      </c>
      <c r="Q11" s="121" t="s">
        <v>613</v>
      </c>
      <c r="R11" s="448" t="s">
        <v>624</v>
      </c>
      <c r="S11" s="121" t="s">
        <v>612</v>
      </c>
      <c r="T11" s="121"/>
      <c r="U11" s="448" t="s">
        <v>97</v>
      </c>
      <c r="V11" s="121" t="s">
        <v>615</v>
      </c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 t="s">
        <v>616</v>
      </c>
      <c r="BG11" s="121" t="s">
        <v>616</v>
      </c>
      <c r="BH11" s="121" t="s">
        <v>616</v>
      </c>
      <c r="BI11" s="121" t="s">
        <v>616</v>
      </c>
      <c r="BJ11" s="121" t="s">
        <v>616</v>
      </c>
      <c r="BK11" s="121" t="s">
        <v>616</v>
      </c>
      <c r="BL11" s="121" t="s">
        <v>616</v>
      </c>
      <c r="BM11" s="121" t="s">
        <v>616</v>
      </c>
      <c r="BN11" s="121" t="s">
        <v>616</v>
      </c>
      <c r="BO11" s="121" t="s">
        <v>616</v>
      </c>
      <c r="BP11" s="449"/>
      <c r="BQ11" s="449"/>
      <c r="BR11" s="449"/>
      <c r="BS11" s="125" t="s">
        <v>616</v>
      </c>
      <c r="BT11" s="121"/>
      <c r="BU11" s="121"/>
      <c r="BV11" s="121"/>
      <c r="BW11" s="121"/>
      <c r="BX11" s="121"/>
      <c r="BY11" s="121"/>
      <c r="BZ11" s="121"/>
      <c r="CA11" s="450"/>
      <c r="CB11" s="121"/>
      <c r="CC11" s="121"/>
      <c r="CD11" s="121"/>
      <c r="CE11" s="121"/>
      <c r="CF11" s="451"/>
    </row>
    <row r="12" spans="1:84" s="446" customFormat="1" ht="16.350000000000001" customHeight="1" thickBot="1">
      <c r="A12" s="439"/>
      <c r="B12" s="439"/>
      <c r="C12" s="440"/>
      <c r="D12" s="440"/>
      <c r="E12" s="440"/>
      <c r="F12" s="447" t="s">
        <v>609</v>
      </c>
      <c r="G12" s="121" t="s">
        <v>610</v>
      </c>
      <c r="H12" s="467" t="s">
        <v>611</v>
      </c>
      <c r="I12" s="452" t="s">
        <v>611</v>
      </c>
      <c r="J12" s="452" t="s">
        <v>611</v>
      </c>
      <c r="K12" s="452" t="s">
        <v>611</v>
      </c>
      <c r="L12" s="452" t="s">
        <v>421</v>
      </c>
      <c r="M12" s="452" t="s">
        <v>611</v>
      </c>
      <c r="N12" s="452" t="s">
        <v>611</v>
      </c>
      <c r="O12" s="452" t="s">
        <v>611</v>
      </c>
      <c r="P12" s="452" t="s">
        <v>625</v>
      </c>
      <c r="Q12" s="452" t="s">
        <v>613</v>
      </c>
      <c r="R12" s="453" t="s">
        <v>626</v>
      </c>
      <c r="S12" s="452" t="s">
        <v>612</v>
      </c>
      <c r="T12" s="452"/>
      <c r="U12" s="453" t="s">
        <v>99</v>
      </c>
      <c r="V12" s="452" t="s">
        <v>615</v>
      </c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 t="s">
        <v>616</v>
      </c>
      <c r="BG12" s="121" t="s">
        <v>616</v>
      </c>
      <c r="BH12" s="121" t="s">
        <v>616</v>
      </c>
      <c r="BI12" s="121" t="s">
        <v>616</v>
      </c>
      <c r="BJ12" s="121" t="s">
        <v>616</v>
      </c>
      <c r="BK12" s="121" t="s">
        <v>616</v>
      </c>
      <c r="BL12" s="121" t="s">
        <v>616</v>
      </c>
      <c r="BM12" s="121" t="s">
        <v>616</v>
      </c>
      <c r="BN12" s="121" t="s">
        <v>616</v>
      </c>
      <c r="BO12" s="121" t="s">
        <v>616</v>
      </c>
      <c r="BP12" s="449"/>
      <c r="BQ12" s="449"/>
      <c r="BR12" s="449"/>
      <c r="BS12" s="125" t="s">
        <v>616</v>
      </c>
      <c r="BT12" s="121"/>
      <c r="BU12" s="121"/>
      <c r="BV12" s="121"/>
      <c r="BW12" s="121"/>
      <c r="BX12" s="121"/>
      <c r="BY12" s="121"/>
      <c r="BZ12" s="121"/>
      <c r="CA12" s="450"/>
      <c r="CB12" s="121"/>
      <c r="CC12" s="121"/>
      <c r="CD12" s="121"/>
      <c r="CE12" s="121"/>
      <c r="CF12" s="451"/>
    </row>
    <row r="13" spans="1:84" s="446" customFormat="1" ht="16.350000000000001" customHeight="1">
      <c r="A13" s="439"/>
      <c r="B13" s="439"/>
      <c r="C13" s="440"/>
      <c r="D13" s="440"/>
      <c r="E13" s="440"/>
      <c r="F13" s="454" t="s">
        <v>609</v>
      </c>
      <c r="G13" s="455" t="s">
        <v>610</v>
      </c>
      <c r="H13" s="471">
        <v>2</v>
      </c>
      <c r="I13" s="456">
        <v>212</v>
      </c>
      <c r="J13" s="456" t="s">
        <v>616</v>
      </c>
      <c r="K13" s="456" t="s">
        <v>611</v>
      </c>
      <c r="L13" s="456" t="s">
        <v>421</v>
      </c>
      <c r="M13" s="456" t="s">
        <v>627</v>
      </c>
      <c r="N13" s="456" t="s">
        <v>82</v>
      </c>
      <c r="O13" s="456" t="s">
        <v>611</v>
      </c>
      <c r="P13" s="456" t="s">
        <v>611</v>
      </c>
      <c r="Q13" s="456" t="s">
        <v>628</v>
      </c>
      <c r="R13" s="456">
        <v>12</v>
      </c>
      <c r="S13" s="456" t="s">
        <v>619</v>
      </c>
      <c r="T13" s="456"/>
      <c r="U13" s="456" t="s">
        <v>82</v>
      </c>
      <c r="V13" s="456"/>
      <c r="W13" s="455"/>
      <c r="X13" s="455"/>
      <c r="Y13" s="455"/>
      <c r="Z13" s="455"/>
      <c r="AA13" s="455"/>
      <c r="AB13" s="455"/>
      <c r="AC13" s="455"/>
      <c r="AD13" s="455"/>
      <c r="AE13" s="455"/>
      <c r="AF13" s="455"/>
      <c r="AG13" s="455"/>
      <c r="AH13" s="455"/>
      <c r="AI13" s="455"/>
      <c r="AJ13" s="455"/>
      <c r="AK13" s="455"/>
      <c r="AL13" s="455"/>
      <c r="AM13" s="455"/>
      <c r="AN13" s="455"/>
      <c r="AO13" s="455"/>
      <c r="AP13" s="455"/>
      <c r="AQ13" s="455"/>
      <c r="AR13" s="455"/>
      <c r="AS13" s="455"/>
      <c r="AT13" s="455"/>
      <c r="AU13" s="455"/>
      <c r="AV13" s="455"/>
      <c r="AW13" s="455"/>
      <c r="AX13" s="455"/>
      <c r="AY13" s="455"/>
      <c r="AZ13" s="455"/>
      <c r="BA13" s="455"/>
      <c r="BB13" s="455"/>
      <c r="BC13" s="455"/>
      <c r="BD13" s="455"/>
      <c r="BE13" s="455"/>
      <c r="BF13" s="455" t="s">
        <v>616</v>
      </c>
      <c r="BG13" s="455" t="s">
        <v>616</v>
      </c>
      <c r="BH13" s="455" t="s">
        <v>616</v>
      </c>
      <c r="BI13" s="455" t="s">
        <v>616</v>
      </c>
      <c r="BJ13" s="455" t="s">
        <v>616</v>
      </c>
      <c r="BK13" s="455" t="s">
        <v>616</v>
      </c>
      <c r="BL13" s="455" t="s">
        <v>616</v>
      </c>
      <c r="BM13" s="455" t="s">
        <v>616</v>
      </c>
      <c r="BN13" s="455" t="s">
        <v>616</v>
      </c>
      <c r="BO13" s="455" t="s">
        <v>616</v>
      </c>
      <c r="BP13" s="457"/>
      <c r="BQ13" s="457"/>
      <c r="BR13" s="457"/>
      <c r="BS13" s="458" t="s">
        <v>612</v>
      </c>
      <c r="BT13" s="121"/>
      <c r="BU13" s="121"/>
      <c r="BV13" s="121"/>
      <c r="BW13" s="121"/>
      <c r="BX13" s="121"/>
      <c r="BY13" s="121"/>
      <c r="BZ13" s="121"/>
      <c r="CA13" s="450"/>
      <c r="CB13" s="121"/>
      <c r="CC13" s="121"/>
      <c r="CD13" s="121"/>
      <c r="CE13" s="121"/>
      <c r="CF13" s="451"/>
    </row>
    <row r="14" spans="1:84" s="446" customFormat="1" ht="16.350000000000001" customHeight="1">
      <c r="A14" s="439"/>
      <c r="B14" s="439"/>
      <c r="C14" s="459"/>
      <c r="D14" s="459"/>
      <c r="E14" s="459"/>
      <c r="F14" s="447" t="s">
        <v>609</v>
      </c>
      <c r="G14" s="455" t="s">
        <v>610</v>
      </c>
      <c r="H14" s="458">
        <v>2</v>
      </c>
      <c r="I14" s="455">
        <v>213</v>
      </c>
      <c r="J14" s="456" t="s">
        <v>629</v>
      </c>
      <c r="K14" s="456" t="s">
        <v>611</v>
      </c>
      <c r="L14" s="456" t="s">
        <v>421</v>
      </c>
      <c r="M14" s="456" t="s">
        <v>627</v>
      </c>
      <c r="N14" s="456" t="s">
        <v>87</v>
      </c>
      <c r="O14" s="456" t="s">
        <v>611</v>
      </c>
      <c r="P14" s="456" t="s">
        <v>611</v>
      </c>
      <c r="Q14" s="456" t="s">
        <v>628</v>
      </c>
      <c r="R14" s="455">
        <v>13</v>
      </c>
      <c r="S14" s="455" t="s">
        <v>619</v>
      </c>
      <c r="T14" s="455"/>
      <c r="U14" s="455" t="s">
        <v>87</v>
      </c>
      <c r="V14" s="455"/>
      <c r="W14" s="455"/>
      <c r="X14" s="455"/>
      <c r="Y14" s="455"/>
      <c r="Z14" s="455"/>
      <c r="AA14" s="455"/>
      <c r="AB14" s="455"/>
      <c r="AC14" s="455"/>
      <c r="AD14" s="455"/>
      <c r="AE14" s="455"/>
      <c r="AF14" s="455"/>
      <c r="AG14" s="455"/>
      <c r="AH14" s="455"/>
      <c r="AI14" s="455"/>
      <c r="AJ14" s="455"/>
      <c r="AK14" s="455"/>
      <c r="AL14" s="455"/>
      <c r="AM14" s="455"/>
      <c r="AN14" s="455"/>
      <c r="AO14" s="455"/>
      <c r="AP14" s="455"/>
      <c r="AQ14" s="455"/>
      <c r="AR14" s="455"/>
      <c r="AS14" s="455"/>
      <c r="AT14" s="455"/>
      <c r="AU14" s="455"/>
      <c r="AV14" s="455"/>
      <c r="AW14" s="455"/>
      <c r="AX14" s="455"/>
      <c r="AY14" s="455"/>
      <c r="AZ14" s="455"/>
      <c r="BA14" s="455"/>
      <c r="BB14" s="455"/>
      <c r="BC14" s="455"/>
      <c r="BD14" s="455"/>
      <c r="BE14" s="455"/>
      <c r="BF14" s="455" t="s">
        <v>616</v>
      </c>
      <c r="BG14" s="455" t="s">
        <v>616</v>
      </c>
      <c r="BH14" s="455" t="s">
        <v>616</v>
      </c>
      <c r="BI14" s="455" t="s">
        <v>616</v>
      </c>
      <c r="BJ14" s="455" t="s">
        <v>616</v>
      </c>
      <c r="BK14" s="455" t="s">
        <v>616</v>
      </c>
      <c r="BL14" s="455" t="s">
        <v>616</v>
      </c>
      <c r="BM14" s="455" t="s">
        <v>616</v>
      </c>
      <c r="BN14" s="455" t="s">
        <v>616</v>
      </c>
      <c r="BO14" s="455" t="s">
        <v>616</v>
      </c>
      <c r="BP14" s="457"/>
      <c r="BQ14" s="457"/>
      <c r="BR14" s="457"/>
      <c r="BS14" s="458" t="s">
        <v>612</v>
      </c>
      <c r="BT14" s="121"/>
      <c r="BU14" s="121"/>
      <c r="BV14" s="121"/>
      <c r="BW14" s="121"/>
      <c r="BX14" s="121"/>
      <c r="BY14" s="121"/>
      <c r="BZ14" s="121"/>
      <c r="CA14" s="450"/>
      <c r="CB14" s="121"/>
      <c r="CC14" s="121"/>
      <c r="CD14" s="121"/>
      <c r="CE14" s="121"/>
      <c r="CF14" s="451"/>
    </row>
    <row r="15" spans="1:84" s="446" customFormat="1" ht="16.350000000000001" customHeight="1">
      <c r="A15" s="439"/>
      <c r="B15" s="439"/>
      <c r="C15" s="459"/>
      <c r="D15" s="459"/>
      <c r="E15" s="459"/>
      <c r="F15" s="447" t="s">
        <v>609</v>
      </c>
      <c r="G15" s="455" t="s">
        <v>610</v>
      </c>
      <c r="H15" s="458">
        <v>2</v>
      </c>
      <c r="I15" s="455">
        <v>221</v>
      </c>
      <c r="J15" s="456" t="s">
        <v>629</v>
      </c>
      <c r="K15" s="456" t="s">
        <v>611</v>
      </c>
      <c r="L15" s="456" t="s">
        <v>421</v>
      </c>
      <c r="M15" s="456" t="s">
        <v>627</v>
      </c>
      <c r="N15" s="456" t="s">
        <v>90</v>
      </c>
      <c r="O15" s="456" t="s">
        <v>611</v>
      </c>
      <c r="P15" s="456" t="s">
        <v>611</v>
      </c>
      <c r="Q15" s="456" t="s">
        <v>628</v>
      </c>
      <c r="R15" s="455">
        <v>21</v>
      </c>
      <c r="S15" s="455" t="s">
        <v>619</v>
      </c>
      <c r="T15" s="455"/>
      <c r="U15" s="455" t="s">
        <v>90</v>
      </c>
      <c r="V15" s="455"/>
      <c r="W15" s="455"/>
      <c r="X15" s="455"/>
      <c r="Y15" s="455"/>
      <c r="Z15" s="455"/>
      <c r="AA15" s="455"/>
      <c r="AB15" s="455"/>
      <c r="AC15" s="455"/>
      <c r="AD15" s="455"/>
      <c r="AE15" s="455"/>
      <c r="AF15" s="455"/>
      <c r="AG15" s="455"/>
      <c r="AH15" s="455"/>
      <c r="AI15" s="455"/>
      <c r="AJ15" s="455"/>
      <c r="AK15" s="455"/>
      <c r="AL15" s="455"/>
      <c r="AM15" s="455"/>
      <c r="AN15" s="455"/>
      <c r="AO15" s="455"/>
      <c r="AP15" s="455"/>
      <c r="AQ15" s="455"/>
      <c r="AR15" s="455"/>
      <c r="AS15" s="455"/>
      <c r="AT15" s="455"/>
      <c r="AU15" s="455"/>
      <c r="AV15" s="455"/>
      <c r="AW15" s="455"/>
      <c r="AX15" s="455"/>
      <c r="AY15" s="455"/>
      <c r="AZ15" s="455"/>
      <c r="BA15" s="455"/>
      <c r="BB15" s="455"/>
      <c r="BC15" s="455"/>
      <c r="BD15" s="455"/>
      <c r="BE15" s="455"/>
      <c r="BF15" s="455" t="s">
        <v>616</v>
      </c>
      <c r="BG15" s="455" t="s">
        <v>616</v>
      </c>
      <c r="BH15" s="455" t="s">
        <v>616</v>
      </c>
      <c r="BI15" s="455" t="s">
        <v>616</v>
      </c>
      <c r="BJ15" s="455" t="s">
        <v>616</v>
      </c>
      <c r="BK15" s="455" t="s">
        <v>616</v>
      </c>
      <c r="BL15" s="455" t="s">
        <v>616</v>
      </c>
      <c r="BM15" s="455" t="s">
        <v>616</v>
      </c>
      <c r="BN15" s="455" t="s">
        <v>616</v>
      </c>
      <c r="BO15" s="455" t="s">
        <v>616</v>
      </c>
      <c r="BP15" s="457"/>
      <c r="BQ15" s="457"/>
      <c r="BR15" s="457"/>
      <c r="BS15" s="458" t="s">
        <v>612</v>
      </c>
      <c r="BT15" s="121"/>
      <c r="BU15" s="121"/>
      <c r="BV15" s="121"/>
      <c r="BW15" s="121"/>
      <c r="BX15" s="121"/>
      <c r="BY15" s="121"/>
      <c r="BZ15" s="121"/>
      <c r="CA15" s="450"/>
      <c r="CB15" s="121"/>
      <c r="CC15" s="121"/>
      <c r="CD15" s="121"/>
      <c r="CE15" s="121"/>
      <c r="CF15" s="451"/>
    </row>
    <row r="16" spans="1:84" s="446" customFormat="1" ht="16.350000000000001" customHeight="1">
      <c r="A16" s="439"/>
      <c r="B16" s="439"/>
      <c r="C16" s="459"/>
      <c r="D16" s="459"/>
      <c r="E16" s="459"/>
      <c r="F16" s="447" t="s">
        <v>609</v>
      </c>
      <c r="G16" s="455" t="s">
        <v>610</v>
      </c>
      <c r="H16" s="458">
        <v>2</v>
      </c>
      <c r="I16" s="455">
        <v>223</v>
      </c>
      <c r="J16" s="456" t="s">
        <v>629</v>
      </c>
      <c r="K16" s="456" t="s">
        <v>611</v>
      </c>
      <c r="L16" s="456" t="s">
        <v>421</v>
      </c>
      <c r="M16" s="456" t="s">
        <v>627</v>
      </c>
      <c r="N16" s="456" t="s">
        <v>95</v>
      </c>
      <c r="O16" s="456" t="s">
        <v>611</v>
      </c>
      <c r="P16" s="456" t="s">
        <v>611</v>
      </c>
      <c r="Q16" s="456" t="s">
        <v>628</v>
      </c>
      <c r="R16" s="455">
        <v>23</v>
      </c>
      <c r="S16" s="455" t="s">
        <v>619</v>
      </c>
      <c r="T16" s="455"/>
      <c r="U16" s="455" t="s">
        <v>95</v>
      </c>
      <c r="V16" s="455"/>
      <c r="W16" s="455"/>
      <c r="X16" s="455"/>
      <c r="Y16" s="455"/>
      <c r="Z16" s="455"/>
      <c r="AA16" s="455"/>
      <c r="AB16" s="455"/>
      <c r="AC16" s="455"/>
      <c r="AD16" s="455"/>
      <c r="AE16" s="455"/>
      <c r="AF16" s="455"/>
      <c r="AG16" s="455"/>
      <c r="AH16" s="455"/>
      <c r="AI16" s="455"/>
      <c r="AJ16" s="455"/>
      <c r="AK16" s="455"/>
      <c r="AL16" s="455"/>
      <c r="AM16" s="455"/>
      <c r="AN16" s="455"/>
      <c r="AO16" s="455"/>
      <c r="AP16" s="455"/>
      <c r="AQ16" s="455"/>
      <c r="AR16" s="455"/>
      <c r="AS16" s="455"/>
      <c r="AT16" s="455"/>
      <c r="AU16" s="455"/>
      <c r="AV16" s="455"/>
      <c r="AW16" s="455"/>
      <c r="AX16" s="455"/>
      <c r="AY16" s="455"/>
      <c r="AZ16" s="455"/>
      <c r="BA16" s="455"/>
      <c r="BB16" s="455"/>
      <c r="BC16" s="455"/>
      <c r="BD16" s="455"/>
      <c r="BE16" s="455"/>
      <c r="BF16" s="455" t="s">
        <v>616</v>
      </c>
      <c r="BG16" s="455" t="s">
        <v>616</v>
      </c>
      <c r="BH16" s="455" t="s">
        <v>616</v>
      </c>
      <c r="BI16" s="455" t="s">
        <v>616</v>
      </c>
      <c r="BJ16" s="455" t="s">
        <v>616</v>
      </c>
      <c r="BK16" s="455" t="s">
        <v>616</v>
      </c>
      <c r="BL16" s="455" t="s">
        <v>616</v>
      </c>
      <c r="BM16" s="455" t="s">
        <v>616</v>
      </c>
      <c r="BN16" s="455" t="s">
        <v>616</v>
      </c>
      <c r="BO16" s="455" t="s">
        <v>616</v>
      </c>
      <c r="BP16" s="457"/>
      <c r="BQ16" s="457"/>
      <c r="BR16" s="457"/>
      <c r="BS16" s="458" t="s">
        <v>612</v>
      </c>
      <c r="BT16" s="121"/>
      <c r="BU16" s="121"/>
      <c r="BV16" s="121"/>
      <c r="BW16" s="121"/>
      <c r="BX16" s="121"/>
      <c r="BY16" s="121"/>
      <c r="BZ16" s="121"/>
      <c r="CA16" s="450"/>
      <c r="CB16" s="121"/>
      <c r="CC16" s="121"/>
      <c r="CD16" s="121"/>
      <c r="CE16" s="121"/>
      <c r="CF16" s="451"/>
    </row>
    <row r="17" spans="1:84" s="446" customFormat="1" ht="16.350000000000001" customHeight="1">
      <c r="A17" s="439"/>
      <c r="B17" s="439"/>
      <c r="C17" s="459"/>
      <c r="D17" s="459"/>
      <c r="E17" s="459"/>
      <c r="F17" s="447" t="s">
        <v>609</v>
      </c>
      <c r="G17" s="455" t="s">
        <v>610</v>
      </c>
      <c r="H17" s="458">
        <v>2</v>
      </c>
      <c r="I17" s="455">
        <v>231</v>
      </c>
      <c r="J17" s="456" t="s">
        <v>629</v>
      </c>
      <c r="K17" s="456" t="s">
        <v>611</v>
      </c>
      <c r="L17" s="456" t="s">
        <v>421</v>
      </c>
      <c r="M17" s="456" t="s">
        <v>627</v>
      </c>
      <c r="N17" s="456" t="s">
        <v>97</v>
      </c>
      <c r="O17" s="456" t="s">
        <v>611</v>
      </c>
      <c r="P17" s="456" t="s">
        <v>611</v>
      </c>
      <c r="Q17" s="456" t="s">
        <v>628</v>
      </c>
      <c r="R17" s="455">
        <v>31</v>
      </c>
      <c r="S17" s="455" t="s">
        <v>619</v>
      </c>
      <c r="T17" s="455"/>
      <c r="U17" s="455" t="s">
        <v>97</v>
      </c>
      <c r="V17" s="455"/>
      <c r="W17" s="455"/>
      <c r="X17" s="455"/>
      <c r="Y17" s="455"/>
      <c r="Z17" s="455"/>
      <c r="AA17" s="455"/>
      <c r="AB17" s="455"/>
      <c r="AC17" s="455"/>
      <c r="AD17" s="455"/>
      <c r="AE17" s="455"/>
      <c r="AF17" s="455"/>
      <c r="AG17" s="455"/>
      <c r="AH17" s="455"/>
      <c r="AI17" s="455"/>
      <c r="AJ17" s="455"/>
      <c r="AK17" s="455"/>
      <c r="AL17" s="455"/>
      <c r="AM17" s="455"/>
      <c r="AN17" s="455"/>
      <c r="AO17" s="455"/>
      <c r="AP17" s="455"/>
      <c r="AQ17" s="455"/>
      <c r="AR17" s="455"/>
      <c r="AS17" s="455"/>
      <c r="AT17" s="455"/>
      <c r="AU17" s="455"/>
      <c r="AV17" s="455"/>
      <c r="AW17" s="455"/>
      <c r="AX17" s="455"/>
      <c r="AY17" s="455"/>
      <c r="AZ17" s="455"/>
      <c r="BA17" s="455"/>
      <c r="BB17" s="455"/>
      <c r="BC17" s="455"/>
      <c r="BD17" s="455"/>
      <c r="BE17" s="455"/>
      <c r="BF17" s="455" t="s">
        <v>616</v>
      </c>
      <c r="BG17" s="455" t="s">
        <v>616</v>
      </c>
      <c r="BH17" s="455" t="s">
        <v>616</v>
      </c>
      <c r="BI17" s="455" t="s">
        <v>616</v>
      </c>
      <c r="BJ17" s="455" t="s">
        <v>616</v>
      </c>
      <c r="BK17" s="455" t="s">
        <v>616</v>
      </c>
      <c r="BL17" s="455" t="s">
        <v>616</v>
      </c>
      <c r="BM17" s="455" t="s">
        <v>616</v>
      </c>
      <c r="BN17" s="455" t="s">
        <v>616</v>
      </c>
      <c r="BO17" s="455" t="s">
        <v>616</v>
      </c>
      <c r="BP17" s="457"/>
      <c r="BQ17" s="457"/>
      <c r="BR17" s="457"/>
      <c r="BS17" s="458" t="s">
        <v>612</v>
      </c>
      <c r="BT17" s="121"/>
      <c r="BU17" s="121"/>
      <c r="BV17" s="121"/>
      <c r="BW17" s="121"/>
      <c r="BX17" s="121"/>
      <c r="BY17" s="121"/>
      <c r="BZ17" s="121"/>
      <c r="CA17" s="450"/>
      <c r="CB17" s="121"/>
      <c r="CC17" s="121"/>
      <c r="CD17" s="121"/>
      <c r="CE17" s="121"/>
      <c r="CF17" s="451"/>
    </row>
    <row r="18" spans="1:84" s="446" customFormat="1" ht="16.350000000000001" customHeight="1" thickBot="1">
      <c r="A18" s="439"/>
      <c r="B18" s="439"/>
      <c r="C18" s="459"/>
      <c r="D18" s="459"/>
      <c r="E18" s="459"/>
      <c r="F18" s="447" t="s">
        <v>609</v>
      </c>
      <c r="G18" s="460" t="s">
        <v>610</v>
      </c>
      <c r="H18" s="472">
        <v>2</v>
      </c>
      <c r="I18" s="460">
        <v>232</v>
      </c>
      <c r="J18" s="460" t="s">
        <v>629</v>
      </c>
      <c r="K18" s="460" t="s">
        <v>611</v>
      </c>
      <c r="L18" s="460" t="s">
        <v>421</v>
      </c>
      <c r="M18" s="460" t="s">
        <v>627</v>
      </c>
      <c r="N18" s="460" t="s">
        <v>630</v>
      </c>
      <c r="O18" s="460" t="s">
        <v>611</v>
      </c>
      <c r="P18" s="460" t="s">
        <v>611</v>
      </c>
      <c r="Q18" s="460" t="s">
        <v>628</v>
      </c>
      <c r="R18" s="460">
        <v>32</v>
      </c>
      <c r="S18" s="460" t="s">
        <v>619</v>
      </c>
      <c r="T18" s="460"/>
      <c r="U18" s="460" t="s">
        <v>99</v>
      </c>
      <c r="V18" s="460"/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  <c r="AG18" s="455"/>
      <c r="AH18" s="455"/>
      <c r="AI18" s="455"/>
      <c r="AJ18" s="455"/>
      <c r="AK18" s="455"/>
      <c r="AL18" s="455"/>
      <c r="AM18" s="455"/>
      <c r="AN18" s="455"/>
      <c r="AO18" s="455"/>
      <c r="AP18" s="455"/>
      <c r="AQ18" s="455"/>
      <c r="AR18" s="455"/>
      <c r="AS18" s="455"/>
      <c r="AT18" s="455"/>
      <c r="AU18" s="455"/>
      <c r="AV18" s="455"/>
      <c r="AW18" s="455"/>
      <c r="AX18" s="455"/>
      <c r="AY18" s="455"/>
      <c r="AZ18" s="455"/>
      <c r="BA18" s="455"/>
      <c r="BB18" s="455"/>
      <c r="BC18" s="455"/>
      <c r="BD18" s="455"/>
      <c r="BE18" s="455"/>
      <c r="BF18" s="455" t="s">
        <v>616</v>
      </c>
      <c r="BG18" s="455" t="s">
        <v>616</v>
      </c>
      <c r="BH18" s="455" t="s">
        <v>616</v>
      </c>
      <c r="BI18" s="455" t="s">
        <v>616</v>
      </c>
      <c r="BJ18" s="455" t="s">
        <v>616</v>
      </c>
      <c r="BK18" s="455" t="s">
        <v>616</v>
      </c>
      <c r="BL18" s="455" t="s">
        <v>616</v>
      </c>
      <c r="BM18" s="455" t="s">
        <v>616</v>
      </c>
      <c r="BN18" s="455" t="s">
        <v>616</v>
      </c>
      <c r="BO18" s="455" t="s">
        <v>616</v>
      </c>
      <c r="BP18" s="457"/>
      <c r="BQ18" s="457"/>
      <c r="BR18" s="457"/>
      <c r="BS18" s="458" t="s">
        <v>612</v>
      </c>
      <c r="BT18" s="121"/>
      <c r="BU18" s="121"/>
      <c r="BV18" s="121"/>
      <c r="BW18" s="121"/>
      <c r="BX18" s="121"/>
      <c r="BY18" s="121"/>
      <c r="BZ18" s="121"/>
      <c r="CA18" s="450"/>
      <c r="CB18" s="121"/>
      <c r="CC18" s="121"/>
      <c r="CD18" s="121"/>
      <c r="CE18" s="121"/>
      <c r="CF18" s="451"/>
    </row>
    <row r="19" spans="1:84" s="446" customFormat="1" ht="16.350000000000001" customHeight="1">
      <c r="A19" s="439"/>
      <c r="B19" s="439"/>
      <c r="C19" s="440"/>
      <c r="D19" s="440"/>
      <c r="E19" s="440"/>
      <c r="F19" s="441" t="s">
        <v>609</v>
      </c>
      <c r="G19" s="137">
        <v>11</v>
      </c>
      <c r="H19" s="124" t="s">
        <v>611</v>
      </c>
      <c r="I19" s="120" t="s">
        <v>611</v>
      </c>
      <c r="J19" s="120" t="s">
        <v>611</v>
      </c>
      <c r="K19" s="120" t="s">
        <v>611</v>
      </c>
      <c r="L19" s="120" t="s">
        <v>421</v>
      </c>
      <c r="M19" s="120" t="s">
        <v>611</v>
      </c>
      <c r="N19" s="120" t="s">
        <v>611</v>
      </c>
      <c r="O19" s="120" t="s">
        <v>611</v>
      </c>
      <c r="P19" s="120" t="s">
        <v>612</v>
      </c>
      <c r="Q19" s="120" t="s">
        <v>613</v>
      </c>
      <c r="R19" s="442" t="s">
        <v>614</v>
      </c>
      <c r="S19" s="120" t="s">
        <v>612</v>
      </c>
      <c r="T19" s="120"/>
      <c r="U19" s="442" t="s">
        <v>82</v>
      </c>
      <c r="V19" s="120" t="s">
        <v>615</v>
      </c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 t="s">
        <v>616</v>
      </c>
      <c r="BG19" s="121" t="s">
        <v>616</v>
      </c>
      <c r="BH19" s="121" t="s">
        <v>616</v>
      </c>
      <c r="BI19" s="121" t="s">
        <v>616</v>
      </c>
      <c r="BJ19" s="121" t="s">
        <v>616</v>
      </c>
      <c r="BK19" s="121" t="s">
        <v>616</v>
      </c>
      <c r="BL19" s="121" t="s">
        <v>616</v>
      </c>
      <c r="BM19" s="121" t="s">
        <v>616</v>
      </c>
      <c r="BN19" s="121" t="s">
        <v>616</v>
      </c>
      <c r="BO19" s="121" t="s">
        <v>616</v>
      </c>
      <c r="BP19" s="449"/>
      <c r="BQ19" s="449"/>
      <c r="BR19" s="449"/>
      <c r="BS19" s="125" t="s">
        <v>616</v>
      </c>
      <c r="BT19" s="121"/>
      <c r="BU19" s="121"/>
      <c r="BV19" s="121"/>
      <c r="BW19" s="121"/>
      <c r="BX19" s="121"/>
      <c r="BY19" s="121"/>
      <c r="BZ19" s="121"/>
      <c r="CA19" s="450"/>
      <c r="CB19" s="121"/>
      <c r="CC19" s="121"/>
      <c r="CD19" s="121"/>
      <c r="CE19" s="121"/>
      <c r="CF19" s="451"/>
    </row>
    <row r="20" spans="1:84" s="446" customFormat="1" ht="16.350000000000001" customHeight="1">
      <c r="A20" s="439"/>
      <c r="B20" s="439"/>
      <c r="C20" s="440"/>
      <c r="D20" s="440"/>
      <c r="E20" s="440"/>
      <c r="F20" s="447" t="s">
        <v>609</v>
      </c>
      <c r="G20" s="137">
        <v>11</v>
      </c>
      <c r="H20" s="125" t="s">
        <v>611</v>
      </c>
      <c r="I20" s="121" t="s">
        <v>611</v>
      </c>
      <c r="J20" s="121" t="s">
        <v>611</v>
      </c>
      <c r="K20" s="121" t="s">
        <v>611</v>
      </c>
      <c r="L20" s="121" t="s">
        <v>421</v>
      </c>
      <c r="M20" s="121" t="s">
        <v>611</v>
      </c>
      <c r="N20" s="121" t="s">
        <v>611</v>
      </c>
      <c r="O20" s="121" t="s">
        <v>611</v>
      </c>
      <c r="P20" s="121" t="s">
        <v>617</v>
      </c>
      <c r="Q20" s="121" t="s">
        <v>613</v>
      </c>
      <c r="R20" s="448" t="s">
        <v>618</v>
      </c>
      <c r="S20" s="121" t="s">
        <v>612</v>
      </c>
      <c r="T20" s="121"/>
      <c r="U20" s="448" t="s">
        <v>87</v>
      </c>
      <c r="V20" s="121" t="s">
        <v>615</v>
      </c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 t="s">
        <v>616</v>
      </c>
      <c r="BG20" s="121" t="s">
        <v>616</v>
      </c>
      <c r="BH20" s="121" t="s">
        <v>616</v>
      </c>
      <c r="BI20" s="121" t="s">
        <v>616</v>
      </c>
      <c r="BJ20" s="121" t="s">
        <v>616</v>
      </c>
      <c r="BK20" s="121" t="s">
        <v>616</v>
      </c>
      <c r="BL20" s="121" t="s">
        <v>616</v>
      </c>
      <c r="BM20" s="121" t="s">
        <v>616</v>
      </c>
      <c r="BN20" s="121" t="s">
        <v>616</v>
      </c>
      <c r="BO20" s="121" t="s">
        <v>616</v>
      </c>
      <c r="BP20" s="449"/>
      <c r="BQ20" s="449"/>
      <c r="BR20" s="449"/>
      <c r="BS20" s="125" t="s">
        <v>616</v>
      </c>
      <c r="BT20" s="121"/>
      <c r="BU20" s="121"/>
      <c r="BV20" s="121"/>
      <c r="BW20" s="121"/>
      <c r="BX20" s="121"/>
      <c r="BY20" s="121"/>
      <c r="BZ20" s="121"/>
      <c r="CA20" s="450"/>
      <c r="CB20" s="121"/>
      <c r="CC20" s="121"/>
      <c r="CD20" s="121"/>
      <c r="CE20" s="121"/>
      <c r="CF20" s="451"/>
    </row>
    <row r="21" spans="1:84" s="446" customFormat="1" ht="16.350000000000001" customHeight="1">
      <c r="A21" s="439"/>
      <c r="B21" s="439"/>
      <c r="C21" s="440"/>
      <c r="D21" s="440"/>
      <c r="E21" s="440"/>
      <c r="F21" s="447" t="s">
        <v>609</v>
      </c>
      <c r="G21" s="137">
        <v>11</v>
      </c>
      <c r="H21" s="125" t="s">
        <v>611</v>
      </c>
      <c r="I21" s="121" t="s">
        <v>611</v>
      </c>
      <c r="J21" s="121" t="s">
        <v>611</v>
      </c>
      <c r="K21" s="121" t="s">
        <v>611</v>
      </c>
      <c r="L21" s="121" t="s">
        <v>421</v>
      </c>
      <c r="M21" s="121" t="s">
        <v>611</v>
      </c>
      <c r="N21" s="121" t="s">
        <v>611</v>
      </c>
      <c r="O21" s="121" t="s">
        <v>611</v>
      </c>
      <c r="P21" s="121" t="s">
        <v>619</v>
      </c>
      <c r="Q21" s="121" t="s">
        <v>613</v>
      </c>
      <c r="R21" s="448" t="s">
        <v>620</v>
      </c>
      <c r="S21" s="121" t="s">
        <v>612</v>
      </c>
      <c r="T21" s="121"/>
      <c r="U21" s="448" t="s">
        <v>90</v>
      </c>
      <c r="V21" s="121" t="s">
        <v>615</v>
      </c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 t="s">
        <v>616</v>
      </c>
      <c r="BG21" s="121" t="s">
        <v>616</v>
      </c>
      <c r="BH21" s="121" t="s">
        <v>616</v>
      </c>
      <c r="BI21" s="121" t="s">
        <v>616</v>
      </c>
      <c r="BJ21" s="121" t="s">
        <v>616</v>
      </c>
      <c r="BK21" s="121" t="s">
        <v>616</v>
      </c>
      <c r="BL21" s="121" t="s">
        <v>616</v>
      </c>
      <c r="BM21" s="121" t="s">
        <v>616</v>
      </c>
      <c r="BN21" s="121" t="s">
        <v>616</v>
      </c>
      <c r="BO21" s="121" t="s">
        <v>616</v>
      </c>
      <c r="BP21" s="449"/>
      <c r="BQ21" s="449"/>
      <c r="BR21" s="449"/>
      <c r="BS21" s="125" t="s">
        <v>616</v>
      </c>
      <c r="BT21" s="121"/>
      <c r="BU21" s="121"/>
      <c r="BV21" s="121"/>
      <c r="BW21" s="121"/>
      <c r="BX21" s="121"/>
      <c r="BY21" s="121"/>
      <c r="BZ21" s="121"/>
      <c r="CA21" s="450"/>
      <c r="CB21" s="121"/>
      <c r="CC21" s="121"/>
      <c r="CD21" s="121"/>
      <c r="CE21" s="121"/>
      <c r="CF21" s="451"/>
    </row>
    <row r="22" spans="1:84" s="446" customFormat="1" ht="16.350000000000001" customHeight="1">
      <c r="A22" s="439"/>
      <c r="B22" s="439"/>
      <c r="C22" s="440"/>
      <c r="D22" s="440"/>
      <c r="E22" s="440"/>
      <c r="F22" s="447" t="s">
        <v>609</v>
      </c>
      <c r="G22" s="137">
        <v>11</v>
      </c>
      <c r="H22" s="125" t="s">
        <v>611</v>
      </c>
      <c r="I22" s="121" t="s">
        <v>611</v>
      </c>
      <c r="J22" s="121" t="s">
        <v>611</v>
      </c>
      <c r="K22" s="121" t="s">
        <v>611</v>
      </c>
      <c r="L22" s="121" t="s">
        <v>421</v>
      </c>
      <c r="M22" s="121" t="s">
        <v>611</v>
      </c>
      <c r="N22" s="121" t="s">
        <v>611</v>
      </c>
      <c r="O22" s="121" t="s">
        <v>611</v>
      </c>
      <c r="P22" s="121" t="s">
        <v>621</v>
      </c>
      <c r="Q22" s="121" t="s">
        <v>613</v>
      </c>
      <c r="R22" s="448" t="s">
        <v>622</v>
      </c>
      <c r="S22" s="121" t="s">
        <v>612</v>
      </c>
      <c r="T22" s="121"/>
      <c r="U22" s="448" t="s">
        <v>95</v>
      </c>
      <c r="V22" s="121" t="s">
        <v>615</v>
      </c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 t="s">
        <v>616</v>
      </c>
      <c r="BG22" s="121" t="s">
        <v>616</v>
      </c>
      <c r="BH22" s="121" t="s">
        <v>616</v>
      </c>
      <c r="BI22" s="121" t="s">
        <v>616</v>
      </c>
      <c r="BJ22" s="121" t="s">
        <v>616</v>
      </c>
      <c r="BK22" s="121" t="s">
        <v>616</v>
      </c>
      <c r="BL22" s="121" t="s">
        <v>616</v>
      </c>
      <c r="BM22" s="121" t="s">
        <v>616</v>
      </c>
      <c r="BN22" s="121" t="s">
        <v>616</v>
      </c>
      <c r="BO22" s="121" t="s">
        <v>616</v>
      </c>
      <c r="BP22" s="449"/>
      <c r="BQ22" s="449"/>
      <c r="BR22" s="449"/>
      <c r="BS22" s="125" t="s">
        <v>616</v>
      </c>
      <c r="BT22" s="121"/>
      <c r="BU22" s="121"/>
      <c r="BV22" s="121"/>
      <c r="BW22" s="121"/>
      <c r="BX22" s="121"/>
      <c r="BY22" s="121"/>
      <c r="BZ22" s="121"/>
      <c r="CA22" s="450"/>
      <c r="CB22" s="121"/>
      <c r="CC22" s="121"/>
      <c r="CD22" s="121"/>
      <c r="CE22" s="121"/>
      <c r="CF22" s="451"/>
    </row>
    <row r="23" spans="1:84" s="446" customFormat="1" ht="16.350000000000001" customHeight="1">
      <c r="A23" s="439"/>
      <c r="B23" s="439"/>
      <c r="C23" s="440"/>
      <c r="D23" s="440"/>
      <c r="E23" s="440"/>
      <c r="F23" s="447" t="s">
        <v>609</v>
      </c>
      <c r="G23" s="137">
        <v>11</v>
      </c>
      <c r="H23" s="125" t="s">
        <v>611</v>
      </c>
      <c r="I23" s="121" t="s">
        <v>611</v>
      </c>
      <c r="J23" s="121" t="s">
        <v>611</v>
      </c>
      <c r="K23" s="121" t="s">
        <v>611</v>
      </c>
      <c r="L23" s="121" t="s">
        <v>421</v>
      </c>
      <c r="M23" s="121" t="s">
        <v>611</v>
      </c>
      <c r="N23" s="121" t="s">
        <v>611</v>
      </c>
      <c r="O23" s="121" t="s">
        <v>611</v>
      </c>
      <c r="P23" s="121" t="s">
        <v>623</v>
      </c>
      <c r="Q23" s="121" t="s">
        <v>613</v>
      </c>
      <c r="R23" s="448" t="s">
        <v>624</v>
      </c>
      <c r="S23" s="121" t="s">
        <v>612</v>
      </c>
      <c r="T23" s="121"/>
      <c r="U23" s="448" t="s">
        <v>97</v>
      </c>
      <c r="V23" s="121" t="s">
        <v>615</v>
      </c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 t="s">
        <v>616</v>
      </c>
      <c r="BG23" s="121" t="s">
        <v>616</v>
      </c>
      <c r="BH23" s="121" t="s">
        <v>616</v>
      </c>
      <c r="BI23" s="121" t="s">
        <v>616</v>
      </c>
      <c r="BJ23" s="121" t="s">
        <v>616</v>
      </c>
      <c r="BK23" s="121" t="s">
        <v>616</v>
      </c>
      <c r="BL23" s="121" t="s">
        <v>616</v>
      </c>
      <c r="BM23" s="121" t="s">
        <v>616</v>
      </c>
      <c r="BN23" s="121" t="s">
        <v>616</v>
      </c>
      <c r="BO23" s="121" t="s">
        <v>616</v>
      </c>
      <c r="BP23" s="449"/>
      <c r="BQ23" s="449"/>
      <c r="BR23" s="449"/>
      <c r="BS23" s="125" t="s">
        <v>616</v>
      </c>
      <c r="BT23" s="121"/>
      <c r="BU23" s="121"/>
      <c r="BV23" s="121"/>
      <c r="BW23" s="121"/>
      <c r="BX23" s="121"/>
      <c r="BY23" s="121"/>
      <c r="BZ23" s="121"/>
      <c r="CA23" s="450"/>
      <c r="CB23" s="121"/>
      <c r="CC23" s="121"/>
      <c r="CD23" s="121"/>
      <c r="CE23" s="121"/>
      <c r="CF23" s="451"/>
    </row>
    <row r="24" spans="1:84" s="446" customFormat="1" ht="16.350000000000001" customHeight="1" thickBot="1">
      <c r="A24" s="439"/>
      <c r="B24" s="439"/>
      <c r="C24" s="440"/>
      <c r="D24" s="440"/>
      <c r="E24" s="440"/>
      <c r="F24" s="447" t="s">
        <v>609</v>
      </c>
      <c r="G24" s="137">
        <v>11</v>
      </c>
      <c r="H24" s="467" t="s">
        <v>611</v>
      </c>
      <c r="I24" s="452" t="s">
        <v>611</v>
      </c>
      <c r="J24" s="452" t="s">
        <v>611</v>
      </c>
      <c r="K24" s="452" t="s">
        <v>611</v>
      </c>
      <c r="L24" s="452" t="s">
        <v>421</v>
      </c>
      <c r="M24" s="452" t="s">
        <v>611</v>
      </c>
      <c r="N24" s="452" t="s">
        <v>611</v>
      </c>
      <c r="O24" s="452" t="s">
        <v>611</v>
      </c>
      <c r="P24" s="452" t="s">
        <v>625</v>
      </c>
      <c r="Q24" s="452" t="s">
        <v>613</v>
      </c>
      <c r="R24" s="453" t="s">
        <v>626</v>
      </c>
      <c r="S24" s="452" t="s">
        <v>612</v>
      </c>
      <c r="T24" s="452"/>
      <c r="U24" s="453" t="s">
        <v>99</v>
      </c>
      <c r="V24" s="452" t="s">
        <v>615</v>
      </c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 t="s">
        <v>616</v>
      </c>
      <c r="BG24" s="121" t="s">
        <v>616</v>
      </c>
      <c r="BH24" s="121" t="s">
        <v>616</v>
      </c>
      <c r="BI24" s="121" t="s">
        <v>616</v>
      </c>
      <c r="BJ24" s="121" t="s">
        <v>616</v>
      </c>
      <c r="BK24" s="121" t="s">
        <v>616</v>
      </c>
      <c r="BL24" s="121" t="s">
        <v>616</v>
      </c>
      <c r="BM24" s="121" t="s">
        <v>616</v>
      </c>
      <c r="BN24" s="121" t="s">
        <v>616</v>
      </c>
      <c r="BO24" s="121" t="s">
        <v>616</v>
      </c>
      <c r="BP24" s="449"/>
      <c r="BQ24" s="449"/>
      <c r="BR24" s="449"/>
      <c r="BS24" s="125" t="s">
        <v>616</v>
      </c>
      <c r="BT24" s="121"/>
      <c r="BU24" s="121"/>
      <c r="BV24" s="121"/>
      <c r="BW24" s="121"/>
      <c r="BX24" s="121"/>
      <c r="BY24" s="121"/>
      <c r="BZ24" s="121"/>
      <c r="CA24" s="450"/>
      <c r="CB24" s="121"/>
      <c r="CC24" s="121"/>
      <c r="CD24" s="121"/>
      <c r="CE24" s="121"/>
      <c r="CF24" s="451"/>
    </row>
    <row r="25" spans="1:84" s="446" customFormat="1" ht="16.350000000000001" customHeight="1">
      <c r="A25" s="439"/>
      <c r="B25" s="439"/>
      <c r="C25" s="459"/>
      <c r="D25" s="459"/>
      <c r="E25" s="459"/>
      <c r="F25" s="447" t="s">
        <v>609</v>
      </c>
      <c r="G25" s="137">
        <v>11</v>
      </c>
      <c r="H25" s="136">
        <v>1</v>
      </c>
      <c r="I25" s="137" t="s">
        <v>631</v>
      </c>
      <c r="J25" s="137" t="s">
        <v>616</v>
      </c>
      <c r="K25" s="137" t="s">
        <v>611</v>
      </c>
      <c r="L25" s="137" t="s">
        <v>342</v>
      </c>
      <c r="M25" s="137" t="s">
        <v>330</v>
      </c>
      <c r="N25" s="137" t="s">
        <v>83</v>
      </c>
      <c r="O25" s="137" t="s">
        <v>611</v>
      </c>
      <c r="P25" s="137" t="s">
        <v>611</v>
      </c>
      <c r="Q25" s="137" t="s">
        <v>628</v>
      </c>
      <c r="R25" s="137">
        <v>12</v>
      </c>
      <c r="S25" s="137" t="s">
        <v>619</v>
      </c>
      <c r="T25" s="137"/>
      <c r="U25" s="137" t="s">
        <v>82</v>
      </c>
      <c r="V25" s="137" t="s">
        <v>280</v>
      </c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 t="s">
        <v>616</v>
      </c>
      <c r="BG25" s="121" t="s">
        <v>616</v>
      </c>
      <c r="BH25" s="121" t="s">
        <v>616</v>
      </c>
      <c r="BI25" s="121" t="s">
        <v>616</v>
      </c>
      <c r="BJ25" s="121" t="s">
        <v>616</v>
      </c>
      <c r="BK25" s="121" t="s">
        <v>616</v>
      </c>
      <c r="BL25" s="121" t="s">
        <v>616</v>
      </c>
      <c r="BM25" s="121" t="s">
        <v>616</v>
      </c>
      <c r="BN25" s="121" t="s">
        <v>616</v>
      </c>
      <c r="BO25" s="121" t="s">
        <v>616</v>
      </c>
      <c r="BP25" s="449"/>
      <c r="BQ25" s="449"/>
      <c r="BR25" s="449"/>
      <c r="BS25" s="125" t="s">
        <v>616</v>
      </c>
      <c r="BT25" s="121"/>
      <c r="BU25" s="121"/>
      <c r="BV25" s="121"/>
      <c r="BW25" s="121"/>
      <c r="BX25" s="121"/>
      <c r="BY25" s="121"/>
      <c r="BZ25" s="121"/>
      <c r="CA25" s="450"/>
      <c r="CB25" s="121"/>
      <c r="CC25" s="121"/>
      <c r="CD25" s="121"/>
      <c r="CE25" s="121"/>
      <c r="CF25" s="451"/>
    </row>
    <row r="26" spans="1:84" s="446" customFormat="1" ht="16.350000000000001" customHeight="1">
      <c r="A26" s="439"/>
      <c r="B26" s="439"/>
      <c r="C26" s="459"/>
      <c r="D26" s="459"/>
      <c r="E26" s="459"/>
      <c r="F26" s="447" t="s">
        <v>609</v>
      </c>
      <c r="G26" s="121">
        <v>11</v>
      </c>
      <c r="H26" s="125">
        <v>1</v>
      </c>
      <c r="I26" s="121" t="s">
        <v>632</v>
      </c>
      <c r="J26" s="137" t="s">
        <v>629</v>
      </c>
      <c r="K26" s="137" t="s">
        <v>611</v>
      </c>
      <c r="L26" s="137" t="s">
        <v>342</v>
      </c>
      <c r="M26" s="137" t="s">
        <v>330</v>
      </c>
      <c r="N26" s="137" t="s">
        <v>88</v>
      </c>
      <c r="O26" s="137" t="s">
        <v>611</v>
      </c>
      <c r="P26" s="137" t="s">
        <v>611</v>
      </c>
      <c r="Q26" s="137" t="s">
        <v>628</v>
      </c>
      <c r="R26" s="121">
        <v>13</v>
      </c>
      <c r="S26" s="121" t="s">
        <v>619</v>
      </c>
      <c r="T26" s="121"/>
      <c r="U26" s="121" t="s">
        <v>87</v>
      </c>
      <c r="V26" s="121" t="s">
        <v>280</v>
      </c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 t="s">
        <v>616</v>
      </c>
      <c r="BG26" s="121" t="s">
        <v>616</v>
      </c>
      <c r="BH26" s="121" t="s">
        <v>616</v>
      </c>
      <c r="BI26" s="121" t="s">
        <v>616</v>
      </c>
      <c r="BJ26" s="121" t="s">
        <v>616</v>
      </c>
      <c r="BK26" s="121" t="s">
        <v>616</v>
      </c>
      <c r="BL26" s="121" t="s">
        <v>616</v>
      </c>
      <c r="BM26" s="121" t="s">
        <v>616</v>
      </c>
      <c r="BN26" s="121" t="s">
        <v>616</v>
      </c>
      <c r="BO26" s="121" t="s">
        <v>616</v>
      </c>
      <c r="BP26" s="449"/>
      <c r="BQ26" s="449"/>
      <c r="BR26" s="449"/>
      <c r="BS26" s="125" t="s">
        <v>616</v>
      </c>
      <c r="BT26" s="121"/>
      <c r="BU26" s="121"/>
      <c r="BV26" s="121"/>
      <c r="BW26" s="121"/>
      <c r="BX26" s="121"/>
      <c r="BY26" s="121"/>
      <c r="BZ26" s="121"/>
      <c r="CA26" s="450"/>
      <c r="CB26" s="121"/>
      <c r="CC26" s="121"/>
      <c r="CD26" s="121"/>
      <c r="CE26" s="121"/>
      <c r="CF26" s="451"/>
    </row>
    <row r="27" spans="1:84" s="446" customFormat="1" ht="16.350000000000001" customHeight="1">
      <c r="A27" s="439"/>
      <c r="B27" s="439"/>
      <c r="C27" s="459"/>
      <c r="D27" s="459"/>
      <c r="E27" s="459"/>
      <c r="F27" s="447" t="s">
        <v>633</v>
      </c>
      <c r="G27" s="121">
        <v>11</v>
      </c>
      <c r="H27" s="125">
        <v>1</v>
      </c>
      <c r="I27" s="121" t="s">
        <v>634</v>
      </c>
      <c r="J27" s="137" t="s">
        <v>629</v>
      </c>
      <c r="K27" s="137" t="s">
        <v>611</v>
      </c>
      <c r="L27" s="137" t="s">
        <v>342</v>
      </c>
      <c r="M27" s="137" t="s">
        <v>330</v>
      </c>
      <c r="N27" s="137" t="s">
        <v>91</v>
      </c>
      <c r="O27" s="137" t="s">
        <v>611</v>
      </c>
      <c r="P27" s="137" t="s">
        <v>611</v>
      </c>
      <c r="Q27" s="137" t="s">
        <v>628</v>
      </c>
      <c r="R27" s="121">
        <v>21</v>
      </c>
      <c r="S27" s="121" t="s">
        <v>619</v>
      </c>
      <c r="T27" s="121"/>
      <c r="U27" s="121" t="s">
        <v>90</v>
      </c>
      <c r="V27" s="121" t="s">
        <v>280</v>
      </c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 t="s">
        <v>616</v>
      </c>
      <c r="BG27" s="121" t="s">
        <v>616</v>
      </c>
      <c r="BH27" s="121" t="s">
        <v>616</v>
      </c>
      <c r="BI27" s="121" t="s">
        <v>616</v>
      </c>
      <c r="BJ27" s="121" t="s">
        <v>616</v>
      </c>
      <c r="BK27" s="121" t="s">
        <v>616</v>
      </c>
      <c r="BL27" s="121" t="s">
        <v>616</v>
      </c>
      <c r="BM27" s="121" t="s">
        <v>616</v>
      </c>
      <c r="BN27" s="121" t="s">
        <v>616</v>
      </c>
      <c r="BO27" s="121" t="s">
        <v>616</v>
      </c>
      <c r="BP27" s="449"/>
      <c r="BQ27" s="449"/>
      <c r="BR27" s="449"/>
      <c r="BS27" s="125" t="s">
        <v>616</v>
      </c>
      <c r="BT27" s="121"/>
      <c r="BU27" s="121"/>
      <c r="BV27" s="121"/>
      <c r="BW27" s="121"/>
      <c r="BX27" s="121"/>
      <c r="BY27" s="121"/>
      <c r="BZ27" s="121"/>
      <c r="CA27" s="450"/>
      <c r="CB27" s="121"/>
      <c r="CC27" s="121"/>
      <c r="CD27" s="121"/>
      <c r="CE27" s="121"/>
      <c r="CF27" s="451"/>
    </row>
    <row r="28" spans="1:84" s="446" customFormat="1" ht="16.350000000000001" customHeight="1">
      <c r="A28" s="439"/>
      <c r="B28" s="439"/>
      <c r="C28" s="459"/>
      <c r="D28" s="459"/>
      <c r="E28" s="459"/>
      <c r="F28" s="447" t="s">
        <v>609</v>
      </c>
      <c r="G28" s="121">
        <v>11</v>
      </c>
      <c r="H28" s="125">
        <v>1</v>
      </c>
      <c r="I28" s="121" t="s">
        <v>635</v>
      </c>
      <c r="J28" s="137" t="s">
        <v>419</v>
      </c>
      <c r="K28" s="137" t="s">
        <v>611</v>
      </c>
      <c r="L28" s="137" t="s">
        <v>342</v>
      </c>
      <c r="M28" s="137" t="s">
        <v>330</v>
      </c>
      <c r="N28" s="137" t="s">
        <v>96</v>
      </c>
      <c r="O28" s="137" t="s">
        <v>611</v>
      </c>
      <c r="P28" s="137" t="s">
        <v>611</v>
      </c>
      <c r="Q28" s="137" t="s">
        <v>628</v>
      </c>
      <c r="R28" s="121">
        <v>23</v>
      </c>
      <c r="S28" s="121" t="s">
        <v>619</v>
      </c>
      <c r="T28" s="121"/>
      <c r="U28" s="121" t="s">
        <v>95</v>
      </c>
      <c r="V28" s="121" t="s">
        <v>280</v>
      </c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 t="s">
        <v>616</v>
      </c>
      <c r="BG28" s="121" t="s">
        <v>616</v>
      </c>
      <c r="BH28" s="121" t="s">
        <v>616</v>
      </c>
      <c r="BI28" s="121" t="s">
        <v>616</v>
      </c>
      <c r="BJ28" s="121" t="s">
        <v>616</v>
      </c>
      <c r="BK28" s="121" t="s">
        <v>616</v>
      </c>
      <c r="BL28" s="121" t="s">
        <v>616</v>
      </c>
      <c r="BM28" s="121" t="s">
        <v>616</v>
      </c>
      <c r="BN28" s="121" t="s">
        <v>616</v>
      </c>
      <c r="BO28" s="121" t="s">
        <v>616</v>
      </c>
      <c r="BP28" s="449"/>
      <c r="BQ28" s="449"/>
      <c r="BR28" s="449"/>
      <c r="BS28" s="125" t="s">
        <v>616</v>
      </c>
      <c r="BT28" s="121"/>
      <c r="BU28" s="121"/>
      <c r="BV28" s="121"/>
      <c r="BW28" s="121"/>
      <c r="BX28" s="121"/>
      <c r="BY28" s="121"/>
      <c r="BZ28" s="121"/>
      <c r="CA28" s="450"/>
      <c r="CB28" s="121"/>
      <c r="CC28" s="121"/>
      <c r="CD28" s="121"/>
      <c r="CE28" s="121"/>
      <c r="CF28" s="451"/>
    </row>
    <row r="29" spans="1:84" s="446" customFormat="1" ht="16.350000000000001" customHeight="1">
      <c r="A29" s="439"/>
      <c r="B29" s="439"/>
      <c r="C29" s="459"/>
      <c r="D29" s="459"/>
      <c r="E29" s="459"/>
      <c r="F29" s="447" t="s">
        <v>609</v>
      </c>
      <c r="G29" s="121">
        <v>11</v>
      </c>
      <c r="H29" s="125">
        <v>1</v>
      </c>
      <c r="I29" s="121" t="s">
        <v>636</v>
      </c>
      <c r="J29" s="137" t="s">
        <v>629</v>
      </c>
      <c r="K29" s="137" t="s">
        <v>611</v>
      </c>
      <c r="L29" s="137" t="s">
        <v>342</v>
      </c>
      <c r="M29" s="137" t="s">
        <v>330</v>
      </c>
      <c r="N29" s="137" t="s">
        <v>98</v>
      </c>
      <c r="O29" s="137" t="s">
        <v>611</v>
      </c>
      <c r="P29" s="137" t="s">
        <v>611</v>
      </c>
      <c r="Q29" s="137" t="s">
        <v>628</v>
      </c>
      <c r="R29" s="121">
        <v>31</v>
      </c>
      <c r="S29" s="121" t="s">
        <v>619</v>
      </c>
      <c r="T29" s="121"/>
      <c r="U29" s="121" t="s">
        <v>97</v>
      </c>
      <c r="V29" s="121" t="s">
        <v>280</v>
      </c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 t="s">
        <v>616</v>
      </c>
      <c r="BG29" s="121" t="s">
        <v>616</v>
      </c>
      <c r="BH29" s="121" t="s">
        <v>616</v>
      </c>
      <c r="BI29" s="121" t="s">
        <v>616</v>
      </c>
      <c r="BJ29" s="121" t="s">
        <v>616</v>
      </c>
      <c r="BK29" s="121" t="s">
        <v>616</v>
      </c>
      <c r="BL29" s="121" t="s">
        <v>616</v>
      </c>
      <c r="BM29" s="121" t="s">
        <v>616</v>
      </c>
      <c r="BN29" s="121" t="s">
        <v>616</v>
      </c>
      <c r="BO29" s="121" t="s">
        <v>616</v>
      </c>
      <c r="BP29" s="449"/>
      <c r="BQ29" s="449"/>
      <c r="BR29" s="449"/>
      <c r="BS29" s="125" t="s">
        <v>616</v>
      </c>
      <c r="BT29" s="121"/>
      <c r="BU29" s="121"/>
      <c r="BV29" s="121"/>
      <c r="BW29" s="121"/>
      <c r="BX29" s="121"/>
      <c r="BY29" s="121"/>
      <c r="BZ29" s="121"/>
      <c r="CA29" s="450"/>
      <c r="CB29" s="121"/>
      <c r="CC29" s="121"/>
      <c r="CD29" s="121"/>
      <c r="CE29" s="121"/>
      <c r="CF29" s="451"/>
    </row>
    <row r="30" spans="1:84" s="446" customFormat="1" ht="16.350000000000001" customHeight="1" thickBot="1">
      <c r="A30" s="439"/>
      <c r="B30" s="439"/>
      <c r="C30" s="459"/>
      <c r="D30" s="459"/>
      <c r="E30" s="459"/>
      <c r="F30" s="447" t="s">
        <v>609</v>
      </c>
      <c r="G30" s="121">
        <v>11</v>
      </c>
      <c r="H30" s="467">
        <v>1</v>
      </c>
      <c r="I30" s="452" t="s">
        <v>637</v>
      </c>
      <c r="J30" s="452" t="s">
        <v>629</v>
      </c>
      <c r="K30" s="452" t="s">
        <v>611</v>
      </c>
      <c r="L30" s="452" t="s">
        <v>342</v>
      </c>
      <c r="M30" s="452" t="s">
        <v>330</v>
      </c>
      <c r="N30" s="452" t="s">
        <v>100</v>
      </c>
      <c r="O30" s="452" t="s">
        <v>611</v>
      </c>
      <c r="P30" s="452" t="s">
        <v>611</v>
      </c>
      <c r="Q30" s="452" t="s">
        <v>628</v>
      </c>
      <c r="R30" s="452">
        <v>32</v>
      </c>
      <c r="S30" s="452" t="s">
        <v>619</v>
      </c>
      <c r="T30" s="452"/>
      <c r="U30" s="452" t="s">
        <v>99</v>
      </c>
      <c r="V30" s="452" t="s">
        <v>280</v>
      </c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 t="s">
        <v>616</v>
      </c>
      <c r="BG30" s="121" t="s">
        <v>616</v>
      </c>
      <c r="BH30" s="121" t="s">
        <v>616</v>
      </c>
      <c r="BI30" s="121" t="s">
        <v>616</v>
      </c>
      <c r="BJ30" s="121" t="s">
        <v>616</v>
      </c>
      <c r="BK30" s="121" t="s">
        <v>616</v>
      </c>
      <c r="BL30" s="121" t="s">
        <v>616</v>
      </c>
      <c r="BM30" s="121" t="s">
        <v>616</v>
      </c>
      <c r="BN30" s="121" t="s">
        <v>616</v>
      </c>
      <c r="BO30" s="121" t="s">
        <v>616</v>
      </c>
      <c r="BP30" s="449"/>
      <c r="BQ30" s="449"/>
      <c r="BR30" s="449"/>
      <c r="BS30" s="125" t="s">
        <v>616</v>
      </c>
      <c r="BT30" s="121"/>
      <c r="BU30" s="121"/>
      <c r="BV30" s="121"/>
      <c r="BW30" s="121"/>
      <c r="BX30" s="121"/>
      <c r="BY30" s="121"/>
      <c r="BZ30" s="121"/>
      <c r="CA30" s="450"/>
      <c r="CB30" s="121"/>
      <c r="CC30" s="121"/>
      <c r="CD30" s="121"/>
      <c r="CE30" s="121"/>
      <c r="CF30" s="451"/>
    </row>
    <row r="31" spans="1:84" s="446" customFormat="1" ht="16.350000000000001" customHeight="1">
      <c r="A31" s="439"/>
      <c r="B31" s="439"/>
      <c r="C31" s="459"/>
      <c r="D31" s="459"/>
      <c r="E31" s="459"/>
      <c r="F31" s="447" t="s">
        <v>609</v>
      </c>
      <c r="G31" s="121">
        <v>11</v>
      </c>
      <c r="H31" s="136">
        <v>1</v>
      </c>
      <c r="I31" s="137" t="s">
        <v>631</v>
      </c>
      <c r="J31" s="137" t="s">
        <v>638</v>
      </c>
      <c r="K31" s="137" t="s">
        <v>611</v>
      </c>
      <c r="L31" s="137" t="s">
        <v>342</v>
      </c>
      <c r="M31" s="137" t="s">
        <v>330</v>
      </c>
      <c r="N31" s="137" t="s">
        <v>83</v>
      </c>
      <c r="O31" s="137" t="s">
        <v>639</v>
      </c>
      <c r="P31" s="137" t="s">
        <v>611</v>
      </c>
      <c r="Q31" s="137" t="s">
        <v>628</v>
      </c>
      <c r="R31" s="137">
        <v>12</v>
      </c>
      <c r="S31" s="137" t="s">
        <v>621</v>
      </c>
      <c r="T31" s="137"/>
      <c r="U31" s="137" t="s">
        <v>82</v>
      </c>
      <c r="V31" s="137" t="s">
        <v>640</v>
      </c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 t="s">
        <v>616</v>
      </c>
      <c r="BG31" s="121" t="s">
        <v>616</v>
      </c>
      <c r="BH31" s="121" t="s">
        <v>616</v>
      </c>
      <c r="BI31" s="121" t="s">
        <v>616</v>
      </c>
      <c r="BJ31" s="121" t="s">
        <v>616</v>
      </c>
      <c r="BK31" s="121" t="s">
        <v>616</v>
      </c>
      <c r="BL31" s="121" t="s">
        <v>616</v>
      </c>
      <c r="BM31" s="121" t="s">
        <v>616</v>
      </c>
      <c r="BN31" s="121" t="s">
        <v>616</v>
      </c>
      <c r="BO31" s="121" t="s">
        <v>616</v>
      </c>
      <c r="BP31" s="449"/>
      <c r="BQ31" s="449"/>
      <c r="BR31" s="449"/>
      <c r="BS31" s="125" t="s">
        <v>616</v>
      </c>
      <c r="BT31" s="121"/>
      <c r="BU31" s="121"/>
      <c r="BV31" s="121"/>
      <c r="BW31" s="121"/>
      <c r="BX31" s="121"/>
      <c r="BY31" s="121"/>
      <c r="BZ31" s="121"/>
      <c r="CA31" s="450"/>
      <c r="CB31" s="121"/>
      <c r="CC31" s="121"/>
      <c r="CD31" s="121"/>
      <c r="CE31" s="121"/>
      <c r="CF31" s="451"/>
    </row>
    <row r="32" spans="1:84" s="446" customFormat="1" ht="16.350000000000001" customHeight="1">
      <c r="A32" s="439"/>
      <c r="B32" s="439"/>
      <c r="C32" s="459"/>
      <c r="D32" s="459"/>
      <c r="E32" s="459"/>
      <c r="F32" s="447" t="s">
        <v>609</v>
      </c>
      <c r="G32" s="121">
        <v>11</v>
      </c>
      <c r="H32" s="125">
        <v>1</v>
      </c>
      <c r="I32" s="121" t="s">
        <v>632</v>
      </c>
      <c r="J32" s="137" t="s">
        <v>638</v>
      </c>
      <c r="K32" s="137" t="s">
        <v>611</v>
      </c>
      <c r="L32" s="137" t="s">
        <v>342</v>
      </c>
      <c r="M32" s="137" t="s">
        <v>330</v>
      </c>
      <c r="N32" s="137" t="s">
        <v>88</v>
      </c>
      <c r="O32" s="137" t="s">
        <v>639</v>
      </c>
      <c r="P32" s="137" t="s">
        <v>611</v>
      </c>
      <c r="Q32" s="137" t="s">
        <v>628</v>
      </c>
      <c r="R32" s="121">
        <v>13</v>
      </c>
      <c r="S32" s="121" t="s">
        <v>621</v>
      </c>
      <c r="T32" s="121"/>
      <c r="U32" s="121" t="s">
        <v>87</v>
      </c>
      <c r="V32" s="121" t="s">
        <v>640</v>
      </c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 t="s">
        <v>616</v>
      </c>
      <c r="BG32" s="121" t="s">
        <v>616</v>
      </c>
      <c r="BH32" s="121" t="s">
        <v>616</v>
      </c>
      <c r="BI32" s="121" t="s">
        <v>616</v>
      </c>
      <c r="BJ32" s="121" t="s">
        <v>616</v>
      </c>
      <c r="BK32" s="121" t="s">
        <v>616</v>
      </c>
      <c r="BL32" s="121" t="s">
        <v>616</v>
      </c>
      <c r="BM32" s="121" t="s">
        <v>616</v>
      </c>
      <c r="BN32" s="121" t="s">
        <v>616</v>
      </c>
      <c r="BO32" s="121" t="s">
        <v>616</v>
      </c>
      <c r="BP32" s="449"/>
      <c r="BQ32" s="449"/>
      <c r="BR32" s="449"/>
      <c r="BS32" s="125" t="s">
        <v>616</v>
      </c>
      <c r="BT32" s="121"/>
      <c r="BU32" s="121"/>
      <c r="BV32" s="121"/>
      <c r="BW32" s="121"/>
      <c r="BX32" s="121"/>
      <c r="BY32" s="121"/>
      <c r="BZ32" s="121"/>
      <c r="CA32" s="450"/>
      <c r="CB32" s="121"/>
      <c r="CC32" s="121"/>
      <c r="CD32" s="121"/>
      <c r="CE32" s="121"/>
      <c r="CF32" s="451"/>
    </row>
    <row r="33" spans="1:84" s="446" customFormat="1" ht="16.350000000000001" customHeight="1">
      <c r="A33" s="439"/>
      <c r="B33" s="439"/>
      <c r="C33" s="459"/>
      <c r="D33" s="459"/>
      <c r="E33" s="459"/>
      <c r="F33" s="447" t="s">
        <v>609</v>
      </c>
      <c r="G33" s="121">
        <v>11</v>
      </c>
      <c r="H33" s="125">
        <v>1</v>
      </c>
      <c r="I33" s="121" t="s">
        <v>634</v>
      </c>
      <c r="J33" s="137" t="s">
        <v>638</v>
      </c>
      <c r="K33" s="137" t="s">
        <v>611</v>
      </c>
      <c r="L33" s="137" t="s">
        <v>342</v>
      </c>
      <c r="M33" s="137" t="s">
        <v>330</v>
      </c>
      <c r="N33" s="137" t="s">
        <v>91</v>
      </c>
      <c r="O33" s="137" t="s">
        <v>639</v>
      </c>
      <c r="P33" s="137" t="s">
        <v>611</v>
      </c>
      <c r="Q33" s="137" t="s">
        <v>628</v>
      </c>
      <c r="R33" s="121">
        <v>21</v>
      </c>
      <c r="S33" s="121" t="s">
        <v>621</v>
      </c>
      <c r="T33" s="121"/>
      <c r="U33" s="121" t="s">
        <v>90</v>
      </c>
      <c r="V33" s="121" t="s">
        <v>640</v>
      </c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 t="s">
        <v>616</v>
      </c>
      <c r="BG33" s="121" t="s">
        <v>616</v>
      </c>
      <c r="BH33" s="121" t="s">
        <v>616</v>
      </c>
      <c r="BI33" s="121" t="s">
        <v>616</v>
      </c>
      <c r="BJ33" s="121" t="s">
        <v>616</v>
      </c>
      <c r="BK33" s="121" t="s">
        <v>616</v>
      </c>
      <c r="BL33" s="121" t="s">
        <v>616</v>
      </c>
      <c r="BM33" s="121" t="s">
        <v>616</v>
      </c>
      <c r="BN33" s="121" t="s">
        <v>616</v>
      </c>
      <c r="BO33" s="121" t="s">
        <v>616</v>
      </c>
      <c r="BP33" s="449"/>
      <c r="BQ33" s="449"/>
      <c r="BR33" s="449"/>
      <c r="BS33" s="125" t="s">
        <v>616</v>
      </c>
      <c r="BT33" s="121"/>
      <c r="BU33" s="121"/>
      <c r="BV33" s="121"/>
      <c r="BW33" s="121"/>
      <c r="BX33" s="121"/>
      <c r="BY33" s="121"/>
      <c r="BZ33" s="121"/>
      <c r="CA33" s="450"/>
      <c r="CB33" s="121"/>
      <c r="CC33" s="121"/>
      <c r="CD33" s="121"/>
      <c r="CE33" s="121"/>
      <c r="CF33" s="451"/>
    </row>
    <row r="34" spans="1:84" s="446" customFormat="1" ht="16.350000000000001" customHeight="1">
      <c r="A34" s="439"/>
      <c r="B34" s="439"/>
      <c r="C34" s="459"/>
      <c r="D34" s="459"/>
      <c r="E34" s="459"/>
      <c r="F34" s="447" t="s">
        <v>609</v>
      </c>
      <c r="G34" s="121">
        <v>11</v>
      </c>
      <c r="H34" s="125">
        <v>1</v>
      </c>
      <c r="I34" s="121" t="s">
        <v>635</v>
      </c>
      <c r="J34" s="137" t="s">
        <v>638</v>
      </c>
      <c r="K34" s="137" t="s">
        <v>611</v>
      </c>
      <c r="L34" s="137" t="s">
        <v>342</v>
      </c>
      <c r="M34" s="137" t="s">
        <v>330</v>
      </c>
      <c r="N34" s="137" t="s">
        <v>96</v>
      </c>
      <c r="O34" s="137" t="s">
        <v>639</v>
      </c>
      <c r="P34" s="137" t="s">
        <v>611</v>
      </c>
      <c r="Q34" s="137" t="s">
        <v>628</v>
      </c>
      <c r="R34" s="121">
        <v>23</v>
      </c>
      <c r="S34" s="121" t="s">
        <v>621</v>
      </c>
      <c r="T34" s="121"/>
      <c r="U34" s="121" t="s">
        <v>95</v>
      </c>
      <c r="V34" s="121" t="s">
        <v>640</v>
      </c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 t="s">
        <v>616</v>
      </c>
      <c r="BG34" s="121" t="s">
        <v>616</v>
      </c>
      <c r="BH34" s="121" t="s">
        <v>616</v>
      </c>
      <c r="BI34" s="121" t="s">
        <v>616</v>
      </c>
      <c r="BJ34" s="121" t="s">
        <v>616</v>
      </c>
      <c r="BK34" s="121" t="s">
        <v>616</v>
      </c>
      <c r="BL34" s="121" t="s">
        <v>616</v>
      </c>
      <c r="BM34" s="121" t="s">
        <v>616</v>
      </c>
      <c r="BN34" s="121" t="s">
        <v>616</v>
      </c>
      <c r="BO34" s="121" t="s">
        <v>616</v>
      </c>
      <c r="BP34" s="449"/>
      <c r="BQ34" s="449"/>
      <c r="BR34" s="449"/>
      <c r="BS34" s="125" t="s">
        <v>616</v>
      </c>
      <c r="BT34" s="121"/>
      <c r="BU34" s="121"/>
      <c r="BV34" s="121"/>
      <c r="BW34" s="121"/>
      <c r="BX34" s="121"/>
      <c r="BY34" s="121"/>
      <c r="BZ34" s="121"/>
      <c r="CA34" s="450"/>
      <c r="CB34" s="121"/>
      <c r="CC34" s="121"/>
      <c r="CD34" s="121"/>
      <c r="CE34" s="121"/>
      <c r="CF34" s="451"/>
    </row>
    <row r="35" spans="1:84" s="446" customFormat="1" ht="16.350000000000001" customHeight="1">
      <c r="A35" s="439"/>
      <c r="B35" s="439"/>
      <c r="C35" s="459"/>
      <c r="D35" s="459"/>
      <c r="E35" s="459"/>
      <c r="F35" s="447" t="s">
        <v>609</v>
      </c>
      <c r="G35" s="121">
        <v>11</v>
      </c>
      <c r="H35" s="125">
        <v>1</v>
      </c>
      <c r="I35" s="121" t="s">
        <v>636</v>
      </c>
      <c r="J35" s="137" t="s">
        <v>638</v>
      </c>
      <c r="K35" s="137" t="s">
        <v>611</v>
      </c>
      <c r="L35" s="137" t="s">
        <v>342</v>
      </c>
      <c r="M35" s="137" t="s">
        <v>330</v>
      </c>
      <c r="N35" s="137" t="s">
        <v>98</v>
      </c>
      <c r="O35" s="137" t="s">
        <v>639</v>
      </c>
      <c r="P35" s="137" t="s">
        <v>611</v>
      </c>
      <c r="Q35" s="137" t="s">
        <v>628</v>
      </c>
      <c r="R35" s="121">
        <v>31</v>
      </c>
      <c r="S35" s="121" t="s">
        <v>621</v>
      </c>
      <c r="T35" s="121"/>
      <c r="U35" s="121" t="s">
        <v>97</v>
      </c>
      <c r="V35" s="121" t="s">
        <v>640</v>
      </c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 t="s">
        <v>616</v>
      </c>
      <c r="BG35" s="121" t="s">
        <v>616</v>
      </c>
      <c r="BH35" s="121" t="s">
        <v>616</v>
      </c>
      <c r="BI35" s="121" t="s">
        <v>616</v>
      </c>
      <c r="BJ35" s="121" t="s">
        <v>616</v>
      </c>
      <c r="BK35" s="121" t="s">
        <v>616</v>
      </c>
      <c r="BL35" s="121" t="s">
        <v>616</v>
      </c>
      <c r="BM35" s="121" t="s">
        <v>616</v>
      </c>
      <c r="BN35" s="121" t="s">
        <v>616</v>
      </c>
      <c r="BO35" s="121" t="s">
        <v>616</v>
      </c>
      <c r="BP35" s="449"/>
      <c r="BQ35" s="449"/>
      <c r="BR35" s="449"/>
      <c r="BS35" s="125" t="s">
        <v>616</v>
      </c>
      <c r="BT35" s="121"/>
      <c r="BU35" s="121"/>
      <c r="BV35" s="121"/>
      <c r="BW35" s="121"/>
      <c r="BX35" s="121"/>
      <c r="BY35" s="121"/>
      <c r="BZ35" s="121"/>
      <c r="CA35" s="450"/>
      <c r="CB35" s="121"/>
      <c r="CC35" s="121"/>
      <c r="CD35" s="121"/>
      <c r="CE35" s="121"/>
      <c r="CF35" s="451"/>
    </row>
    <row r="36" spans="1:84" s="446" customFormat="1" ht="16.350000000000001" customHeight="1" thickBot="1">
      <c r="A36" s="439"/>
      <c r="B36" s="439"/>
      <c r="C36" s="459"/>
      <c r="D36" s="459"/>
      <c r="E36" s="459"/>
      <c r="F36" s="447" t="s">
        <v>609</v>
      </c>
      <c r="G36" s="452">
        <v>11</v>
      </c>
      <c r="H36" s="467">
        <v>1</v>
      </c>
      <c r="I36" s="452" t="s">
        <v>637</v>
      </c>
      <c r="J36" s="452" t="s">
        <v>638</v>
      </c>
      <c r="K36" s="452" t="s">
        <v>611</v>
      </c>
      <c r="L36" s="452" t="s">
        <v>342</v>
      </c>
      <c r="M36" s="452" t="s">
        <v>330</v>
      </c>
      <c r="N36" s="452" t="s">
        <v>100</v>
      </c>
      <c r="O36" s="452" t="s">
        <v>639</v>
      </c>
      <c r="P36" s="452" t="s">
        <v>611</v>
      </c>
      <c r="Q36" s="452" t="s">
        <v>628</v>
      </c>
      <c r="R36" s="452">
        <v>32</v>
      </c>
      <c r="S36" s="452" t="s">
        <v>621</v>
      </c>
      <c r="T36" s="452"/>
      <c r="U36" s="452" t="s">
        <v>99</v>
      </c>
      <c r="V36" s="452" t="s">
        <v>640</v>
      </c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 t="s">
        <v>616</v>
      </c>
      <c r="BG36" s="121" t="s">
        <v>616</v>
      </c>
      <c r="BH36" s="121" t="s">
        <v>616</v>
      </c>
      <c r="BI36" s="121" t="s">
        <v>616</v>
      </c>
      <c r="BJ36" s="121" t="s">
        <v>616</v>
      </c>
      <c r="BK36" s="121" t="s">
        <v>616</v>
      </c>
      <c r="BL36" s="121" t="s">
        <v>616</v>
      </c>
      <c r="BM36" s="121" t="s">
        <v>616</v>
      </c>
      <c r="BN36" s="121" t="s">
        <v>616</v>
      </c>
      <c r="BO36" s="121" t="s">
        <v>616</v>
      </c>
      <c r="BP36" s="449"/>
      <c r="BQ36" s="449"/>
      <c r="BR36" s="449"/>
      <c r="BS36" s="125" t="s">
        <v>616</v>
      </c>
      <c r="BT36" s="121"/>
      <c r="BU36" s="121"/>
      <c r="BV36" s="121"/>
      <c r="BW36" s="121"/>
      <c r="BX36" s="121"/>
      <c r="BY36" s="121"/>
      <c r="BZ36" s="121"/>
      <c r="CA36" s="450"/>
      <c r="CB36" s="121"/>
      <c r="CC36" s="121"/>
      <c r="CD36" s="121"/>
      <c r="CE36" s="121"/>
      <c r="CF36" s="451"/>
    </row>
    <row r="37" spans="1:84" s="446" customFormat="1" ht="16.350000000000001" customHeight="1">
      <c r="A37" s="439"/>
      <c r="B37" s="439"/>
      <c r="C37" s="459"/>
      <c r="D37" s="459"/>
      <c r="E37" s="459"/>
      <c r="F37" s="447" t="s">
        <v>609</v>
      </c>
      <c r="G37" s="461">
        <v>20</v>
      </c>
      <c r="H37" s="473" t="s">
        <v>611</v>
      </c>
      <c r="I37" s="461" t="s">
        <v>611</v>
      </c>
      <c r="J37" s="461" t="s">
        <v>611</v>
      </c>
      <c r="K37" s="461" t="s">
        <v>611</v>
      </c>
      <c r="L37" s="461" t="s">
        <v>422</v>
      </c>
      <c r="M37" s="461" t="s">
        <v>611</v>
      </c>
      <c r="N37" s="461" t="s">
        <v>611</v>
      </c>
      <c r="O37" s="461" t="s">
        <v>611</v>
      </c>
      <c r="P37" s="461" t="s">
        <v>612</v>
      </c>
      <c r="Q37" s="461" t="s">
        <v>628</v>
      </c>
      <c r="R37" s="462" t="s">
        <v>641</v>
      </c>
      <c r="S37" s="461" t="s">
        <v>617</v>
      </c>
      <c r="T37" s="461"/>
      <c r="U37" s="462" t="s">
        <v>642</v>
      </c>
      <c r="V37" s="461" t="s">
        <v>643</v>
      </c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 t="s">
        <v>616</v>
      </c>
      <c r="BG37" s="121" t="s">
        <v>616</v>
      </c>
      <c r="BH37" s="121" t="s">
        <v>616</v>
      </c>
      <c r="BI37" s="121" t="s">
        <v>616</v>
      </c>
      <c r="BJ37" s="121" t="s">
        <v>616</v>
      </c>
      <c r="BK37" s="121" t="s">
        <v>616</v>
      </c>
      <c r="BL37" s="121" t="s">
        <v>616</v>
      </c>
      <c r="BM37" s="121" t="s">
        <v>616</v>
      </c>
      <c r="BN37" s="121" t="s">
        <v>616</v>
      </c>
      <c r="BO37" s="121" t="s">
        <v>616</v>
      </c>
      <c r="BP37" s="449"/>
      <c r="BQ37" s="449"/>
      <c r="BR37" s="449"/>
      <c r="BS37" s="125" t="s">
        <v>616</v>
      </c>
      <c r="BT37" s="121"/>
      <c r="BU37" s="121"/>
      <c r="BV37" s="121"/>
      <c r="BW37" s="121"/>
      <c r="BX37" s="121"/>
      <c r="BY37" s="121"/>
      <c r="BZ37" s="121"/>
      <c r="CA37" s="450"/>
      <c r="CB37" s="121"/>
      <c r="CC37" s="121"/>
      <c r="CD37" s="121"/>
      <c r="CE37" s="121"/>
      <c r="CF37" s="451"/>
    </row>
    <row r="38" spans="1:84" s="446" customFormat="1" ht="16.350000000000001" customHeight="1" thickBot="1">
      <c r="A38" s="439"/>
      <c r="B38" s="439"/>
      <c r="C38" s="459"/>
      <c r="D38" s="459"/>
      <c r="E38" s="459"/>
      <c r="F38" s="447" t="s">
        <v>609</v>
      </c>
      <c r="G38" s="137">
        <v>20</v>
      </c>
      <c r="H38" s="474" t="s">
        <v>611</v>
      </c>
      <c r="I38" s="463" t="s">
        <v>611</v>
      </c>
      <c r="J38" s="463" t="s">
        <v>611</v>
      </c>
      <c r="K38" s="463" t="s">
        <v>611</v>
      </c>
      <c r="L38" s="463" t="s">
        <v>422</v>
      </c>
      <c r="M38" s="463" t="s">
        <v>611</v>
      </c>
      <c r="N38" s="463" t="s">
        <v>611</v>
      </c>
      <c r="O38" s="463" t="s">
        <v>611</v>
      </c>
      <c r="P38" s="463" t="s">
        <v>617</v>
      </c>
      <c r="Q38" s="463" t="s">
        <v>628</v>
      </c>
      <c r="R38" s="464" t="s">
        <v>644</v>
      </c>
      <c r="S38" s="463" t="s">
        <v>617</v>
      </c>
      <c r="T38" s="463"/>
      <c r="U38" s="464" t="s">
        <v>645</v>
      </c>
      <c r="V38" s="463" t="s">
        <v>643</v>
      </c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 t="s">
        <v>616</v>
      </c>
      <c r="BG38" s="121" t="s">
        <v>616</v>
      </c>
      <c r="BH38" s="121" t="s">
        <v>616</v>
      </c>
      <c r="BI38" s="121" t="s">
        <v>616</v>
      </c>
      <c r="BJ38" s="121" t="s">
        <v>616</v>
      </c>
      <c r="BK38" s="121" t="s">
        <v>616</v>
      </c>
      <c r="BL38" s="121" t="s">
        <v>616</v>
      </c>
      <c r="BM38" s="121" t="s">
        <v>616</v>
      </c>
      <c r="BN38" s="121" t="s">
        <v>616</v>
      </c>
      <c r="BO38" s="121" t="s">
        <v>616</v>
      </c>
      <c r="BP38" s="449"/>
      <c r="BQ38" s="449"/>
      <c r="BR38" s="449"/>
      <c r="BS38" s="125" t="s">
        <v>616</v>
      </c>
      <c r="BT38" s="121"/>
      <c r="BU38" s="121"/>
      <c r="BV38" s="121"/>
      <c r="BW38" s="121"/>
      <c r="BX38" s="121"/>
      <c r="BY38" s="121"/>
      <c r="BZ38" s="121"/>
      <c r="CA38" s="450"/>
      <c r="CB38" s="121"/>
      <c r="CC38" s="121"/>
      <c r="CD38" s="121"/>
      <c r="CE38" s="121"/>
      <c r="CF38" s="451"/>
    </row>
    <row r="39" spans="1:84" s="446" customFormat="1" ht="16.350000000000001" customHeight="1">
      <c r="A39" s="439"/>
      <c r="B39" s="439"/>
      <c r="C39" s="459"/>
      <c r="D39" s="459"/>
      <c r="E39" s="459"/>
      <c r="F39" s="447" t="s">
        <v>609</v>
      </c>
      <c r="G39" s="456">
        <v>20</v>
      </c>
      <c r="H39" s="471" t="s">
        <v>646</v>
      </c>
      <c r="I39" s="456">
        <v>211</v>
      </c>
      <c r="J39" s="456" t="s">
        <v>629</v>
      </c>
      <c r="K39" s="456" t="s">
        <v>611</v>
      </c>
      <c r="L39" s="456" t="s">
        <v>422</v>
      </c>
      <c r="M39" s="456" t="s">
        <v>328</v>
      </c>
      <c r="N39" s="456" t="s">
        <v>53</v>
      </c>
      <c r="O39" s="456" t="s">
        <v>611</v>
      </c>
      <c r="P39" s="456" t="s">
        <v>611</v>
      </c>
      <c r="Q39" s="456" t="s">
        <v>628</v>
      </c>
      <c r="R39" s="456">
        <v>11</v>
      </c>
      <c r="S39" s="456" t="s">
        <v>617</v>
      </c>
      <c r="T39" s="456"/>
      <c r="U39" s="456" t="s">
        <v>53</v>
      </c>
      <c r="V39" s="456" t="s">
        <v>274</v>
      </c>
      <c r="W39" s="455"/>
      <c r="X39" s="455"/>
      <c r="Y39" s="455"/>
      <c r="Z39" s="455"/>
      <c r="AA39" s="455"/>
      <c r="AB39" s="455"/>
      <c r="AC39" s="455"/>
      <c r="AD39" s="455"/>
      <c r="AE39" s="455"/>
      <c r="AF39" s="455"/>
      <c r="AG39" s="455"/>
      <c r="AH39" s="455"/>
      <c r="AI39" s="455"/>
      <c r="AJ39" s="455"/>
      <c r="AK39" s="455"/>
      <c r="AL39" s="455"/>
      <c r="AM39" s="455"/>
      <c r="AN39" s="455"/>
      <c r="AO39" s="455"/>
      <c r="AP39" s="455"/>
      <c r="AQ39" s="455"/>
      <c r="AR39" s="455"/>
      <c r="AS39" s="455"/>
      <c r="AT39" s="455"/>
      <c r="AU39" s="455"/>
      <c r="AV39" s="455"/>
      <c r="AW39" s="455"/>
      <c r="AX39" s="455"/>
      <c r="AY39" s="455"/>
      <c r="AZ39" s="455"/>
      <c r="BA39" s="455"/>
      <c r="BB39" s="455"/>
      <c r="BC39" s="455"/>
      <c r="BD39" s="455"/>
      <c r="BE39" s="455"/>
      <c r="BF39" s="455" t="s">
        <v>616</v>
      </c>
      <c r="BG39" s="455" t="s">
        <v>616</v>
      </c>
      <c r="BH39" s="455" t="s">
        <v>616</v>
      </c>
      <c r="BI39" s="455" t="s">
        <v>616</v>
      </c>
      <c r="BJ39" s="455" t="s">
        <v>616</v>
      </c>
      <c r="BK39" s="455" t="s">
        <v>616</v>
      </c>
      <c r="BL39" s="455" t="s">
        <v>616</v>
      </c>
      <c r="BM39" s="455" t="s">
        <v>616</v>
      </c>
      <c r="BN39" s="455" t="s">
        <v>616</v>
      </c>
      <c r="BO39" s="455" t="s">
        <v>616</v>
      </c>
      <c r="BP39" s="457"/>
      <c r="BQ39" s="457"/>
      <c r="BR39" s="457"/>
      <c r="BS39" s="458" t="s">
        <v>612</v>
      </c>
      <c r="BT39" s="121"/>
      <c r="BU39" s="121"/>
      <c r="BV39" s="121"/>
      <c r="BW39" s="121"/>
      <c r="BX39" s="121"/>
      <c r="BY39" s="121"/>
      <c r="BZ39" s="121"/>
      <c r="CA39" s="450"/>
      <c r="CB39" s="121"/>
      <c r="CC39" s="121"/>
      <c r="CD39" s="121"/>
      <c r="CE39" s="121"/>
      <c r="CF39" s="451"/>
    </row>
    <row r="40" spans="1:84" s="446" customFormat="1" ht="16.350000000000001" customHeight="1" thickBot="1">
      <c r="A40" s="439"/>
      <c r="B40" s="439"/>
      <c r="C40" s="459"/>
      <c r="D40" s="459"/>
      <c r="E40" s="459"/>
      <c r="F40" s="447" t="s">
        <v>609</v>
      </c>
      <c r="G40" s="460">
        <v>20</v>
      </c>
      <c r="H40" s="472" t="s">
        <v>646</v>
      </c>
      <c r="I40" s="460">
        <v>222</v>
      </c>
      <c r="J40" s="460" t="s">
        <v>629</v>
      </c>
      <c r="K40" s="460" t="s">
        <v>611</v>
      </c>
      <c r="L40" s="460" t="s">
        <v>422</v>
      </c>
      <c r="M40" s="460" t="s">
        <v>328</v>
      </c>
      <c r="N40" s="460" t="s">
        <v>93</v>
      </c>
      <c r="O40" s="460" t="s">
        <v>611</v>
      </c>
      <c r="P40" s="460" t="s">
        <v>611</v>
      </c>
      <c r="Q40" s="460" t="s">
        <v>628</v>
      </c>
      <c r="R40" s="460">
        <v>22</v>
      </c>
      <c r="S40" s="460" t="s">
        <v>617</v>
      </c>
      <c r="T40" s="460"/>
      <c r="U40" s="460" t="s">
        <v>93</v>
      </c>
      <c r="V40" s="460" t="s">
        <v>274</v>
      </c>
      <c r="W40" s="455"/>
      <c r="X40" s="455"/>
      <c r="Y40" s="455"/>
      <c r="Z40" s="455"/>
      <c r="AA40" s="455"/>
      <c r="AB40" s="455"/>
      <c r="AC40" s="455"/>
      <c r="AD40" s="455"/>
      <c r="AE40" s="455"/>
      <c r="AF40" s="455"/>
      <c r="AG40" s="455"/>
      <c r="AH40" s="455"/>
      <c r="AI40" s="455"/>
      <c r="AJ40" s="455"/>
      <c r="AK40" s="455"/>
      <c r="AL40" s="455"/>
      <c r="AM40" s="455"/>
      <c r="AN40" s="455"/>
      <c r="AO40" s="455"/>
      <c r="AP40" s="455"/>
      <c r="AQ40" s="455"/>
      <c r="AR40" s="455"/>
      <c r="AS40" s="455"/>
      <c r="AT40" s="455"/>
      <c r="AU40" s="455"/>
      <c r="AV40" s="455"/>
      <c r="AW40" s="455"/>
      <c r="AX40" s="455"/>
      <c r="AY40" s="455"/>
      <c r="AZ40" s="455"/>
      <c r="BA40" s="455"/>
      <c r="BB40" s="455"/>
      <c r="BC40" s="455"/>
      <c r="BD40" s="455"/>
      <c r="BE40" s="455"/>
      <c r="BF40" s="455" t="s">
        <v>616</v>
      </c>
      <c r="BG40" s="455" t="s">
        <v>616</v>
      </c>
      <c r="BH40" s="455" t="s">
        <v>616</v>
      </c>
      <c r="BI40" s="455" t="s">
        <v>616</v>
      </c>
      <c r="BJ40" s="455" t="s">
        <v>616</v>
      </c>
      <c r="BK40" s="455" t="s">
        <v>616</v>
      </c>
      <c r="BL40" s="455" t="s">
        <v>616</v>
      </c>
      <c r="BM40" s="455" t="s">
        <v>616</v>
      </c>
      <c r="BN40" s="455" t="s">
        <v>616</v>
      </c>
      <c r="BO40" s="455" t="s">
        <v>616</v>
      </c>
      <c r="BP40" s="457"/>
      <c r="BQ40" s="457"/>
      <c r="BR40" s="457"/>
      <c r="BS40" s="458" t="s">
        <v>612</v>
      </c>
      <c r="BT40" s="121"/>
      <c r="BU40" s="121"/>
      <c r="BV40" s="121"/>
      <c r="BW40" s="121"/>
      <c r="BX40" s="121"/>
      <c r="BY40" s="121"/>
      <c r="BZ40" s="121"/>
      <c r="CA40" s="450"/>
      <c r="CB40" s="121"/>
      <c r="CC40" s="121"/>
      <c r="CD40" s="121"/>
      <c r="CE40" s="121"/>
      <c r="CF40" s="451"/>
    </row>
    <row r="41" spans="1:84" s="446" customFormat="1" ht="16.350000000000001" customHeight="1">
      <c r="A41" s="439"/>
      <c r="B41" s="439"/>
      <c r="C41" s="459"/>
      <c r="D41" s="459"/>
      <c r="E41" s="459"/>
      <c r="F41" s="447" t="s">
        <v>609</v>
      </c>
      <c r="G41" s="461" t="s">
        <v>620</v>
      </c>
      <c r="H41" s="473" t="s">
        <v>611</v>
      </c>
      <c r="I41" s="461" t="s">
        <v>611</v>
      </c>
      <c r="J41" s="461" t="s">
        <v>611</v>
      </c>
      <c r="K41" s="461" t="s">
        <v>611</v>
      </c>
      <c r="L41" s="461" t="s">
        <v>422</v>
      </c>
      <c r="M41" s="461" t="s">
        <v>611</v>
      </c>
      <c r="N41" s="461" t="s">
        <v>611</v>
      </c>
      <c r="O41" s="461" t="s">
        <v>611</v>
      </c>
      <c r="P41" s="461" t="s">
        <v>612</v>
      </c>
      <c r="Q41" s="461" t="s">
        <v>628</v>
      </c>
      <c r="R41" s="462" t="s">
        <v>641</v>
      </c>
      <c r="S41" s="461" t="s">
        <v>617</v>
      </c>
      <c r="T41" s="461"/>
      <c r="U41" s="462" t="s">
        <v>642</v>
      </c>
      <c r="V41" s="461" t="s">
        <v>643</v>
      </c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 t="s">
        <v>616</v>
      </c>
      <c r="BG41" s="121" t="s">
        <v>616</v>
      </c>
      <c r="BH41" s="121" t="s">
        <v>616</v>
      </c>
      <c r="BI41" s="121" t="s">
        <v>616</v>
      </c>
      <c r="BJ41" s="121" t="s">
        <v>616</v>
      </c>
      <c r="BK41" s="121" t="s">
        <v>616</v>
      </c>
      <c r="BL41" s="121" t="s">
        <v>616</v>
      </c>
      <c r="BM41" s="121" t="s">
        <v>616</v>
      </c>
      <c r="BN41" s="121" t="s">
        <v>616</v>
      </c>
      <c r="BO41" s="121" t="s">
        <v>616</v>
      </c>
      <c r="BP41" s="449"/>
      <c r="BQ41" s="449"/>
      <c r="BR41" s="449"/>
      <c r="BS41" s="125" t="s">
        <v>616</v>
      </c>
      <c r="BT41" s="121"/>
      <c r="BU41" s="121"/>
      <c r="BV41" s="121"/>
      <c r="BW41" s="121"/>
      <c r="BX41" s="121"/>
      <c r="BY41" s="121"/>
      <c r="BZ41" s="121"/>
      <c r="CA41" s="450"/>
      <c r="CB41" s="121"/>
      <c r="CC41" s="121"/>
      <c r="CD41" s="121"/>
      <c r="CE41" s="121"/>
      <c r="CF41" s="451"/>
    </row>
    <row r="42" spans="1:84" s="446" customFormat="1" ht="16.350000000000001" customHeight="1" thickBot="1">
      <c r="A42" s="439"/>
      <c r="B42" s="439"/>
      <c r="C42" s="459"/>
      <c r="D42" s="459"/>
      <c r="E42" s="459"/>
      <c r="F42" s="447" t="s">
        <v>609</v>
      </c>
      <c r="G42" s="137" t="s">
        <v>620</v>
      </c>
      <c r="H42" s="474" t="s">
        <v>611</v>
      </c>
      <c r="I42" s="463" t="s">
        <v>611</v>
      </c>
      <c r="J42" s="463" t="s">
        <v>611</v>
      </c>
      <c r="K42" s="463" t="s">
        <v>611</v>
      </c>
      <c r="L42" s="463" t="s">
        <v>422</v>
      </c>
      <c r="M42" s="463" t="s">
        <v>611</v>
      </c>
      <c r="N42" s="463" t="s">
        <v>611</v>
      </c>
      <c r="O42" s="463" t="s">
        <v>611</v>
      </c>
      <c r="P42" s="463" t="s">
        <v>617</v>
      </c>
      <c r="Q42" s="463" t="s">
        <v>628</v>
      </c>
      <c r="R42" s="464" t="s">
        <v>644</v>
      </c>
      <c r="S42" s="463" t="s">
        <v>617</v>
      </c>
      <c r="T42" s="463"/>
      <c r="U42" s="464" t="s">
        <v>645</v>
      </c>
      <c r="V42" s="463" t="s">
        <v>643</v>
      </c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 t="s">
        <v>616</v>
      </c>
      <c r="BG42" s="121" t="s">
        <v>616</v>
      </c>
      <c r="BH42" s="121" t="s">
        <v>616</v>
      </c>
      <c r="BI42" s="121" t="s">
        <v>616</v>
      </c>
      <c r="BJ42" s="121" t="s">
        <v>616</v>
      </c>
      <c r="BK42" s="121" t="s">
        <v>616</v>
      </c>
      <c r="BL42" s="121" t="s">
        <v>616</v>
      </c>
      <c r="BM42" s="121" t="s">
        <v>616</v>
      </c>
      <c r="BN42" s="121" t="s">
        <v>616</v>
      </c>
      <c r="BO42" s="121" t="s">
        <v>616</v>
      </c>
      <c r="BP42" s="449"/>
      <c r="BQ42" s="449"/>
      <c r="BR42" s="449"/>
      <c r="BS42" s="125" t="s">
        <v>616</v>
      </c>
      <c r="BT42" s="121"/>
      <c r="BU42" s="121"/>
      <c r="BV42" s="121"/>
      <c r="BW42" s="121"/>
      <c r="BX42" s="121"/>
      <c r="BY42" s="121"/>
      <c r="BZ42" s="121"/>
      <c r="CA42" s="450"/>
      <c r="CB42" s="121"/>
      <c r="CC42" s="121"/>
      <c r="CD42" s="121"/>
      <c r="CE42" s="121"/>
      <c r="CF42" s="451"/>
    </row>
    <row r="43" spans="1:84" s="446" customFormat="1" ht="16.350000000000001" customHeight="1">
      <c r="A43" s="439"/>
      <c r="B43" s="439"/>
      <c r="C43" s="459"/>
      <c r="D43" s="459"/>
      <c r="E43" s="459"/>
      <c r="F43" s="447" t="s">
        <v>609</v>
      </c>
      <c r="G43" s="137" t="s">
        <v>647</v>
      </c>
      <c r="H43" s="136" t="s">
        <v>638</v>
      </c>
      <c r="I43" s="137">
        <v>111</v>
      </c>
      <c r="J43" s="137" t="s">
        <v>629</v>
      </c>
      <c r="K43" s="137" t="s">
        <v>611</v>
      </c>
      <c r="L43" s="137" t="s">
        <v>648</v>
      </c>
      <c r="M43" s="137" t="s">
        <v>330</v>
      </c>
      <c r="N43" s="137" t="s">
        <v>649</v>
      </c>
      <c r="O43" s="137" t="s">
        <v>611</v>
      </c>
      <c r="P43" s="137" t="s">
        <v>611</v>
      </c>
      <c r="Q43" s="137" t="s">
        <v>628</v>
      </c>
      <c r="R43" s="137">
        <v>11</v>
      </c>
      <c r="S43" s="137" t="s">
        <v>619</v>
      </c>
      <c r="T43" s="137"/>
      <c r="U43" s="137" t="s">
        <v>53</v>
      </c>
      <c r="V43" s="137" t="s">
        <v>280</v>
      </c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 t="s">
        <v>616</v>
      </c>
      <c r="BG43" s="121" t="s">
        <v>616</v>
      </c>
      <c r="BH43" s="121" t="s">
        <v>616</v>
      </c>
      <c r="BI43" s="121" t="s">
        <v>616</v>
      </c>
      <c r="BJ43" s="121" t="s">
        <v>616</v>
      </c>
      <c r="BK43" s="121" t="s">
        <v>616</v>
      </c>
      <c r="BL43" s="121" t="s">
        <v>616</v>
      </c>
      <c r="BM43" s="121" t="s">
        <v>616</v>
      </c>
      <c r="BN43" s="121" t="s">
        <v>616</v>
      </c>
      <c r="BO43" s="121" t="s">
        <v>616</v>
      </c>
      <c r="BP43" s="449"/>
      <c r="BQ43" s="449"/>
      <c r="BR43" s="449"/>
      <c r="BS43" s="125" t="s">
        <v>616</v>
      </c>
      <c r="BT43" s="121"/>
      <c r="BU43" s="121"/>
      <c r="BV43" s="121"/>
      <c r="BW43" s="121"/>
      <c r="BX43" s="121"/>
      <c r="BY43" s="121"/>
      <c r="BZ43" s="121"/>
      <c r="CA43" s="450"/>
      <c r="CB43" s="121"/>
      <c r="CC43" s="121"/>
      <c r="CD43" s="121"/>
      <c r="CE43" s="121"/>
      <c r="CF43" s="451"/>
    </row>
    <row r="44" spans="1:84" s="446" customFormat="1" ht="16.350000000000001" customHeight="1" thickBot="1">
      <c r="A44" s="439"/>
      <c r="B44" s="439"/>
      <c r="C44" s="459"/>
      <c r="D44" s="459"/>
      <c r="E44" s="459"/>
      <c r="F44" s="447" t="s">
        <v>609</v>
      </c>
      <c r="G44" s="121" t="s">
        <v>647</v>
      </c>
      <c r="H44" s="125" t="s">
        <v>398</v>
      </c>
      <c r="I44" s="452">
        <v>122</v>
      </c>
      <c r="J44" s="452" t="s">
        <v>629</v>
      </c>
      <c r="K44" s="452" t="s">
        <v>611</v>
      </c>
      <c r="L44" s="452" t="s">
        <v>648</v>
      </c>
      <c r="M44" s="452" t="s">
        <v>330</v>
      </c>
      <c r="N44" s="452" t="s">
        <v>94</v>
      </c>
      <c r="O44" s="452" t="s">
        <v>611</v>
      </c>
      <c r="P44" s="452" t="s">
        <v>611</v>
      </c>
      <c r="Q44" s="452" t="s">
        <v>628</v>
      </c>
      <c r="R44" s="452">
        <v>22</v>
      </c>
      <c r="S44" s="452" t="s">
        <v>619</v>
      </c>
      <c r="T44" s="452"/>
      <c r="U44" s="452" t="s">
        <v>93</v>
      </c>
      <c r="V44" s="452" t="s">
        <v>280</v>
      </c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 t="s">
        <v>616</v>
      </c>
      <c r="BG44" s="121" t="s">
        <v>616</v>
      </c>
      <c r="BH44" s="121" t="s">
        <v>616</v>
      </c>
      <c r="BI44" s="121" t="s">
        <v>616</v>
      </c>
      <c r="BJ44" s="121" t="s">
        <v>616</v>
      </c>
      <c r="BK44" s="121" t="s">
        <v>616</v>
      </c>
      <c r="BL44" s="121" t="s">
        <v>616</v>
      </c>
      <c r="BM44" s="121" t="s">
        <v>616</v>
      </c>
      <c r="BN44" s="121" t="s">
        <v>616</v>
      </c>
      <c r="BO44" s="121" t="s">
        <v>616</v>
      </c>
      <c r="BP44" s="449"/>
      <c r="BQ44" s="449"/>
      <c r="BR44" s="449"/>
      <c r="BS44" s="125" t="s">
        <v>616</v>
      </c>
      <c r="BT44" s="121"/>
      <c r="BU44" s="121"/>
      <c r="BV44" s="121"/>
      <c r="BW44" s="121"/>
      <c r="BX44" s="121"/>
      <c r="BY44" s="121"/>
      <c r="BZ44" s="121"/>
      <c r="CA44" s="450"/>
      <c r="CB44" s="121"/>
      <c r="CC44" s="121"/>
      <c r="CD44" s="121"/>
      <c r="CE44" s="121"/>
      <c r="CF44" s="451"/>
    </row>
    <row r="45" spans="1:84" s="446" customFormat="1" ht="16.350000000000001" customHeight="1">
      <c r="A45" s="439"/>
      <c r="B45" s="439"/>
      <c r="C45" s="459"/>
      <c r="D45" s="459"/>
      <c r="E45" s="459"/>
      <c r="F45" s="447" t="s">
        <v>609</v>
      </c>
      <c r="G45" s="121" t="s">
        <v>647</v>
      </c>
      <c r="H45" s="125" t="s">
        <v>398</v>
      </c>
      <c r="I45" s="137">
        <v>111</v>
      </c>
      <c r="J45" s="137" t="s">
        <v>629</v>
      </c>
      <c r="K45" s="137" t="s">
        <v>611</v>
      </c>
      <c r="L45" s="137" t="s">
        <v>648</v>
      </c>
      <c r="M45" s="137" t="s">
        <v>330</v>
      </c>
      <c r="N45" s="137" t="s">
        <v>649</v>
      </c>
      <c r="O45" s="137" t="s">
        <v>639</v>
      </c>
      <c r="P45" s="137" t="s">
        <v>611</v>
      </c>
      <c r="Q45" s="137" t="s">
        <v>628</v>
      </c>
      <c r="R45" s="137">
        <v>11</v>
      </c>
      <c r="S45" s="137" t="s">
        <v>621</v>
      </c>
      <c r="T45" s="137"/>
      <c r="U45" s="137" t="s">
        <v>53</v>
      </c>
      <c r="V45" s="137" t="s">
        <v>640</v>
      </c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 t="s">
        <v>616</v>
      </c>
      <c r="BG45" s="121" t="s">
        <v>616</v>
      </c>
      <c r="BH45" s="121" t="s">
        <v>616</v>
      </c>
      <c r="BI45" s="121" t="s">
        <v>616</v>
      </c>
      <c r="BJ45" s="121" t="s">
        <v>616</v>
      </c>
      <c r="BK45" s="121" t="s">
        <v>616</v>
      </c>
      <c r="BL45" s="121" t="s">
        <v>616</v>
      </c>
      <c r="BM45" s="121" t="s">
        <v>616</v>
      </c>
      <c r="BN45" s="121" t="s">
        <v>616</v>
      </c>
      <c r="BO45" s="121" t="s">
        <v>616</v>
      </c>
      <c r="BP45" s="449"/>
      <c r="BQ45" s="449"/>
      <c r="BR45" s="449"/>
      <c r="BS45" s="125" t="s">
        <v>616</v>
      </c>
      <c r="BT45" s="121"/>
      <c r="BU45" s="121"/>
      <c r="BV45" s="121"/>
      <c r="BW45" s="121"/>
      <c r="BX45" s="121"/>
      <c r="BY45" s="121"/>
      <c r="BZ45" s="121"/>
      <c r="CA45" s="450"/>
      <c r="CB45" s="121"/>
      <c r="CC45" s="121"/>
      <c r="CD45" s="121"/>
      <c r="CE45" s="121"/>
      <c r="CF45" s="451"/>
    </row>
    <row r="46" spans="1:84" s="446" customFormat="1" ht="16.350000000000001" customHeight="1" thickBot="1">
      <c r="A46" s="439"/>
      <c r="B46" s="439"/>
      <c r="C46" s="459"/>
      <c r="D46" s="459"/>
      <c r="E46" s="459"/>
      <c r="F46" s="447" t="s">
        <v>609</v>
      </c>
      <c r="G46" s="452" t="s">
        <v>647</v>
      </c>
      <c r="H46" s="467" t="s">
        <v>638</v>
      </c>
      <c r="I46" s="452">
        <v>122</v>
      </c>
      <c r="J46" s="452" t="s">
        <v>629</v>
      </c>
      <c r="K46" s="452" t="s">
        <v>611</v>
      </c>
      <c r="L46" s="452" t="s">
        <v>648</v>
      </c>
      <c r="M46" s="452" t="s">
        <v>330</v>
      </c>
      <c r="N46" s="452" t="s">
        <v>94</v>
      </c>
      <c r="O46" s="452" t="s">
        <v>639</v>
      </c>
      <c r="P46" s="452" t="s">
        <v>611</v>
      </c>
      <c r="Q46" s="452" t="s">
        <v>628</v>
      </c>
      <c r="R46" s="452">
        <v>22</v>
      </c>
      <c r="S46" s="452" t="s">
        <v>621</v>
      </c>
      <c r="T46" s="452"/>
      <c r="U46" s="452" t="s">
        <v>93</v>
      </c>
      <c r="V46" s="452" t="s">
        <v>640</v>
      </c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 t="s">
        <v>616</v>
      </c>
      <c r="BG46" s="121" t="s">
        <v>616</v>
      </c>
      <c r="BH46" s="121" t="s">
        <v>616</v>
      </c>
      <c r="BI46" s="121" t="s">
        <v>616</v>
      </c>
      <c r="BJ46" s="121" t="s">
        <v>616</v>
      </c>
      <c r="BK46" s="121" t="s">
        <v>616</v>
      </c>
      <c r="BL46" s="121" t="s">
        <v>616</v>
      </c>
      <c r="BM46" s="121" t="s">
        <v>616</v>
      </c>
      <c r="BN46" s="121" t="s">
        <v>616</v>
      </c>
      <c r="BO46" s="121" t="s">
        <v>616</v>
      </c>
      <c r="BP46" s="449"/>
      <c r="BQ46" s="449"/>
      <c r="BR46" s="449"/>
      <c r="BS46" s="125" t="s">
        <v>616</v>
      </c>
      <c r="BT46" s="121"/>
      <c r="BU46" s="121"/>
      <c r="BV46" s="121"/>
      <c r="BW46" s="121"/>
      <c r="BX46" s="121"/>
      <c r="BY46" s="121"/>
      <c r="BZ46" s="121"/>
      <c r="CA46" s="450"/>
      <c r="CB46" s="121"/>
      <c r="CC46" s="121"/>
      <c r="CD46" s="121"/>
      <c r="CE46" s="121"/>
      <c r="CF46" s="451"/>
    </row>
    <row r="47" spans="1:84" s="446" customFormat="1" ht="16.350000000000001" customHeight="1">
      <c r="A47" s="439"/>
      <c r="B47" s="439"/>
      <c r="C47" s="459"/>
      <c r="D47" s="459"/>
      <c r="E47" s="459"/>
      <c r="F47" s="447" t="s">
        <v>609</v>
      </c>
      <c r="G47" s="121" t="s">
        <v>650</v>
      </c>
      <c r="H47" s="125" t="s">
        <v>398</v>
      </c>
      <c r="I47" s="121" t="s">
        <v>651</v>
      </c>
      <c r="J47" s="137" t="s">
        <v>652</v>
      </c>
      <c r="K47" s="137" t="s">
        <v>611</v>
      </c>
      <c r="L47" s="137" t="s">
        <v>653</v>
      </c>
      <c r="M47" s="121" t="s">
        <v>54</v>
      </c>
      <c r="N47" s="137" t="s">
        <v>121</v>
      </c>
      <c r="O47" s="137" t="s">
        <v>611</v>
      </c>
      <c r="P47" s="137" t="s">
        <v>611</v>
      </c>
      <c r="Q47" s="137" t="s">
        <v>628</v>
      </c>
      <c r="R47" s="121">
        <v>51</v>
      </c>
      <c r="S47" s="121" t="s">
        <v>619</v>
      </c>
      <c r="T47" s="121"/>
      <c r="U47" s="121" t="s">
        <v>119</v>
      </c>
      <c r="V47" s="121" t="s">
        <v>280</v>
      </c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 t="s">
        <v>616</v>
      </c>
      <c r="BG47" s="121" t="s">
        <v>616</v>
      </c>
      <c r="BH47" s="121" t="s">
        <v>616</v>
      </c>
      <c r="BI47" s="121" t="s">
        <v>616</v>
      </c>
      <c r="BJ47" s="121" t="s">
        <v>616</v>
      </c>
      <c r="BK47" s="121" t="s">
        <v>616</v>
      </c>
      <c r="BL47" s="121" t="s">
        <v>616</v>
      </c>
      <c r="BM47" s="121" t="s">
        <v>616</v>
      </c>
      <c r="BN47" s="121" t="s">
        <v>616</v>
      </c>
      <c r="BO47" s="121" t="s">
        <v>616</v>
      </c>
      <c r="BP47" s="449"/>
      <c r="BQ47" s="449"/>
      <c r="BR47" s="449"/>
      <c r="BS47" s="125" t="s">
        <v>616</v>
      </c>
      <c r="BT47" s="121"/>
      <c r="BU47" s="121"/>
      <c r="BV47" s="121"/>
      <c r="BW47" s="121"/>
      <c r="BX47" s="121"/>
      <c r="BY47" s="121"/>
      <c r="BZ47" s="121"/>
      <c r="CA47" s="450"/>
      <c r="CB47" s="121"/>
      <c r="CC47" s="121"/>
      <c r="CD47" s="121"/>
      <c r="CE47" s="121"/>
      <c r="CF47" s="451"/>
    </row>
    <row r="48" spans="1:84" s="446" customFormat="1" ht="16.350000000000001" customHeight="1">
      <c r="A48" s="439"/>
      <c r="B48" s="439"/>
      <c r="C48" s="459"/>
      <c r="D48" s="459"/>
      <c r="E48" s="459"/>
      <c r="F48" s="447" t="s">
        <v>609</v>
      </c>
      <c r="G48" s="121" t="s">
        <v>650</v>
      </c>
      <c r="H48" s="125" t="s">
        <v>398</v>
      </c>
      <c r="I48" s="121" t="s">
        <v>654</v>
      </c>
      <c r="J48" s="137" t="s">
        <v>652</v>
      </c>
      <c r="K48" s="137" t="s">
        <v>611</v>
      </c>
      <c r="L48" s="137" t="s">
        <v>653</v>
      </c>
      <c r="M48" s="121" t="s">
        <v>54</v>
      </c>
      <c r="N48" s="137" t="s">
        <v>125</v>
      </c>
      <c r="O48" s="137" t="s">
        <v>611</v>
      </c>
      <c r="P48" s="137" t="s">
        <v>611</v>
      </c>
      <c r="Q48" s="137" t="s">
        <v>628</v>
      </c>
      <c r="R48" s="121">
        <v>52</v>
      </c>
      <c r="S48" s="121" t="s">
        <v>619</v>
      </c>
      <c r="T48" s="121"/>
      <c r="U48" s="121" t="s">
        <v>123</v>
      </c>
      <c r="V48" s="121" t="s">
        <v>280</v>
      </c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 t="s">
        <v>616</v>
      </c>
      <c r="BG48" s="121" t="s">
        <v>616</v>
      </c>
      <c r="BH48" s="121" t="s">
        <v>616</v>
      </c>
      <c r="BI48" s="121" t="s">
        <v>616</v>
      </c>
      <c r="BJ48" s="121" t="s">
        <v>616</v>
      </c>
      <c r="BK48" s="121" t="s">
        <v>616</v>
      </c>
      <c r="BL48" s="121" t="s">
        <v>616</v>
      </c>
      <c r="BM48" s="121" t="s">
        <v>616</v>
      </c>
      <c r="BN48" s="121" t="s">
        <v>616</v>
      </c>
      <c r="BO48" s="121" t="s">
        <v>616</v>
      </c>
      <c r="BP48" s="449"/>
      <c r="BQ48" s="449"/>
      <c r="BR48" s="449"/>
      <c r="BS48" s="125" t="s">
        <v>616</v>
      </c>
      <c r="BT48" s="121"/>
      <c r="BU48" s="121"/>
      <c r="BV48" s="121"/>
      <c r="BW48" s="121"/>
      <c r="BX48" s="121"/>
      <c r="BY48" s="121"/>
      <c r="BZ48" s="121"/>
      <c r="CA48" s="450"/>
      <c r="CB48" s="121"/>
      <c r="CC48" s="121"/>
      <c r="CD48" s="121"/>
      <c r="CE48" s="121"/>
      <c r="CF48" s="451"/>
    </row>
    <row r="49" spans="1:84" s="446" customFormat="1" ht="16.350000000000001" customHeight="1">
      <c r="A49" s="439"/>
      <c r="B49" s="439"/>
      <c r="C49" s="459"/>
      <c r="D49" s="459"/>
      <c r="E49" s="459"/>
      <c r="F49" s="447" t="s">
        <v>609</v>
      </c>
      <c r="G49" s="121" t="s">
        <v>650</v>
      </c>
      <c r="H49" s="125" t="s">
        <v>398</v>
      </c>
      <c r="I49" s="121" t="s">
        <v>655</v>
      </c>
      <c r="J49" s="137" t="s">
        <v>652</v>
      </c>
      <c r="K49" s="137" t="s">
        <v>611</v>
      </c>
      <c r="L49" s="137" t="s">
        <v>653</v>
      </c>
      <c r="M49" s="121" t="s">
        <v>54</v>
      </c>
      <c r="N49" s="137" t="s">
        <v>136</v>
      </c>
      <c r="O49" s="137" t="s">
        <v>611</v>
      </c>
      <c r="P49" s="137" t="s">
        <v>611</v>
      </c>
      <c r="Q49" s="137" t="s">
        <v>628</v>
      </c>
      <c r="R49" s="121">
        <v>62</v>
      </c>
      <c r="S49" s="121" t="s">
        <v>619</v>
      </c>
      <c r="T49" s="121"/>
      <c r="U49" s="121" t="s">
        <v>134</v>
      </c>
      <c r="V49" s="121" t="s">
        <v>280</v>
      </c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 t="s">
        <v>616</v>
      </c>
      <c r="BG49" s="121" t="s">
        <v>616</v>
      </c>
      <c r="BH49" s="121" t="s">
        <v>616</v>
      </c>
      <c r="BI49" s="121" t="s">
        <v>616</v>
      </c>
      <c r="BJ49" s="121" t="s">
        <v>616</v>
      </c>
      <c r="BK49" s="121" t="s">
        <v>616</v>
      </c>
      <c r="BL49" s="121" t="s">
        <v>616</v>
      </c>
      <c r="BM49" s="121" t="s">
        <v>616</v>
      </c>
      <c r="BN49" s="121" t="s">
        <v>616</v>
      </c>
      <c r="BO49" s="121" t="s">
        <v>616</v>
      </c>
      <c r="BP49" s="449"/>
      <c r="BQ49" s="449"/>
      <c r="BR49" s="449"/>
      <c r="BS49" s="125" t="s">
        <v>616</v>
      </c>
      <c r="BT49" s="121"/>
      <c r="BU49" s="121"/>
      <c r="BV49" s="121"/>
      <c r="BW49" s="121"/>
      <c r="BX49" s="121"/>
      <c r="BY49" s="121"/>
      <c r="BZ49" s="121"/>
      <c r="CA49" s="450"/>
      <c r="CB49" s="121"/>
      <c r="CC49" s="121"/>
      <c r="CD49" s="121"/>
      <c r="CE49" s="121"/>
      <c r="CF49" s="451"/>
    </row>
    <row r="50" spans="1:84" s="446" customFormat="1" ht="16.350000000000001" customHeight="1">
      <c r="A50" s="439"/>
      <c r="B50" s="439"/>
      <c r="C50" s="459"/>
      <c r="D50" s="459"/>
      <c r="E50" s="459"/>
      <c r="F50" s="447" t="s">
        <v>609</v>
      </c>
      <c r="G50" s="121" t="s">
        <v>650</v>
      </c>
      <c r="H50" s="125" t="s">
        <v>398</v>
      </c>
      <c r="I50" s="121" t="s">
        <v>656</v>
      </c>
      <c r="J50" s="137" t="s">
        <v>652</v>
      </c>
      <c r="K50" s="137" t="s">
        <v>611</v>
      </c>
      <c r="L50" s="137" t="s">
        <v>653</v>
      </c>
      <c r="M50" s="121" t="s">
        <v>54</v>
      </c>
      <c r="N50" s="137" t="s">
        <v>127</v>
      </c>
      <c r="O50" s="137" t="s">
        <v>611</v>
      </c>
      <c r="P50" s="137" t="s">
        <v>611</v>
      </c>
      <c r="Q50" s="137" t="s">
        <v>628</v>
      </c>
      <c r="R50" s="121">
        <v>71</v>
      </c>
      <c r="S50" s="121" t="s">
        <v>619</v>
      </c>
      <c r="T50" s="121"/>
      <c r="U50" s="121" t="s">
        <v>127</v>
      </c>
      <c r="V50" s="121" t="s">
        <v>280</v>
      </c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 t="s">
        <v>616</v>
      </c>
      <c r="BG50" s="121" t="s">
        <v>616</v>
      </c>
      <c r="BH50" s="121" t="s">
        <v>616</v>
      </c>
      <c r="BI50" s="121" t="s">
        <v>616</v>
      </c>
      <c r="BJ50" s="121" t="s">
        <v>616</v>
      </c>
      <c r="BK50" s="121" t="s">
        <v>616</v>
      </c>
      <c r="BL50" s="121" t="s">
        <v>616</v>
      </c>
      <c r="BM50" s="121" t="s">
        <v>616</v>
      </c>
      <c r="BN50" s="121" t="s">
        <v>616</v>
      </c>
      <c r="BO50" s="121" t="s">
        <v>616</v>
      </c>
      <c r="BP50" s="449"/>
      <c r="BQ50" s="449"/>
      <c r="BR50" s="449"/>
      <c r="BS50" s="125" t="s">
        <v>616</v>
      </c>
      <c r="BT50" s="121"/>
      <c r="BU50" s="121"/>
      <c r="BV50" s="121"/>
      <c r="BW50" s="121"/>
      <c r="BX50" s="121"/>
      <c r="BY50" s="121"/>
      <c r="BZ50" s="121"/>
      <c r="CA50" s="450"/>
      <c r="CB50" s="121"/>
      <c r="CC50" s="121"/>
      <c r="CD50" s="121"/>
      <c r="CE50" s="121"/>
      <c r="CF50" s="451"/>
    </row>
    <row r="51" spans="1:84" s="446" customFormat="1" ht="16.350000000000001" customHeight="1" thickBot="1">
      <c r="A51" s="439"/>
      <c r="B51" s="439"/>
      <c r="C51" s="459"/>
      <c r="D51" s="459"/>
      <c r="E51" s="459"/>
      <c r="F51" s="447" t="s">
        <v>609</v>
      </c>
      <c r="G51" s="121" t="s">
        <v>650</v>
      </c>
      <c r="H51" s="125" t="s">
        <v>398</v>
      </c>
      <c r="I51" s="452" t="s">
        <v>657</v>
      </c>
      <c r="J51" s="452" t="s">
        <v>652</v>
      </c>
      <c r="K51" s="452" t="s">
        <v>611</v>
      </c>
      <c r="L51" s="452" t="s">
        <v>653</v>
      </c>
      <c r="M51" s="452" t="s">
        <v>54</v>
      </c>
      <c r="N51" s="452" t="s">
        <v>133</v>
      </c>
      <c r="O51" s="452" t="s">
        <v>611</v>
      </c>
      <c r="P51" s="452" t="s">
        <v>611</v>
      </c>
      <c r="Q51" s="452" t="s">
        <v>628</v>
      </c>
      <c r="R51" s="452" t="s">
        <v>396</v>
      </c>
      <c r="S51" s="452" t="s">
        <v>619</v>
      </c>
      <c r="T51" s="452"/>
      <c r="U51" s="452" t="s">
        <v>133</v>
      </c>
      <c r="V51" s="452" t="s">
        <v>280</v>
      </c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 t="s">
        <v>616</v>
      </c>
      <c r="BG51" s="121" t="s">
        <v>616</v>
      </c>
      <c r="BH51" s="121" t="s">
        <v>616</v>
      </c>
      <c r="BI51" s="121" t="s">
        <v>616</v>
      </c>
      <c r="BJ51" s="121" t="s">
        <v>616</v>
      </c>
      <c r="BK51" s="121" t="s">
        <v>616</v>
      </c>
      <c r="BL51" s="121" t="s">
        <v>616</v>
      </c>
      <c r="BM51" s="121" t="s">
        <v>616</v>
      </c>
      <c r="BN51" s="121" t="s">
        <v>616</v>
      </c>
      <c r="BO51" s="121" t="s">
        <v>616</v>
      </c>
      <c r="BP51" s="449"/>
      <c r="BQ51" s="449"/>
      <c r="BR51" s="449"/>
      <c r="BS51" s="125" t="s">
        <v>616</v>
      </c>
      <c r="BT51" s="121"/>
      <c r="BU51" s="121"/>
      <c r="BV51" s="121"/>
      <c r="BW51" s="121"/>
      <c r="BX51" s="121"/>
      <c r="BY51" s="121"/>
      <c r="BZ51" s="121"/>
      <c r="CA51" s="450"/>
      <c r="CB51" s="121"/>
      <c r="CC51" s="121"/>
      <c r="CD51" s="121"/>
      <c r="CE51" s="121"/>
      <c r="CF51" s="451"/>
    </row>
    <row r="52" spans="1:84" s="446" customFormat="1" ht="16.350000000000001" customHeight="1">
      <c r="A52" s="439"/>
      <c r="B52" s="439"/>
      <c r="C52" s="459"/>
      <c r="D52" s="459"/>
      <c r="E52" s="459"/>
      <c r="F52" s="447" t="s">
        <v>609</v>
      </c>
      <c r="G52" s="121" t="s">
        <v>650</v>
      </c>
      <c r="H52" s="125" t="s">
        <v>398</v>
      </c>
      <c r="I52" s="121" t="s">
        <v>651</v>
      </c>
      <c r="J52" s="137" t="s">
        <v>652</v>
      </c>
      <c r="K52" s="137" t="s">
        <v>611</v>
      </c>
      <c r="L52" s="137" t="s">
        <v>653</v>
      </c>
      <c r="M52" s="137" t="s">
        <v>54</v>
      </c>
      <c r="N52" s="137" t="s">
        <v>121</v>
      </c>
      <c r="O52" s="137" t="s">
        <v>639</v>
      </c>
      <c r="P52" s="137" t="s">
        <v>611</v>
      </c>
      <c r="Q52" s="137" t="s">
        <v>628</v>
      </c>
      <c r="R52" s="121">
        <v>51</v>
      </c>
      <c r="S52" s="137" t="s">
        <v>621</v>
      </c>
      <c r="T52" s="137"/>
      <c r="U52" s="137" t="s">
        <v>119</v>
      </c>
      <c r="V52" s="137" t="s">
        <v>640</v>
      </c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 t="s">
        <v>616</v>
      </c>
      <c r="BG52" s="121" t="s">
        <v>616</v>
      </c>
      <c r="BH52" s="121" t="s">
        <v>616</v>
      </c>
      <c r="BI52" s="121" t="s">
        <v>616</v>
      </c>
      <c r="BJ52" s="121" t="s">
        <v>616</v>
      </c>
      <c r="BK52" s="121" t="s">
        <v>616</v>
      </c>
      <c r="BL52" s="121" t="s">
        <v>616</v>
      </c>
      <c r="BM52" s="121" t="s">
        <v>616</v>
      </c>
      <c r="BN52" s="121" t="s">
        <v>616</v>
      </c>
      <c r="BO52" s="121" t="s">
        <v>616</v>
      </c>
      <c r="BP52" s="449"/>
      <c r="BQ52" s="449"/>
      <c r="BR52" s="449"/>
      <c r="BS52" s="125" t="s">
        <v>616</v>
      </c>
      <c r="BT52" s="121"/>
      <c r="BU52" s="121"/>
      <c r="BV52" s="121"/>
      <c r="BW52" s="121"/>
      <c r="BX52" s="121"/>
      <c r="BY52" s="121"/>
      <c r="BZ52" s="121"/>
      <c r="CA52" s="450"/>
      <c r="CB52" s="121"/>
      <c r="CC52" s="121"/>
      <c r="CD52" s="121"/>
      <c r="CE52" s="121"/>
      <c r="CF52" s="451"/>
    </row>
    <row r="53" spans="1:84" s="446" customFormat="1" ht="16.350000000000001" customHeight="1">
      <c r="A53" s="439"/>
      <c r="B53" s="439"/>
      <c r="C53" s="459"/>
      <c r="D53" s="459"/>
      <c r="E53" s="459"/>
      <c r="F53" s="447" t="s">
        <v>609</v>
      </c>
      <c r="G53" s="121" t="s">
        <v>650</v>
      </c>
      <c r="H53" s="125" t="s">
        <v>398</v>
      </c>
      <c r="I53" s="121" t="s">
        <v>654</v>
      </c>
      <c r="J53" s="137" t="s">
        <v>652</v>
      </c>
      <c r="K53" s="137" t="s">
        <v>611</v>
      </c>
      <c r="L53" s="137" t="s">
        <v>653</v>
      </c>
      <c r="M53" s="121" t="s">
        <v>54</v>
      </c>
      <c r="N53" s="137" t="s">
        <v>125</v>
      </c>
      <c r="O53" s="137" t="s">
        <v>639</v>
      </c>
      <c r="P53" s="137" t="s">
        <v>611</v>
      </c>
      <c r="Q53" s="137" t="s">
        <v>628</v>
      </c>
      <c r="R53" s="121">
        <v>52</v>
      </c>
      <c r="S53" s="121" t="s">
        <v>621</v>
      </c>
      <c r="T53" s="121"/>
      <c r="U53" s="121" t="s">
        <v>123</v>
      </c>
      <c r="V53" s="121" t="s">
        <v>640</v>
      </c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 t="s">
        <v>616</v>
      </c>
      <c r="BG53" s="121" t="s">
        <v>616</v>
      </c>
      <c r="BH53" s="121" t="s">
        <v>616</v>
      </c>
      <c r="BI53" s="121" t="s">
        <v>616</v>
      </c>
      <c r="BJ53" s="121" t="s">
        <v>616</v>
      </c>
      <c r="BK53" s="121" t="s">
        <v>616</v>
      </c>
      <c r="BL53" s="121" t="s">
        <v>616</v>
      </c>
      <c r="BM53" s="121" t="s">
        <v>616</v>
      </c>
      <c r="BN53" s="121" t="s">
        <v>616</v>
      </c>
      <c r="BO53" s="121" t="s">
        <v>616</v>
      </c>
      <c r="BP53" s="449"/>
      <c r="BQ53" s="449"/>
      <c r="BR53" s="449"/>
      <c r="BS53" s="125" t="s">
        <v>616</v>
      </c>
      <c r="BT53" s="121"/>
      <c r="BU53" s="121"/>
      <c r="BV53" s="121"/>
      <c r="BW53" s="121"/>
      <c r="BX53" s="121"/>
      <c r="BY53" s="121"/>
      <c r="BZ53" s="121"/>
      <c r="CA53" s="450"/>
      <c r="CB53" s="121"/>
      <c r="CC53" s="121"/>
      <c r="CD53" s="121"/>
      <c r="CE53" s="121"/>
      <c r="CF53" s="451"/>
    </row>
    <row r="54" spans="1:84" s="446" customFormat="1" ht="16.350000000000001" customHeight="1">
      <c r="A54" s="439"/>
      <c r="B54" s="439"/>
      <c r="C54" s="459"/>
      <c r="D54" s="459"/>
      <c r="E54" s="459"/>
      <c r="F54" s="447" t="s">
        <v>609</v>
      </c>
      <c r="G54" s="121" t="s">
        <v>650</v>
      </c>
      <c r="H54" s="125" t="s">
        <v>398</v>
      </c>
      <c r="I54" s="121" t="s">
        <v>655</v>
      </c>
      <c r="J54" s="137" t="s">
        <v>652</v>
      </c>
      <c r="K54" s="137" t="s">
        <v>611</v>
      </c>
      <c r="L54" s="137" t="s">
        <v>653</v>
      </c>
      <c r="M54" s="121" t="s">
        <v>54</v>
      </c>
      <c r="N54" s="137" t="s">
        <v>136</v>
      </c>
      <c r="O54" s="137" t="s">
        <v>639</v>
      </c>
      <c r="P54" s="137" t="s">
        <v>611</v>
      </c>
      <c r="Q54" s="137" t="s">
        <v>628</v>
      </c>
      <c r="R54" s="121">
        <v>62</v>
      </c>
      <c r="S54" s="121" t="s">
        <v>621</v>
      </c>
      <c r="T54" s="121"/>
      <c r="U54" s="121" t="s">
        <v>134</v>
      </c>
      <c r="V54" s="121" t="s">
        <v>640</v>
      </c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 t="s">
        <v>616</v>
      </c>
      <c r="BG54" s="121" t="s">
        <v>616</v>
      </c>
      <c r="BH54" s="121" t="s">
        <v>616</v>
      </c>
      <c r="BI54" s="121" t="s">
        <v>616</v>
      </c>
      <c r="BJ54" s="121" t="s">
        <v>616</v>
      </c>
      <c r="BK54" s="121" t="s">
        <v>616</v>
      </c>
      <c r="BL54" s="121" t="s">
        <v>616</v>
      </c>
      <c r="BM54" s="121" t="s">
        <v>616</v>
      </c>
      <c r="BN54" s="121" t="s">
        <v>616</v>
      </c>
      <c r="BO54" s="121" t="s">
        <v>616</v>
      </c>
      <c r="BP54" s="449"/>
      <c r="BQ54" s="449"/>
      <c r="BR54" s="449"/>
      <c r="BS54" s="125" t="s">
        <v>616</v>
      </c>
      <c r="BT54" s="121"/>
      <c r="BU54" s="121"/>
      <c r="BV54" s="121"/>
      <c r="BW54" s="121"/>
      <c r="BX54" s="121"/>
      <c r="BY54" s="121"/>
      <c r="BZ54" s="121"/>
      <c r="CA54" s="450"/>
      <c r="CB54" s="121"/>
      <c r="CC54" s="121"/>
      <c r="CD54" s="121"/>
      <c r="CE54" s="121"/>
      <c r="CF54" s="451"/>
    </row>
    <row r="55" spans="1:84" s="446" customFormat="1" ht="16.350000000000001" customHeight="1">
      <c r="A55" s="439"/>
      <c r="B55" s="439"/>
      <c r="C55" s="459"/>
      <c r="D55" s="459"/>
      <c r="E55" s="459"/>
      <c r="F55" s="447" t="s">
        <v>609</v>
      </c>
      <c r="G55" s="121" t="s">
        <v>650</v>
      </c>
      <c r="H55" s="125" t="s">
        <v>398</v>
      </c>
      <c r="I55" s="121" t="s">
        <v>656</v>
      </c>
      <c r="J55" s="137" t="s">
        <v>652</v>
      </c>
      <c r="K55" s="137" t="s">
        <v>611</v>
      </c>
      <c r="L55" s="137" t="s">
        <v>653</v>
      </c>
      <c r="M55" s="121" t="s">
        <v>54</v>
      </c>
      <c r="N55" s="137" t="s">
        <v>127</v>
      </c>
      <c r="O55" s="137" t="s">
        <v>639</v>
      </c>
      <c r="P55" s="137" t="s">
        <v>611</v>
      </c>
      <c r="Q55" s="137" t="s">
        <v>628</v>
      </c>
      <c r="R55" s="121">
        <v>71</v>
      </c>
      <c r="S55" s="121" t="s">
        <v>621</v>
      </c>
      <c r="T55" s="121"/>
      <c r="U55" s="121" t="s">
        <v>127</v>
      </c>
      <c r="V55" s="121" t="s">
        <v>640</v>
      </c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 t="s">
        <v>616</v>
      </c>
      <c r="BG55" s="121" t="s">
        <v>616</v>
      </c>
      <c r="BH55" s="121" t="s">
        <v>616</v>
      </c>
      <c r="BI55" s="121" t="s">
        <v>616</v>
      </c>
      <c r="BJ55" s="121" t="s">
        <v>616</v>
      </c>
      <c r="BK55" s="121" t="s">
        <v>616</v>
      </c>
      <c r="BL55" s="121" t="s">
        <v>616</v>
      </c>
      <c r="BM55" s="121" t="s">
        <v>616</v>
      </c>
      <c r="BN55" s="121" t="s">
        <v>616</v>
      </c>
      <c r="BO55" s="121" t="s">
        <v>616</v>
      </c>
      <c r="BP55" s="449"/>
      <c r="BQ55" s="449"/>
      <c r="BR55" s="449"/>
      <c r="BS55" s="125" t="s">
        <v>616</v>
      </c>
      <c r="BT55" s="121"/>
      <c r="BU55" s="121"/>
      <c r="BV55" s="121"/>
      <c r="BW55" s="121"/>
      <c r="BX55" s="121"/>
      <c r="BY55" s="121"/>
      <c r="BZ55" s="121"/>
      <c r="CA55" s="450"/>
      <c r="CB55" s="121"/>
      <c r="CC55" s="121"/>
      <c r="CD55" s="121"/>
      <c r="CE55" s="121"/>
      <c r="CF55" s="451"/>
    </row>
    <row r="56" spans="1:84" s="446" customFormat="1" ht="16.350000000000001" customHeight="1" thickBot="1">
      <c r="A56" s="439"/>
      <c r="B56" s="439"/>
      <c r="C56" s="459"/>
      <c r="D56" s="459"/>
      <c r="E56" s="459"/>
      <c r="F56" s="447" t="s">
        <v>609</v>
      </c>
      <c r="G56" s="121" t="s">
        <v>650</v>
      </c>
      <c r="H56" s="467" t="s">
        <v>398</v>
      </c>
      <c r="I56" s="452" t="s">
        <v>657</v>
      </c>
      <c r="J56" s="452" t="s">
        <v>652</v>
      </c>
      <c r="K56" s="452" t="s">
        <v>687</v>
      </c>
      <c r="L56" s="452" t="s">
        <v>653</v>
      </c>
      <c r="M56" s="452" t="s">
        <v>54</v>
      </c>
      <c r="N56" s="452" t="s">
        <v>133</v>
      </c>
      <c r="O56" s="452" t="s">
        <v>639</v>
      </c>
      <c r="P56" s="452" t="s">
        <v>611</v>
      </c>
      <c r="Q56" s="452" t="s">
        <v>628</v>
      </c>
      <c r="R56" s="452" t="s">
        <v>396</v>
      </c>
      <c r="S56" s="452" t="s">
        <v>621</v>
      </c>
      <c r="T56" s="452"/>
      <c r="U56" s="452" t="s">
        <v>133</v>
      </c>
      <c r="V56" s="452" t="s">
        <v>640</v>
      </c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 t="s">
        <v>616</v>
      </c>
      <c r="BG56" s="121" t="s">
        <v>616</v>
      </c>
      <c r="BH56" s="121" t="s">
        <v>616</v>
      </c>
      <c r="BI56" s="121" t="s">
        <v>616</v>
      </c>
      <c r="BJ56" s="121" t="s">
        <v>616</v>
      </c>
      <c r="BK56" s="121" t="s">
        <v>616</v>
      </c>
      <c r="BL56" s="121" t="s">
        <v>616</v>
      </c>
      <c r="BM56" s="121" t="s">
        <v>616</v>
      </c>
      <c r="BN56" s="121" t="s">
        <v>616</v>
      </c>
      <c r="BO56" s="121" t="s">
        <v>616</v>
      </c>
      <c r="BP56" s="449"/>
      <c r="BQ56" s="449"/>
      <c r="BR56" s="449"/>
      <c r="BS56" s="125" t="s">
        <v>616</v>
      </c>
      <c r="BT56" s="121"/>
      <c r="BU56" s="121"/>
      <c r="BV56" s="121"/>
      <c r="BW56" s="121"/>
      <c r="BX56" s="121"/>
      <c r="BY56" s="121"/>
      <c r="BZ56" s="121"/>
      <c r="CA56" s="450"/>
      <c r="CB56" s="121"/>
      <c r="CC56" s="121"/>
      <c r="CD56" s="121"/>
      <c r="CE56" s="121"/>
      <c r="CF56" s="451"/>
    </row>
    <row r="57" spans="1:84" s="446" customFormat="1" ht="16.350000000000001" customHeight="1">
      <c r="A57" s="439"/>
      <c r="B57" s="439"/>
      <c r="C57" s="459"/>
      <c r="D57" s="459"/>
      <c r="E57" s="459"/>
      <c r="F57" s="447" t="s">
        <v>609</v>
      </c>
      <c r="G57" s="121" t="s">
        <v>650</v>
      </c>
      <c r="H57" s="136">
        <v>9</v>
      </c>
      <c r="I57" s="137" t="s">
        <v>658</v>
      </c>
      <c r="J57" s="137" t="s">
        <v>612</v>
      </c>
      <c r="K57" s="137" t="s">
        <v>611</v>
      </c>
      <c r="L57" s="137" t="s">
        <v>653</v>
      </c>
      <c r="M57" s="137" t="s">
        <v>659</v>
      </c>
      <c r="N57" s="137" t="s">
        <v>187</v>
      </c>
      <c r="O57" s="137" t="s">
        <v>639</v>
      </c>
      <c r="P57" s="137" t="s">
        <v>611</v>
      </c>
      <c r="Q57" s="137" t="s">
        <v>628</v>
      </c>
      <c r="R57" s="137">
        <v>63</v>
      </c>
      <c r="S57" s="137" t="s">
        <v>621</v>
      </c>
      <c r="T57" s="137"/>
      <c r="U57" s="137" t="s">
        <v>184</v>
      </c>
      <c r="V57" s="137" t="s">
        <v>640</v>
      </c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 t="s">
        <v>616</v>
      </c>
      <c r="BG57" s="121" t="s">
        <v>616</v>
      </c>
      <c r="BH57" s="121" t="s">
        <v>616</v>
      </c>
      <c r="BI57" s="121" t="s">
        <v>616</v>
      </c>
      <c r="BJ57" s="121" t="s">
        <v>616</v>
      </c>
      <c r="BK57" s="121" t="s">
        <v>616</v>
      </c>
      <c r="BL57" s="121" t="s">
        <v>616</v>
      </c>
      <c r="BM57" s="121" t="s">
        <v>616</v>
      </c>
      <c r="BN57" s="121" t="s">
        <v>616</v>
      </c>
      <c r="BO57" s="121" t="s">
        <v>616</v>
      </c>
      <c r="BP57" s="449"/>
      <c r="BQ57" s="449"/>
      <c r="BR57" s="449"/>
      <c r="BS57" s="125" t="s">
        <v>616</v>
      </c>
      <c r="BT57" s="121"/>
      <c r="BU57" s="121"/>
      <c r="BV57" s="121"/>
      <c r="BW57" s="121"/>
      <c r="BX57" s="121"/>
      <c r="BY57" s="121"/>
      <c r="BZ57" s="121"/>
      <c r="CA57" s="450"/>
      <c r="CB57" s="121"/>
      <c r="CC57" s="121"/>
      <c r="CD57" s="121"/>
      <c r="CE57" s="121"/>
      <c r="CF57" s="451"/>
    </row>
    <row r="58" spans="1:84" s="446" customFormat="1" ht="16.350000000000001" customHeight="1">
      <c r="A58" s="439"/>
      <c r="B58" s="439"/>
      <c r="C58" s="459"/>
      <c r="D58" s="459"/>
      <c r="E58" s="459"/>
      <c r="F58" s="447" t="s">
        <v>609</v>
      </c>
      <c r="G58" s="121" t="s">
        <v>650</v>
      </c>
      <c r="H58" s="125">
        <v>9</v>
      </c>
      <c r="I58" s="121" t="s">
        <v>660</v>
      </c>
      <c r="J58" s="137" t="s">
        <v>612</v>
      </c>
      <c r="K58" s="137" t="s">
        <v>611</v>
      </c>
      <c r="L58" s="137" t="s">
        <v>653</v>
      </c>
      <c r="M58" s="121" t="s">
        <v>659</v>
      </c>
      <c r="N58" s="137" t="s">
        <v>191</v>
      </c>
      <c r="O58" s="137" t="s">
        <v>639</v>
      </c>
      <c r="P58" s="137" t="s">
        <v>611</v>
      </c>
      <c r="Q58" s="137" t="s">
        <v>628</v>
      </c>
      <c r="R58" s="121">
        <v>81</v>
      </c>
      <c r="S58" s="121" t="s">
        <v>621</v>
      </c>
      <c r="T58" s="121"/>
      <c r="U58" s="121" t="s">
        <v>189</v>
      </c>
      <c r="V58" s="121" t="s">
        <v>640</v>
      </c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 t="s">
        <v>616</v>
      </c>
      <c r="BG58" s="121" t="s">
        <v>616</v>
      </c>
      <c r="BH58" s="121" t="s">
        <v>616</v>
      </c>
      <c r="BI58" s="121" t="s">
        <v>616</v>
      </c>
      <c r="BJ58" s="121" t="s">
        <v>616</v>
      </c>
      <c r="BK58" s="121" t="s">
        <v>616</v>
      </c>
      <c r="BL58" s="121" t="s">
        <v>616</v>
      </c>
      <c r="BM58" s="121" t="s">
        <v>616</v>
      </c>
      <c r="BN58" s="121" t="s">
        <v>616</v>
      </c>
      <c r="BO58" s="121" t="s">
        <v>616</v>
      </c>
      <c r="BP58" s="449"/>
      <c r="BQ58" s="449"/>
      <c r="BR58" s="449"/>
      <c r="BS58" s="125" t="s">
        <v>616</v>
      </c>
      <c r="BT58" s="121"/>
      <c r="BU58" s="121"/>
      <c r="BV58" s="121"/>
      <c r="BW58" s="121"/>
      <c r="BX58" s="121"/>
      <c r="BY58" s="121"/>
      <c r="BZ58" s="121"/>
      <c r="CA58" s="450"/>
      <c r="CB58" s="121"/>
      <c r="CC58" s="121"/>
      <c r="CD58" s="121"/>
      <c r="CE58" s="121"/>
      <c r="CF58" s="451"/>
    </row>
    <row r="59" spans="1:84" s="446" customFormat="1" ht="16.350000000000001" customHeight="1">
      <c r="A59" s="439"/>
      <c r="B59" s="439"/>
      <c r="C59" s="459"/>
      <c r="D59" s="459"/>
      <c r="E59" s="459"/>
      <c r="F59" s="447" t="s">
        <v>609</v>
      </c>
      <c r="G59" s="121" t="s">
        <v>650</v>
      </c>
      <c r="H59" s="125">
        <v>9</v>
      </c>
      <c r="I59" s="121" t="s">
        <v>661</v>
      </c>
      <c r="J59" s="137" t="s">
        <v>612</v>
      </c>
      <c r="K59" s="137" t="s">
        <v>611</v>
      </c>
      <c r="L59" s="137" t="s">
        <v>653</v>
      </c>
      <c r="M59" s="121" t="s">
        <v>659</v>
      </c>
      <c r="N59" s="137" t="s">
        <v>192</v>
      </c>
      <c r="O59" s="137" t="s">
        <v>639</v>
      </c>
      <c r="P59" s="137" t="s">
        <v>611</v>
      </c>
      <c r="Q59" s="137" t="s">
        <v>628</v>
      </c>
      <c r="R59" s="121">
        <v>91</v>
      </c>
      <c r="S59" s="121" t="s">
        <v>621</v>
      </c>
      <c r="T59" s="121"/>
      <c r="U59" s="121" t="s">
        <v>192</v>
      </c>
      <c r="V59" s="121" t="s">
        <v>640</v>
      </c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 t="s">
        <v>616</v>
      </c>
      <c r="BG59" s="121" t="s">
        <v>616</v>
      </c>
      <c r="BH59" s="121" t="s">
        <v>616</v>
      </c>
      <c r="BI59" s="121" t="s">
        <v>616</v>
      </c>
      <c r="BJ59" s="121" t="s">
        <v>616</v>
      </c>
      <c r="BK59" s="121" t="s">
        <v>616</v>
      </c>
      <c r="BL59" s="121" t="s">
        <v>616</v>
      </c>
      <c r="BM59" s="121" t="s">
        <v>616</v>
      </c>
      <c r="BN59" s="121" t="s">
        <v>616</v>
      </c>
      <c r="BO59" s="121" t="s">
        <v>616</v>
      </c>
      <c r="BP59" s="449"/>
      <c r="BQ59" s="449"/>
      <c r="BR59" s="449"/>
      <c r="BS59" s="125" t="s">
        <v>616</v>
      </c>
      <c r="BT59" s="121"/>
      <c r="BU59" s="121"/>
      <c r="BV59" s="121"/>
      <c r="BW59" s="121"/>
      <c r="BX59" s="121"/>
      <c r="BY59" s="121"/>
      <c r="BZ59" s="121"/>
      <c r="CA59" s="450"/>
      <c r="CB59" s="121"/>
      <c r="CC59" s="121"/>
      <c r="CD59" s="121"/>
      <c r="CE59" s="121"/>
      <c r="CF59" s="451"/>
    </row>
    <row r="60" spans="1:84" s="446" customFormat="1" ht="16.350000000000001" customHeight="1" thickBot="1">
      <c r="A60" s="439"/>
      <c r="B60" s="439"/>
      <c r="C60" s="459"/>
      <c r="D60" s="459"/>
      <c r="E60" s="459"/>
      <c r="F60" s="447" t="s">
        <v>609</v>
      </c>
      <c r="G60" s="452" t="s">
        <v>650</v>
      </c>
      <c r="H60" s="467">
        <v>9</v>
      </c>
      <c r="I60" s="452" t="s">
        <v>662</v>
      </c>
      <c r="J60" s="452" t="s">
        <v>612</v>
      </c>
      <c r="K60" s="452" t="s">
        <v>611</v>
      </c>
      <c r="L60" s="452" t="s">
        <v>653</v>
      </c>
      <c r="M60" s="452" t="s">
        <v>659</v>
      </c>
      <c r="N60" s="452" t="s">
        <v>194</v>
      </c>
      <c r="O60" s="452" t="s">
        <v>639</v>
      </c>
      <c r="P60" s="452" t="s">
        <v>611</v>
      </c>
      <c r="Q60" s="452" t="s">
        <v>628</v>
      </c>
      <c r="R60" s="452">
        <v>92</v>
      </c>
      <c r="S60" s="452" t="s">
        <v>621</v>
      </c>
      <c r="T60" s="452"/>
      <c r="U60" s="452" t="s">
        <v>194</v>
      </c>
      <c r="V60" s="452" t="s">
        <v>640</v>
      </c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 t="s">
        <v>616</v>
      </c>
      <c r="BG60" s="121" t="s">
        <v>616</v>
      </c>
      <c r="BH60" s="121" t="s">
        <v>616</v>
      </c>
      <c r="BI60" s="121" t="s">
        <v>616</v>
      </c>
      <c r="BJ60" s="121" t="s">
        <v>616</v>
      </c>
      <c r="BK60" s="121" t="s">
        <v>616</v>
      </c>
      <c r="BL60" s="121" t="s">
        <v>616</v>
      </c>
      <c r="BM60" s="121" t="s">
        <v>616</v>
      </c>
      <c r="BN60" s="121" t="s">
        <v>616</v>
      </c>
      <c r="BO60" s="121" t="s">
        <v>616</v>
      </c>
      <c r="BP60" s="449"/>
      <c r="BQ60" s="449"/>
      <c r="BR60" s="449"/>
      <c r="BS60" s="125" t="s">
        <v>616</v>
      </c>
      <c r="BT60" s="121"/>
      <c r="BU60" s="121"/>
      <c r="BV60" s="121"/>
      <c r="BW60" s="121"/>
      <c r="BX60" s="121"/>
      <c r="BY60" s="121"/>
      <c r="BZ60" s="121"/>
      <c r="CA60" s="450"/>
      <c r="CB60" s="121"/>
      <c r="CC60" s="121"/>
      <c r="CD60" s="121"/>
      <c r="CE60" s="121"/>
      <c r="CF60" s="451"/>
    </row>
    <row r="61" spans="1:84" s="446" customFormat="1" ht="16.350000000000001" customHeight="1">
      <c r="A61" s="439"/>
      <c r="B61" s="439"/>
      <c r="C61" s="459"/>
      <c r="D61" s="459"/>
      <c r="E61" s="459"/>
      <c r="F61" s="447" t="s">
        <v>609</v>
      </c>
      <c r="G61" s="137">
        <v>40</v>
      </c>
      <c r="H61" s="136" t="s">
        <v>612</v>
      </c>
      <c r="I61" s="137" t="s">
        <v>663</v>
      </c>
      <c r="J61" s="137" t="s">
        <v>652</v>
      </c>
      <c r="K61" s="137" t="s">
        <v>687</v>
      </c>
      <c r="L61" s="137" t="s">
        <v>664</v>
      </c>
      <c r="M61" s="137" t="s">
        <v>330</v>
      </c>
      <c r="N61" s="137" t="s">
        <v>665</v>
      </c>
      <c r="O61" s="137" t="s">
        <v>611</v>
      </c>
      <c r="P61" s="137" t="s">
        <v>611</v>
      </c>
      <c r="Q61" s="137" t="s">
        <v>628</v>
      </c>
      <c r="R61" s="137">
        <v>33</v>
      </c>
      <c r="S61" s="137" t="s">
        <v>617</v>
      </c>
      <c r="T61" s="137"/>
      <c r="U61" s="137" t="s">
        <v>102</v>
      </c>
      <c r="V61" s="137" t="s">
        <v>274</v>
      </c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 t="s">
        <v>616</v>
      </c>
      <c r="BG61" s="121" t="s">
        <v>616</v>
      </c>
      <c r="BH61" s="121" t="s">
        <v>616</v>
      </c>
      <c r="BI61" s="121" t="s">
        <v>616</v>
      </c>
      <c r="BJ61" s="121" t="s">
        <v>616</v>
      </c>
      <c r="BK61" s="121" t="s">
        <v>616</v>
      </c>
      <c r="BL61" s="121" t="s">
        <v>616</v>
      </c>
      <c r="BM61" s="121" t="s">
        <v>616</v>
      </c>
      <c r="BN61" s="121" t="s">
        <v>616</v>
      </c>
      <c r="BO61" s="121" t="s">
        <v>616</v>
      </c>
      <c r="BP61" s="449"/>
      <c r="BQ61" s="449"/>
      <c r="BR61" s="449"/>
      <c r="BS61" s="125" t="s">
        <v>616</v>
      </c>
      <c r="BT61" s="121"/>
      <c r="BU61" s="121"/>
      <c r="BV61" s="121"/>
      <c r="BW61" s="121"/>
      <c r="BX61" s="121"/>
      <c r="BY61" s="121"/>
      <c r="BZ61" s="121"/>
      <c r="CA61" s="450"/>
      <c r="CB61" s="121"/>
      <c r="CC61" s="121"/>
      <c r="CD61" s="121"/>
      <c r="CE61" s="121"/>
      <c r="CF61" s="451"/>
    </row>
    <row r="62" spans="1:84" s="446" customFormat="1" ht="16.350000000000001" customHeight="1">
      <c r="A62" s="439"/>
      <c r="B62" s="439"/>
      <c r="C62" s="459"/>
      <c r="D62" s="459"/>
      <c r="E62" s="459"/>
      <c r="F62" s="447" t="s">
        <v>609</v>
      </c>
      <c r="G62" s="121">
        <v>40</v>
      </c>
      <c r="H62" s="125" t="s">
        <v>612</v>
      </c>
      <c r="I62" s="121" t="s">
        <v>666</v>
      </c>
      <c r="J62" s="137" t="s">
        <v>652</v>
      </c>
      <c r="K62" s="137" t="s">
        <v>611</v>
      </c>
      <c r="L62" s="137" t="s">
        <v>664</v>
      </c>
      <c r="M62" s="121" t="s">
        <v>330</v>
      </c>
      <c r="N62" s="137" t="s">
        <v>667</v>
      </c>
      <c r="O62" s="137" t="s">
        <v>611</v>
      </c>
      <c r="P62" s="137" t="s">
        <v>611</v>
      </c>
      <c r="Q62" s="137" t="s">
        <v>628</v>
      </c>
      <c r="R62" s="121">
        <v>41</v>
      </c>
      <c r="S62" s="121" t="s">
        <v>617</v>
      </c>
      <c r="T62" s="121"/>
      <c r="U62" s="121" t="s">
        <v>110</v>
      </c>
      <c r="V62" s="121" t="s">
        <v>274</v>
      </c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 t="s">
        <v>616</v>
      </c>
      <c r="BG62" s="121" t="s">
        <v>616</v>
      </c>
      <c r="BH62" s="121" t="s">
        <v>616</v>
      </c>
      <c r="BI62" s="121" t="s">
        <v>616</v>
      </c>
      <c r="BJ62" s="121" t="s">
        <v>616</v>
      </c>
      <c r="BK62" s="121" t="s">
        <v>616</v>
      </c>
      <c r="BL62" s="121" t="s">
        <v>616</v>
      </c>
      <c r="BM62" s="121" t="s">
        <v>616</v>
      </c>
      <c r="BN62" s="121" t="s">
        <v>616</v>
      </c>
      <c r="BO62" s="121" t="s">
        <v>616</v>
      </c>
      <c r="BP62" s="449"/>
      <c r="BQ62" s="449"/>
      <c r="BR62" s="449"/>
      <c r="BS62" s="125" t="s">
        <v>616</v>
      </c>
      <c r="BT62" s="121"/>
      <c r="BU62" s="121"/>
      <c r="BV62" s="121"/>
      <c r="BW62" s="121"/>
      <c r="BX62" s="121"/>
      <c r="BY62" s="121"/>
      <c r="BZ62" s="121"/>
      <c r="CA62" s="450"/>
      <c r="CB62" s="121"/>
      <c r="CC62" s="121"/>
      <c r="CD62" s="121"/>
      <c r="CE62" s="121"/>
      <c r="CF62" s="451"/>
    </row>
    <row r="63" spans="1:84" s="446" customFormat="1" ht="16.350000000000001" customHeight="1" thickBot="1">
      <c r="A63" s="439"/>
      <c r="B63" s="439"/>
      <c r="C63" s="459"/>
      <c r="D63" s="459"/>
      <c r="E63" s="459"/>
      <c r="F63" s="447" t="s">
        <v>609</v>
      </c>
      <c r="G63" s="121">
        <v>40</v>
      </c>
      <c r="H63" s="125" t="s">
        <v>612</v>
      </c>
      <c r="I63" s="452" t="s">
        <v>668</v>
      </c>
      <c r="J63" s="452" t="s">
        <v>652</v>
      </c>
      <c r="K63" s="452" t="s">
        <v>611</v>
      </c>
      <c r="L63" s="452" t="s">
        <v>664</v>
      </c>
      <c r="M63" s="452" t="s">
        <v>330</v>
      </c>
      <c r="N63" s="452" t="s">
        <v>669</v>
      </c>
      <c r="O63" s="452" t="s">
        <v>611</v>
      </c>
      <c r="P63" s="452" t="s">
        <v>611</v>
      </c>
      <c r="Q63" s="452" t="s">
        <v>628</v>
      </c>
      <c r="R63" s="452">
        <v>42</v>
      </c>
      <c r="S63" s="452" t="s">
        <v>617</v>
      </c>
      <c r="T63" s="452"/>
      <c r="U63" s="452" t="s">
        <v>114</v>
      </c>
      <c r="V63" s="452" t="s">
        <v>274</v>
      </c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 t="s">
        <v>616</v>
      </c>
      <c r="BG63" s="121" t="s">
        <v>616</v>
      </c>
      <c r="BH63" s="121" t="s">
        <v>616</v>
      </c>
      <c r="BI63" s="121" t="s">
        <v>616</v>
      </c>
      <c r="BJ63" s="121" t="s">
        <v>616</v>
      </c>
      <c r="BK63" s="121" t="s">
        <v>616</v>
      </c>
      <c r="BL63" s="121" t="s">
        <v>616</v>
      </c>
      <c r="BM63" s="121" t="s">
        <v>616</v>
      </c>
      <c r="BN63" s="121" t="s">
        <v>616</v>
      </c>
      <c r="BO63" s="121" t="s">
        <v>616</v>
      </c>
      <c r="BP63" s="449"/>
      <c r="BQ63" s="449"/>
      <c r="BR63" s="449"/>
      <c r="BS63" s="125" t="s">
        <v>616</v>
      </c>
      <c r="BT63" s="121"/>
      <c r="BU63" s="121"/>
      <c r="BV63" s="121"/>
      <c r="BW63" s="121"/>
      <c r="BX63" s="121"/>
      <c r="BY63" s="121"/>
      <c r="BZ63" s="121"/>
      <c r="CA63" s="450"/>
      <c r="CB63" s="121"/>
      <c r="CC63" s="121"/>
      <c r="CD63" s="121"/>
      <c r="CE63" s="121"/>
      <c r="CF63" s="451"/>
    </row>
    <row r="64" spans="1:84" s="446" customFormat="1" ht="16.350000000000001" customHeight="1">
      <c r="A64" s="439"/>
      <c r="B64" s="439"/>
      <c r="C64" s="459"/>
      <c r="D64" s="459"/>
      <c r="E64" s="459"/>
      <c r="F64" s="447" t="s">
        <v>609</v>
      </c>
      <c r="G64" s="121">
        <v>40</v>
      </c>
      <c r="H64" s="125" t="s">
        <v>612</v>
      </c>
      <c r="I64" s="137" t="s">
        <v>663</v>
      </c>
      <c r="J64" s="137" t="s">
        <v>398</v>
      </c>
      <c r="K64" s="137" t="s">
        <v>611</v>
      </c>
      <c r="L64" s="137" t="s">
        <v>664</v>
      </c>
      <c r="M64" s="137" t="s">
        <v>330</v>
      </c>
      <c r="N64" s="137" t="s">
        <v>665</v>
      </c>
      <c r="O64" s="137" t="s">
        <v>639</v>
      </c>
      <c r="P64" s="137" t="s">
        <v>611</v>
      </c>
      <c r="Q64" s="137" t="s">
        <v>628</v>
      </c>
      <c r="R64" s="137">
        <v>33</v>
      </c>
      <c r="S64" s="137" t="s">
        <v>621</v>
      </c>
      <c r="T64" s="137"/>
      <c r="U64" s="137" t="s">
        <v>102</v>
      </c>
      <c r="V64" s="137" t="s">
        <v>640</v>
      </c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 t="s">
        <v>616</v>
      </c>
      <c r="BG64" s="121" t="s">
        <v>616</v>
      </c>
      <c r="BH64" s="121" t="s">
        <v>616</v>
      </c>
      <c r="BI64" s="121" t="s">
        <v>616</v>
      </c>
      <c r="BJ64" s="121" t="s">
        <v>616</v>
      </c>
      <c r="BK64" s="121" t="s">
        <v>616</v>
      </c>
      <c r="BL64" s="121" t="s">
        <v>616</v>
      </c>
      <c r="BM64" s="121" t="s">
        <v>616</v>
      </c>
      <c r="BN64" s="121" t="s">
        <v>616</v>
      </c>
      <c r="BO64" s="121" t="s">
        <v>616</v>
      </c>
      <c r="BP64" s="449"/>
      <c r="BQ64" s="449"/>
      <c r="BR64" s="449"/>
      <c r="BS64" s="125" t="s">
        <v>616</v>
      </c>
      <c r="BT64" s="121"/>
      <c r="BU64" s="121"/>
      <c r="BV64" s="121"/>
      <c r="BW64" s="121"/>
      <c r="BX64" s="121"/>
      <c r="BY64" s="121"/>
      <c r="BZ64" s="121"/>
      <c r="CA64" s="450"/>
      <c r="CB64" s="121"/>
      <c r="CC64" s="121"/>
      <c r="CD64" s="121"/>
      <c r="CE64" s="121"/>
      <c r="CF64" s="451"/>
    </row>
    <row r="65" spans="1:84" s="446" customFormat="1" ht="16.350000000000001" customHeight="1">
      <c r="A65" s="439"/>
      <c r="B65" s="439"/>
      <c r="C65" s="459"/>
      <c r="D65" s="459"/>
      <c r="E65" s="459"/>
      <c r="F65" s="447" t="s">
        <v>609</v>
      </c>
      <c r="G65" s="121">
        <v>40</v>
      </c>
      <c r="H65" s="125" t="s">
        <v>612</v>
      </c>
      <c r="I65" s="121" t="s">
        <v>666</v>
      </c>
      <c r="J65" s="137" t="s">
        <v>398</v>
      </c>
      <c r="K65" s="137" t="s">
        <v>420</v>
      </c>
      <c r="L65" s="137" t="s">
        <v>664</v>
      </c>
      <c r="M65" s="137" t="s">
        <v>330</v>
      </c>
      <c r="N65" s="137" t="s">
        <v>667</v>
      </c>
      <c r="O65" s="137" t="s">
        <v>639</v>
      </c>
      <c r="P65" s="137" t="s">
        <v>611</v>
      </c>
      <c r="Q65" s="137" t="s">
        <v>628</v>
      </c>
      <c r="R65" s="121">
        <v>41</v>
      </c>
      <c r="S65" s="121" t="s">
        <v>621</v>
      </c>
      <c r="T65" s="121"/>
      <c r="U65" s="121" t="s">
        <v>110</v>
      </c>
      <c r="V65" s="121" t="s">
        <v>640</v>
      </c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 t="s">
        <v>616</v>
      </c>
      <c r="BG65" s="121" t="s">
        <v>616</v>
      </c>
      <c r="BH65" s="121" t="s">
        <v>616</v>
      </c>
      <c r="BI65" s="121" t="s">
        <v>616</v>
      </c>
      <c r="BJ65" s="121" t="s">
        <v>616</v>
      </c>
      <c r="BK65" s="121" t="s">
        <v>616</v>
      </c>
      <c r="BL65" s="121" t="s">
        <v>616</v>
      </c>
      <c r="BM65" s="121" t="s">
        <v>616</v>
      </c>
      <c r="BN65" s="121" t="s">
        <v>616</v>
      </c>
      <c r="BO65" s="121" t="s">
        <v>616</v>
      </c>
      <c r="BP65" s="449"/>
      <c r="BQ65" s="449"/>
      <c r="BR65" s="449"/>
      <c r="BS65" s="125" t="s">
        <v>616</v>
      </c>
      <c r="BT65" s="121"/>
      <c r="BU65" s="121"/>
      <c r="BV65" s="121"/>
      <c r="BW65" s="121"/>
      <c r="BX65" s="121"/>
      <c r="BY65" s="121"/>
      <c r="BZ65" s="121"/>
      <c r="CA65" s="450"/>
      <c r="CB65" s="121"/>
      <c r="CC65" s="121"/>
      <c r="CD65" s="121"/>
      <c r="CE65" s="121"/>
      <c r="CF65" s="451"/>
    </row>
    <row r="66" spans="1:84" s="446" customFormat="1" ht="16.350000000000001" customHeight="1" thickBot="1">
      <c r="A66" s="439"/>
      <c r="B66" s="439"/>
      <c r="C66" s="459"/>
      <c r="D66" s="459"/>
      <c r="E66" s="459"/>
      <c r="F66" s="447" t="s">
        <v>609</v>
      </c>
      <c r="G66" s="121">
        <v>40</v>
      </c>
      <c r="H66" s="467" t="s">
        <v>612</v>
      </c>
      <c r="I66" s="452" t="s">
        <v>668</v>
      </c>
      <c r="J66" s="452" t="s">
        <v>398</v>
      </c>
      <c r="K66" s="452" t="s">
        <v>611</v>
      </c>
      <c r="L66" s="452" t="s">
        <v>664</v>
      </c>
      <c r="M66" s="452" t="s">
        <v>330</v>
      </c>
      <c r="N66" s="452" t="s">
        <v>669</v>
      </c>
      <c r="O66" s="452" t="s">
        <v>639</v>
      </c>
      <c r="P66" s="452" t="s">
        <v>611</v>
      </c>
      <c r="Q66" s="452" t="s">
        <v>628</v>
      </c>
      <c r="R66" s="452">
        <v>42</v>
      </c>
      <c r="S66" s="452" t="s">
        <v>621</v>
      </c>
      <c r="T66" s="452"/>
      <c r="U66" s="452" t="s">
        <v>114</v>
      </c>
      <c r="V66" s="452" t="s">
        <v>640</v>
      </c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  <c r="BE66" s="121"/>
      <c r="BF66" s="121" t="s">
        <v>616</v>
      </c>
      <c r="BG66" s="121" t="s">
        <v>616</v>
      </c>
      <c r="BH66" s="121" t="s">
        <v>616</v>
      </c>
      <c r="BI66" s="121" t="s">
        <v>616</v>
      </c>
      <c r="BJ66" s="121" t="s">
        <v>616</v>
      </c>
      <c r="BK66" s="121" t="s">
        <v>616</v>
      </c>
      <c r="BL66" s="121" t="s">
        <v>616</v>
      </c>
      <c r="BM66" s="121" t="s">
        <v>616</v>
      </c>
      <c r="BN66" s="121" t="s">
        <v>616</v>
      </c>
      <c r="BO66" s="121" t="s">
        <v>616</v>
      </c>
      <c r="BP66" s="449"/>
      <c r="BQ66" s="449"/>
      <c r="BR66" s="449"/>
      <c r="BS66" s="125" t="s">
        <v>616</v>
      </c>
      <c r="BT66" s="121"/>
      <c r="BU66" s="121"/>
      <c r="BV66" s="121"/>
      <c r="BW66" s="121"/>
      <c r="BX66" s="121"/>
      <c r="BY66" s="121"/>
      <c r="BZ66" s="121"/>
      <c r="CA66" s="450"/>
      <c r="CB66" s="121"/>
      <c r="CC66" s="121"/>
      <c r="CD66" s="121"/>
      <c r="CE66" s="121"/>
      <c r="CF66" s="451"/>
    </row>
    <row r="67" spans="1:84" s="446" customFormat="1" ht="16.350000000000001" customHeight="1">
      <c r="A67" s="439"/>
      <c r="B67" s="439"/>
      <c r="C67" s="459"/>
      <c r="D67" s="459"/>
      <c r="E67" s="459"/>
      <c r="F67" s="447" t="s">
        <v>609</v>
      </c>
      <c r="G67" s="121">
        <v>40</v>
      </c>
      <c r="H67" s="136" t="s">
        <v>617</v>
      </c>
      <c r="I67" s="137" t="s">
        <v>670</v>
      </c>
      <c r="J67" s="137" t="s">
        <v>652</v>
      </c>
      <c r="K67" s="137" t="s">
        <v>611</v>
      </c>
      <c r="L67" s="137" t="s">
        <v>664</v>
      </c>
      <c r="M67" s="137" t="s">
        <v>328</v>
      </c>
      <c r="N67" s="137" t="s">
        <v>671</v>
      </c>
      <c r="O67" s="137" t="s">
        <v>611</v>
      </c>
      <c r="P67" s="137" t="s">
        <v>611</v>
      </c>
      <c r="Q67" s="137" t="s">
        <v>628</v>
      </c>
      <c r="R67" s="137">
        <v>33</v>
      </c>
      <c r="S67" s="137" t="s">
        <v>617</v>
      </c>
      <c r="T67" s="137"/>
      <c r="U67" s="137" t="s">
        <v>102</v>
      </c>
      <c r="V67" s="137" t="s">
        <v>274</v>
      </c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 t="s">
        <v>616</v>
      </c>
      <c r="BG67" s="121" t="s">
        <v>616</v>
      </c>
      <c r="BH67" s="121" t="s">
        <v>616</v>
      </c>
      <c r="BI67" s="121" t="s">
        <v>616</v>
      </c>
      <c r="BJ67" s="121" t="s">
        <v>616</v>
      </c>
      <c r="BK67" s="121" t="s">
        <v>616</v>
      </c>
      <c r="BL67" s="121" t="s">
        <v>616</v>
      </c>
      <c r="BM67" s="121" t="s">
        <v>616</v>
      </c>
      <c r="BN67" s="121" t="s">
        <v>616</v>
      </c>
      <c r="BO67" s="121" t="s">
        <v>616</v>
      </c>
      <c r="BP67" s="449"/>
      <c r="BQ67" s="449"/>
      <c r="BR67" s="449"/>
      <c r="BS67" s="125" t="s">
        <v>616</v>
      </c>
      <c r="BT67" s="121"/>
      <c r="BU67" s="121"/>
      <c r="BV67" s="121"/>
      <c r="BW67" s="121"/>
      <c r="BX67" s="121"/>
      <c r="BY67" s="121"/>
      <c r="BZ67" s="121"/>
      <c r="CA67" s="450"/>
      <c r="CB67" s="121"/>
      <c r="CC67" s="121"/>
      <c r="CD67" s="121"/>
      <c r="CE67" s="121"/>
      <c r="CF67" s="451"/>
    </row>
    <row r="68" spans="1:84" s="446" customFormat="1" ht="16.350000000000001" customHeight="1" thickBot="1">
      <c r="A68" s="439"/>
      <c r="B68" s="439"/>
      <c r="C68" s="459"/>
      <c r="D68" s="459"/>
      <c r="E68" s="459"/>
      <c r="F68" s="447" t="s">
        <v>609</v>
      </c>
      <c r="G68" s="121">
        <v>40</v>
      </c>
      <c r="H68" s="125" t="s">
        <v>617</v>
      </c>
      <c r="I68" s="452" t="s">
        <v>672</v>
      </c>
      <c r="J68" s="452" t="s">
        <v>652</v>
      </c>
      <c r="K68" s="452" t="s">
        <v>611</v>
      </c>
      <c r="L68" s="452" t="s">
        <v>664</v>
      </c>
      <c r="M68" s="452" t="s">
        <v>328</v>
      </c>
      <c r="N68" s="452" t="s">
        <v>114</v>
      </c>
      <c r="O68" s="452" t="s">
        <v>611</v>
      </c>
      <c r="P68" s="452" t="s">
        <v>611</v>
      </c>
      <c r="Q68" s="452" t="s">
        <v>628</v>
      </c>
      <c r="R68" s="452">
        <v>42</v>
      </c>
      <c r="S68" s="452" t="s">
        <v>617</v>
      </c>
      <c r="T68" s="452"/>
      <c r="U68" s="452" t="s">
        <v>114</v>
      </c>
      <c r="V68" s="452" t="s">
        <v>274</v>
      </c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  <c r="BE68" s="121"/>
      <c r="BF68" s="121" t="s">
        <v>616</v>
      </c>
      <c r="BG68" s="121" t="s">
        <v>616</v>
      </c>
      <c r="BH68" s="121" t="s">
        <v>616</v>
      </c>
      <c r="BI68" s="121" t="s">
        <v>616</v>
      </c>
      <c r="BJ68" s="121" t="s">
        <v>616</v>
      </c>
      <c r="BK68" s="121" t="s">
        <v>616</v>
      </c>
      <c r="BL68" s="121" t="s">
        <v>616</v>
      </c>
      <c r="BM68" s="121" t="s">
        <v>616</v>
      </c>
      <c r="BN68" s="121" t="s">
        <v>616</v>
      </c>
      <c r="BO68" s="121" t="s">
        <v>616</v>
      </c>
      <c r="BP68" s="449"/>
      <c r="BQ68" s="449"/>
      <c r="BR68" s="449"/>
      <c r="BS68" s="125" t="s">
        <v>616</v>
      </c>
      <c r="BT68" s="121"/>
      <c r="BU68" s="121"/>
      <c r="BV68" s="121"/>
      <c r="BW68" s="121"/>
      <c r="BX68" s="121"/>
      <c r="BY68" s="121"/>
      <c r="BZ68" s="121"/>
      <c r="CA68" s="450"/>
      <c r="CB68" s="121"/>
      <c r="CC68" s="121"/>
      <c r="CD68" s="121"/>
      <c r="CE68" s="121"/>
      <c r="CF68" s="451"/>
    </row>
    <row r="69" spans="1:84" s="446" customFormat="1" ht="16.350000000000001" customHeight="1">
      <c r="A69" s="439"/>
      <c r="B69" s="439"/>
      <c r="C69" s="459"/>
      <c r="D69" s="459"/>
      <c r="E69" s="459"/>
      <c r="F69" s="447" t="s">
        <v>609</v>
      </c>
      <c r="G69" s="121">
        <v>40</v>
      </c>
      <c r="H69" s="125" t="s">
        <v>617</v>
      </c>
      <c r="I69" s="137" t="s">
        <v>670</v>
      </c>
      <c r="J69" s="137" t="s">
        <v>398</v>
      </c>
      <c r="K69" s="137" t="s">
        <v>611</v>
      </c>
      <c r="L69" s="137" t="s">
        <v>664</v>
      </c>
      <c r="M69" s="137" t="s">
        <v>328</v>
      </c>
      <c r="N69" s="137" t="s">
        <v>671</v>
      </c>
      <c r="O69" s="137" t="s">
        <v>639</v>
      </c>
      <c r="P69" s="137" t="s">
        <v>611</v>
      </c>
      <c r="Q69" s="137" t="s">
        <v>628</v>
      </c>
      <c r="R69" s="137">
        <v>33</v>
      </c>
      <c r="S69" s="137" t="s">
        <v>621</v>
      </c>
      <c r="T69" s="137"/>
      <c r="U69" s="137" t="s">
        <v>102</v>
      </c>
      <c r="V69" s="137" t="s">
        <v>640</v>
      </c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 t="s">
        <v>616</v>
      </c>
      <c r="BG69" s="121" t="s">
        <v>616</v>
      </c>
      <c r="BH69" s="121" t="s">
        <v>616</v>
      </c>
      <c r="BI69" s="121" t="s">
        <v>616</v>
      </c>
      <c r="BJ69" s="121" t="s">
        <v>616</v>
      </c>
      <c r="BK69" s="121" t="s">
        <v>616</v>
      </c>
      <c r="BL69" s="121" t="s">
        <v>616</v>
      </c>
      <c r="BM69" s="121" t="s">
        <v>616</v>
      </c>
      <c r="BN69" s="121" t="s">
        <v>616</v>
      </c>
      <c r="BO69" s="121" t="s">
        <v>616</v>
      </c>
      <c r="BP69" s="449"/>
      <c r="BQ69" s="449"/>
      <c r="BR69" s="449"/>
      <c r="BS69" s="125" t="s">
        <v>616</v>
      </c>
      <c r="BT69" s="121"/>
      <c r="BU69" s="121"/>
      <c r="BV69" s="121"/>
      <c r="BW69" s="121"/>
      <c r="BX69" s="121"/>
      <c r="BY69" s="121"/>
      <c r="BZ69" s="121"/>
      <c r="CA69" s="450"/>
      <c r="CB69" s="121"/>
      <c r="CC69" s="121"/>
      <c r="CD69" s="121"/>
      <c r="CE69" s="121"/>
      <c r="CF69" s="451"/>
    </row>
    <row r="70" spans="1:84" s="446" customFormat="1" ht="16.350000000000001" customHeight="1" thickBot="1">
      <c r="A70" s="439"/>
      <c r="B70" s="439"/>
      <c r="C70" s="459"/>
      <c r="D70" s="459"/>
      <c r="E70" s="459"/>
      <c r="F70" s="447" t="s">
        <v>609</v>
      </c>
      <c r="G70" s="121">
        <v>40</v>
      </c>
      <c r="H70" s="467" t="s">
        <v>617</v>
      </c>
      <c r="I70" s="452" t="s">
        <v>672</v>
      </c>
      <c r="J70" s="452" t="s">
        <v>398</v>
      </c>
      <c r="K70" s="452" t="s">
        <v>611</v>
      </c>
      <c r="L70" s="452" t="s">
        <v>664</v>
      </c>
      <c r="M70" s="452" t="s">
        <v>328</v>
      </c>
      <c r="N70" s="452" t="s">
        <v>114</v>
      </c>
      <c r="O70" s="452" t="s">
        <v>639</v>
      </c>
      <c r="P70" s="452" t="s">
        <v>611</v>
      </c>
      <c r="Q70" s="452" t="s">
        <v>628</v>
      </c>
      <c r="R70" s="452">
        <v>42</v>
      </c>
      <c r="S70" s="452" t="s">
        <v>621</v>
      </c>
      <c r="T70" s="452"/>
      <c r="U70" s="452" t="s">
        <v>114</v>
      </c>
      <c r="V70" s="452" t="s">
        <v>640</v>
      </c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 t="s">
        <v>616</v>
      </c>
      <c r="BG70" s="121" t="s">
        <v>616</v>
      </c>
      <c r="BH70" s="121" t="s">
        <v>616</v>
      </c>
      <c r="BI70" s="121" t="s">
        <v>616</v>
      </c>
      <c r="BJ70" s="121" t="s">
        <v>616</v>
      </c>
      <c r="BK70" s="121" t="s">
        <v>616</v>
      </c>
      <c r="BL70" s="121" t="s">
        <v>616</v>
      </c>
      <c r="BM70" s="121" t="s">
        <v>616</v>
      </c>
      <c r="BN70" s="121" t="s">
        <v>616</v>
      </c>
      <c r="BO70" s="121" t="s">
        <v>616</v>
      </c>
      <c r="BP70" s="449"/>
      <c r="BQ70" s="449"/>
      <c r="BR70" s="449"/>
      <c r="BS70" s="125" t="s">
        <v>616</v>
      </c>
      <c r="BT70" s="121"/>
      <c r="BU70" s="121"/>
      <c r="BV70" s="121"/>
      <c r="BW70" s="121"/>
      <c r="BX70" s="121"/>
      <c r="BY70" s="121"/>
      <c r="BZ70" s="121"/>
      <c r="CA70" s="450"/>
      <c r="CB70" s="121"/>
      <c r="CC70" s="121"/>
      <c r="CD70" s="121"/>
      <c r="CE70" s="121"/>
      <c r="CF70" s="451"/>
    </row>
    <row r="71" spans="1:84" s="446" customFormat="1" ht="16.350000000000001" customHeight="1">
      <c r="A71" s="439"/>
      <c r="B71" s="439"/>
      <c r="C71" s="459"/>
      <c r="D71" s="459"/>
      <c r="E71" s="459"/>
      <c r="F71" s="447" t="s">
        <v>609</v>
      </c>
      <c r="G71" s="121">
        <v>40</v>
      </c>
      <c r="H71" s="136" t="s">
        <v>625</v>
      </c>
      <c r="I71" s="137" t="s">
        <v>673</v>
      </c>
      <c r="J71" s="137" t="s">
        <v>652</v>
      </c>
      <c r="K71" s="137" t="s">
        <v>611</v>
      </c>
      <c r="L71" s="137" t="s">
        <v>664</v>
      </c>
      <c r="M71" s="137" t="s">
        <v>674</v>
      </c>
      <c r="N71" s="137" t="s">
        <v>102</v>
      </c>
      <c r="O71" s="137" t="s">
        <v>611</v>
      </c>
      <c r="P71" s="137" t="s">
        <v>611</v>
      </c>
      <c r="Q71" s="137" t="s">
        <v>628</v>
      </c>
      <c r="R71" s="137">
        <v>33</v>
      </c>
      <c r="S71" s="137" t="s">
        <v>619</v>
      </c>
      <c r="T71" s="137"/>
      <c r="U71" s="137" t="s">
        <v>102</v>
      </c>
      <c r="V71" s="137" t="s">
        <v>280</v>
      </c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 t="s">
        <v>616</v>
      </c>
      <c r="BG71" s="121" t="s">
        <v>616</v>
      </c>
      <c r="BH71" s="121" t="s">
        <v>616</v>
      </c>
      <c r="BI71" s="121" t="s">
        <v>616</v>
      </c>
      <c r="BJ71" s="121" t="s">
        <v>616</v>
      </c>
      <c r="BK71" s="121" t="s">
        <v>616</v>
      </c>
      <c r="BL71" s="121" t="s">
        <v>616</v>
      </c>
      <c r="BM71" s="121" t="s">
        <v>616</v>
      </c>
      <c r="BN71" s="121" t="s">
        <v>616</v>
      </c>
      <c r="BO71" s="121" t="s">
        <v>616</v>
      </c>
      <c r="BP71" s="449"/>
      <c r="BQ71" s="449"/>
      <c r="BR71" s="449"/>
      <c r="BS71" s="125" t="s">
        <v>616</v>
      </c>
      <c r="BT71" s="121"/>
      <c r="BU71" s="121"/>
      <c r="BV71" s="121"/>
      <c r="BW71" s="121"/>
      <c r="BX71" s="121"/>
      <c r="BY71" s="121"/>
      <c r="BZ71" s="121"/>
      <c r="CA71" s="450"/>
      <c r="CB71" s="121"/>
      <c r="CC71" s="121"/>
      <c r="CD71" s="121"/>
      <c r="CE71" s="121"/>
      <c r="CF71" s="451"/>
    </row>
    <row r="72" spans="1:84" s="446" customFormat="1" ht="16.350000000000001" customHeight="1">
      <c r="A72" s="439"/>
      <c r="B72" s="439"/>
      <c r="C72" s="459"/>
      <c r="D72" s="459"/>
      <c r="E72" s="459"/>
      <c r="F72" s="121" t="s">
        <v>609</v>
      </c>
      <c r="G72" s="121">
        <v>40</v>
      </c>
      <c r="H72" s="125" t="s">
        <v>625</v>
      </c>
      <c r="I72" s="121" t="s">
        <v>675</v>
      </c>
      <c r="J72" s="137" t="s">
        <v>652</v>
      </c>
      <c r="K72" s="137" t="s">
        <v>611</v>
      </c>
      <c r="L72" s="137" t="s">
        <v>664</v>
      </c>
      <c r="M72" s="137" t="s">
        <v>674</v>
      </c>
      <c r="N72" s="137" t="s">
        <v>110</v>
      </c>
      <c r="O72" s="137" t="s">
        <v>611</v>
      </c>
      <c r="P72" s="137" t="s">
        <v>611</v>
      </c>
      <c r="Q72" s="137" t="s">
        <v>628</v>
      </c>
      <c r="R72" s="121">
        <v>41</v>
      </c>
      <c r="S72" s="121" t="s">
        <v>619</v>
      </c>
      <c r="T72" s="121"/>
      <c r="U72" s="121" t="s">
        <v>110</v>
      </c>
      <c r="V72" s="121" t="s">
        <v>280</v>
      </c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 t="s">
        <v>616</v>
      </c>
      <c r="BG72" s="121" t="s">
        <v>616</v>
      </c>
      <c r="BH72" s="121" t="s">
        <v>616</v>
      </c>
      <c r="BI72" s="121" t="s">
        <v>616</v>
      </c>
      <c r="BJ72" s="121" t="s">
        <v>616</v>
      </c>
      <c r="BK72" s="121" t="s">
        <v>616</v>
      </c>
      <c r="BL72" s="121" t="s">
        <v>616</v>
      </c>
      <c r="BM72" s="121" t="s">
        <v>616</v>
      </c>
      <c r="BN72" s="121" t="s">
        <v>616</v>
      </c>
      <c r="BO72" s="121" t="s">
        <v>616</v>
      </c>
      <c r="BP72" s="449"/>
      <c r="BQ72" s="449"/>
      <c r="BR72" s="449"/>
      <c r="BS72" s="125" t="s">
        <v>616</v>
      </c>
      <c r="BT72" s="121"/>
      <c r="BU72" s="121"/>
      <c r="BV72" s="121"/>
      <c r="BW72" s="121"/>
      <c r="BX72" s="121"/>
      <c r="BY72" s="121"/>
      <c r="BZ72" s="121"/>
      <c r="CA72" s="450"/>
      <c r="CB72" s="121"/>
      <c r="CC72" s="121"/>
      <c r="CD72" s="121"/>
      <c r="CE72" s="121"/>
      <c r="CF72" s="451"/>
    </row>
    <row r="73" spans="1:84" s="446" customFormat="1" ht="16.350000000000001" customHeight="1">
      <c r="A73" s="439"/>
      <c r="B73" s="439"/>
      <c r="C73" s="459"/>
      <c r="D73" s="459"/>
      <c r="E73" s="459"/>
      <c r="F73" s="121" t="s">
        <v>609</v>
      </c>
      <c r="G73" s="121">
        <v>40</v>
      </c>
      <c r="H73" s="125" t="s">
        <v>625</v>
      </c>
      <c r="I73" s="121" t="s">
        <v>676</v>
      </c>
      <c r="J73" s="137" t="s">
        <v>652</v>
      </c>
      <c r="K73" s="137" t="s">
        <v>611</v>
      </c>
      <c r="L73" s="137" t="s">
        <v>664</v>
      </c>
      <c r="M73" s="137" t="s">
        <v>674</v>
      </c>
      <c r="N73" s="137" t="s">
        <v>677</v>
      </c>
      <c r="O73" s="137" t="s">
        <v>611</v>
      </c>
      <c r="P73" s="137" t="s">
        <v>611</v>
      </c>
      <c r="Q73" s="137" t="s">
        <v>628</v>
      </c>
      <c r="R73" s="121">
        <v>41</v>
      </c>
      <c r="S73" s="121" t="s">
        <v>619</v>
      </c>
      <c r="T73" s="121"/>
      <c r="U73" s="121" t="s">
        <v>110</v>
      </c>
      <c r="V73" s="121" t="s">
        <v>280</v>
      </c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  <c r="AP73" s="121"/>
      <c r="AQ73" s="121"/>
      <c r="AR73" s="121"/>
      <c r="AS73" s="121"/>
      <c r="AT73" s="121"/>
      <c r="AU73" s="121"/>
      <c r="AV73" s="121"/>
      <c r="AW73" s="121"/>
      <c r="AX73" s="121"/>
      <c r="AY73" s="121"/>
      <c r="AZ73" s="121"/>
      <c r="BA73" s="121"/>
      <c r="BB73" s="121"/>
      <c r="BC73" s="121"/>
      <c r="BD73" s="121"/>
      <c r="BE73" s="121"/>
      <c r="BF73" s="121" t="s">
        <v>616</v>
      </c>
      <c r="BG73" s="121" t="s">
        <v>616</v>
      </c>
      <c r="BH73" s="121" t="s">
        <v>616</v>
      </c>
      <c r="BI73" s="121" t="s">
        <v>616</v>
      </c>
      <c r="BJ73" s="121" t="s">
        <v>616</v>
      </c>
      <c r="BK73" s="121" t="s">
        <v>616</v>
      </c>
      <c r="BL73" s="121" t="s">
        <v>616</v>
      </c>
      <c r="BM73" s="121" t="s">
        <v>616</v>
      </c>
      <c r="BN73" s="121" t="s">
        <v>616</v>
      </c>
      <c r="BO73" s="121" t="s">
        <v>616</v>
      </c>
      <c r="BP73" s="449"/>
      <c r="BQ73" s="449"/>
      <c r="BR73" s="449"/>
      <c r="BS73" s="125" t="s">
        <v>616</v>
      </c>
      <c r="BT73" s="121"/>
      <c r="BU73" s="121"/>
      <c r="BV73" s="121"/>
      <c r="BW73" s="121"/>
      <c r="BX73" s="121"/>
      <c r="BY73" s="121"/>
      <c r="BZ73" s="121"/>
      <c r="CA73" s="450"/>
      <c r="CB73" s="121"/>
      <c r="CC73" s="121"/>
      <c r="CD73" s="121"/>
      <c r="CE73" s="121"/>
      <c r="CF73" s="451"/>
    </row>
    <row r="74" spans="1:84" s="446" customFormat="1" ht="16.350000000000001" customHeight="1" thickBot="1">
      <c r="A74" s="439"/>
      <c r="B74" s="439"/>
      <c r="C74" s="459"/>
      <c r="D74" s="459"/>
      <c r="E74" s="459"/>
      <c r="F74" s="121" t="s">
        <v>609</v>
      </c>
      <c r="G74" s="121">
        <v>40</v>
      </c>
      <c r="H74" s="125" t="s">
        <v>625</v>
      </c>
      <c r="I74" s="452" t="s">
        <v>678</v>
      </c>
      <c r="J74" s="452" t="s">
        <v>652</v>
      </c>
      <c r="K74" s="452" t="s">
        <v>611</v>
      </c>
      <c r="L74" s="452" t="s">
        <v>664</v>
      </c>
      <c r="M74" s="452" t="s">
        <v>674</v>
      </c>
      <c r="N74" s="452" t="s">
        <v>114</v>
      </c>
      <c r="O74" s="452" t="s">
        <v>611</v>
      </c>
      <c r="P74" s="452" t="s">
        <v>611</v>
      </c>
      <c r="Q74" s="452" t="s">
        <v>628</v>
      </c>
      <c r="R74" s="452">
        <v>42</v>
      </c>
      <c r="S74" s="452" t="s">
        <v>619</v>
      </c>
      <c r="T74" s="452"/>
      <c r="U74" s="452" t="s">
        <v>114</v>
      </c>
      <c r="V74" s="452" t="s">
        <v>280</v>
      </c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 t="s">
        <v>616</v>
      </c>
      <c r="BG74" s="121" t="s">
        <v>616</v>
      </c>
      <c r="BH74" s="121" t="s">
        <v>616</v>
      </c>
      <c r="BI74" s="121" t="s">
        <v>616</v>
      </c>
      <c r="BJ74" s="121" t="s">
        <v>616</v>
      </c>
      <c r="BK74" s="121" t="s">
        <v>616</v>
      </c>
      <c r="BL74" s="121" t="s">
        <v>616</v>
      </c>
      <c r="BM74" s="121" t="s">
        <v>616</v>
      </c>
      <c r="BN74" s="121" t="s">
        <v>616</v>
      </c>
      <c r="BO74" s="121" t="s">
        <v>616</v>
      </c>
      <c r="BP74" s="449"/>
      <c r="BQ74" s="449"/>
      <c r="BR74" s="449"/>
      <c r="BS74" s="125" t="s">
        <v>616</v>
      </c>
      <c r="BT74" s="121"/>
      <c r="BU74" s="121"/>
      <c r="BV74" s="121"/>
      <c r="BW74" s="121"/>
      <c r="BX74" s="121"/>
      <c r="BY74" s="121"/>
      <c r="BZ74" s="121"/>
      <c r="CA74" s="450"/>
      <c r="CB74" s="121"/>
      <c r="CC74" s="121"/>
      <c r="CD74" s="121"/>
      <c r="CE74" s="121"/>
      <c r="CF74" s="451"/>
    </row>
    <row r="75" spans="1:84" s="446" customFormat="1" ht="16.350000000000001" customHeight="1">
      <c r="A75" s="439"/>
      <c r="B75" s="439"/>
      <c r="C75" s="459"/>
      <c r="D75" s="459"/>
      <c r="E75" s="459"/>
      <c r="F75" s="121" t="s">
        <v>609</v>
      </c>
      <c r="G75" s="121">
        <v>40</v>
      </c>
      <c r="H75" s="125" t="s">
        <v>625</v>
      </c>
      <c r="I75" s="137" t="s">
        <v>673</v>
      </c>
      <c r="J75" s="137" t="s">
        <v>398</v>
      </c>
      <c r="K75" s="137" t="s">
        <v>611</v>
      </c>
      <c r="L75" s="137" t="s">
        <v>664</v>
      </c>
      <c r="M75" s="137" t="s">
        <v>674</v>
      </c>
      <c r="N75" s="137" t="s">
        <v>102</v>
      </c>
      <c r="O75" s="137" t="s">
        <v>639</v>
      </c>
      <c r="P75" s="137" t="s">
        <v>611</v>
      </c>
      <c r="Q75" s="137" t="s">
        <v>628</v>
      </c>
      <c r="R75" s="137">
        <v>33</v>
      </c>
      <c r="S75" s="137" t="s">
        <v>621</v>
      </c>
      <c r="T75" s="137"/>
      <c r="U75" s="137" t="s">
        <v>102</v>
      </c>
      <c r="V75" s="137" t="s">
        <v>640</v>
      </c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 t="s">
        <v>616</v>
      </c>
      <c r="BG75" s="121" t="s">
        <v>616</v>
      </c>
      <c r="BH75" s="121" t="s">
        <v>616</v>
      </c>
      <c r="BI75" s="121" t="s">
        <v>616</v>
      </c>
      <c r="BJ75" s="121" t="s">
        <v>616</v>
      </c>
      <c r="BK75" s="121" t="s">
        <v>616</v>
      </c>
      <c r="BL75" s="121" t="s">
        <v>616</v>
      </c>
      <c r="BM75" s="121" t="s">
        <v>616</v>
      </c>
      <c r="BN75" s="121" t="s">
        <v>616</v>
      </c>
      <c r="BO75" s="121" t="s">
        <v>616</v>
      </c>
      <c r="BP75" s="449"/>
      <c r="BQ75" s="449"/>
      <c r="BR75" s="449"/>
      <c r="BS75" s="125" t="s">
        <v>616</v>
      </c>
      <c r="BT75" s="121"/>
      <c r="BU75" s="121"/>
      <c r="BV75" s="121"/>
      <c r="BW75" s="121"/>
      <c r="BX75" s="121"/>
      <c r="BY75" s="121"/>
      <c r="BZ75" s="121"/>
      <c r="CA75" s="450"/>
      <c r="CB75" s="121"/>
      <c r="CC75" s="121"/>
      <c r="CD75" s="121"/>
      <c r="CE75" s="121"/>
      <c r="CF75" s="451"/>
    </row>
    <row r="76" spans="1:84" s="446" customFormat="1" ht="16.350000000000001" customHeight="1">
      <c r="A76" s="439"/>
      <c r="B76" s="439"/>
      <c r="C76" s="459"/>
      <c r="D76" s="459"/>
      <c r="E76" s="459"/>
      <c r="F76" s="121" t="s">
        <v>609</v>
      </c>
      <c r="G76" s="121">
        <v>40</v>
      </c>
      <c r="H76" s="125" t="s">
        <v>625</v>
      </c>
      <c r="I76" s="121" t="s">
        <v>675</v>
      </c>
      <c r="J76" s="137" t="s">
        <v>398</v>
      </c>
      <c r="K76" s="137" t="s">
        <v>611</v>
      </c>
      <c r="L76" s="137" t="s">
        <v>664</v>
      </c>
      <c r="M76" s="137" t="s">
        <v>674</v>
      </c>
      <c r="N76" s="137" t="s">
        <v>110</v>
      </c>
      <c r="O76" s="137" t="s">
        <v>639</v>
      </c>
      <c r="P76" s="137" t="s">
        <v>611</v>
      </c>
      <c r="Q76" s="137" t="s">
        <v>628</v>
      </c>
      <c r="R76" s="121">
        <v>41</v>
      </c>
      <c r="S76" s="121" t="s">
        <v>621</v>
      </c>
      <c r="T76" s="121"/>
      <c r="U76" s="121" t="s">
        <v>110</v>
      </c>
      <c r="V76" s="121" t="s">
        <v>640</v>
      </c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 t="s">
        <v>616</v>
      </c>
      <c r="BG76" s="121" t="s">
        <v>616</v>
      </c>
      <c r="BH76" s="121" t="s">
        <v>616</v>
      </c>
      <c r="BI76" s="121" t="s">
        <v>616</v>
      </c>
      <c r="BJ76" s="121" t="s">
        <v>616</v>
      </c>
      <c r="BK76" s="121" t="s">
        <v>616</v>
      </c>
      <c r="BL76" s="121" t="s">
        <v>616</v>
      </c>
      <c r="BM76" s="121" t="s">
        <v>616</v>
      </c>
      <c r="BN76" s="121" t="s">
        <v>616</v>
      </c>
      <c r="BO76" s="121" t="s">
        <v>616</v>
      </c>
      <c r="BP76" s="449"/>
      <c r="BQ76" s="449"/>
      <c r="BR76" s="449"/>
      <c r="BS76" s="125" t="s">
        <v>616</v>
      </c>
      <c r="BT76" s="121"/>
      <c r="BU76" s="121"/>
      <c r="BV76" s="121"/>
      <c r="BW76" s="121"/>
      <c r="BX76" s="121"/>
      <c r="BY76" s="121"/>
      <c r="BZ76" s="121"/>
      <c r="CA76" s="450"/>
      <c r="CB76" s="121"/>
      <c r="CC76" s="121"/>
      <c r="CD76" s="121"/>
      <c r="CE76" s="121"/>
      <c r="CF76" s="451"/>
    </row>
    <row r="77" spans="1:84" s="446" customFormat="1" ht="16.350000000000001" customHeight="1">
      <c r="A77" s="439"/>
      <c r="B77" s="439"/>
      <c r="C77" s="459"/>
      <c r="D77" s="459"/>
      <c r="E77" s="459"/>
      <c r="F77" s="121" t="s">
        <v>609</v>
      </c>
      <c r="G77" s="121">
        <v>40</v>
      </c>
      <c r="H77" s="125" t="s">
        <v>625</v>
      </c>
      <c r="I77" s="121" t="s">
        <v>676</v>
      </c>
      <c r="J77" s="137" t="s">
        <v>398</v>
      </c>
      <c r="K77" s="137" t="s">
        <v>611</v>
      </c>
      <c r="L77" s="137" t="s">
        <v>664</v>
      </c>
      <c r="M77" s="137" t="s">
        <v>674</v>
      </c>
      <c r="N77" s="137" t="s">
        <v>677</v>
      </c>
      <c r="O77" s="137" t="s">
        <v>639</v>
      </c>
      <c r="P77" s="137" t="s">
        <v>611</v>
      </c>
      <c r="Q77" s="137" t="s">
        <v>628</v>
      </c>
      <c r="R77" s="121">
        <v>41</v>
      </c>
      <c r="S77" s="121" t="s">
        <v>621</v>
      </c>
      <c r="T77" s="121"/>
      <c r="U77" s="121" t="s">
        <v>110</v>
      </c>
      <c r="V77" s="121" t="s">
        <v>640</v>
      </c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 t="s">
        <v>616</v>
      </c>
      <c r="BG77" s="121" t="s">
        <v>616</v>
      </c>
      <c r="BH77" s="121" t="s">
        <v>616</v>
      </c>
      <c r="BI77" s="121" t="s">
        <v>616</v>
      </c>
      <c r="BJ77" s="121" t="s">
        <v>616</v>
      </c>
      <c r="BK77" s="121" t="s">
        <v>616</v>
      </c>
      <c r="BL77" s="121" t="s">
        <v>616</v>
      </c>
      <c r="BM77" s="121" t="s">
        <v>616</v>
      </c>
      <c r="BN77" s="121" t="s">
        <v>616</v>
      </c>
      <c r="BO77" s="121" t="s">
        <v>616</v>
      </c>
      <c r="BP77" s="449"/>
      <c r="BQ77" s="449"/>
      <c r="BR77" s="449"/>
      <c r="BS77" s="125" t="s">
        <v>616</v>
      </c>
      <c r="BT77" s="121"/>
      <c r="BU77" s="121"/>
      <c r="BV77" s="121"/>
      <c r="BW77" s="121"/>
      <c r="BX77" s="121"/>
      <c r="BY77" s="121"/>
      <c r="BZ77" s="121"/>
      <c r="CA77" s="450"/>
      <c r="CB77" s="121"/>
      <c r="CC77" s="121"/>
      <c r="CD77" s="121"/>
      <c r="CE77" s="121"/>
      <c r="CF77" s="451"/>
    </row>
    <row r="78" spans="1:84" s="446" customFormat="1" ht="16.350000000000001" customHeight="1" thickBot="1">
      <c r="A78" s="439"/>
      <c r="B78" s="439"/>
      <c r="C78" s="465"/>
      <c r="D78" s="465"/>
      <c r="E78" s="465"/>
      <c r="F78" s="452" t="s">
        <v>609</v>
      </c>
      <c r="G78" s="452">
        <v>40</v>
      </c>
      <c r="H78" s="467" t="s">
        <v>625</v>
      </c>
      <c r="I78" s="452" t="s">
        <v>678</v>
      </c>
      <c r="J78" s="452" t="s">
        <v>398</v>
      </c>
      <c r="K78" s="452" t="s">
        <v>611</v>
      </c>
      <c r="L78" s="452" t="s">
        <v>664</v>
      </c>
      <c r="M78" s="452" t="s">
        <v>674</v>
      </c>
      <c r="N78" s="452" t="s">
        <v>114</v>
      </c>
      <c r="O78" s="452" t="s">
        <v>639</v>
      </c>
      <c r="P78" s="452" t="s">
        <v>611</v>
      </c>
      <c r="Q78" s="452" t="s">
        <v>628</v>
      </c>
      <c r="R78" s="452">
        <v>42</v>
      </c>
      <c r="S78" s="452" t="s">
        <v>621</v>
      </c>
      <c r="T78" s="452"/>
      <c r="U78" s="452" t="s">
        <v>114</v>
      </c>
      <c r="V78" s="452" t="s">
        <v>640</v>
      </c>
      <c r="W78" s="452"/>
      <c r="X78" s="452"/>
      <c r="Y78" s="452"/>
      <c r="Z78" s="452"/>
      <c r="AA78" s="452"/>
      <c r="AB78" s="452"/>
      <c r="AC78" s="452"/>
      <c r="AD78" s="452"/>
      <c r="AE78" s="452"/>
      <c r="AF78" s="452"/>
      <c r="AG78" s="452"/>
      <c r="AH78" s="452"/>
      <c r="AI78" s="452"/>
      <c r="AJ78" s="452"/>
      <c r="AK78" s="452"/>
      <c r="AL78" s="452"/>
      <c r="AM78" s="452"/>
      <c r="AN78" s="452"/>
      <c r="AO78" s="452"/>
      <c r="AP78" s="452"/>
      <c r="AQ78" s="452"/>
      <c r="AR78" s="452"/>
      <c r="AS78" s="452"/>
      <c r="AT78" s="452"/>
      <c r="AU78" s="452"/>
      <c r="AV78" s="452"/>
      <c r="AW78" s="452"/>
      <c r="AX78" s="452"/>
      <c r="AY78" s="452"/>
      <c r="AZ78" s="452"/>
      <c r="BA78" s="452"/>
      <c r="BB78" s="452"/>
      <c r="BC78" s="452"/>
      <c r="BD78" s="452"/>
      <c r="BE78" s="452"/>
      <c r="BF78" s="452" t="s">
        <v>616</v>
      </c>
      <c r="BG78" s="452" t="s">
        <v>616</v>
      </c>
      <c r="BH78" s="452" t="s">
        <v>616</v>
      </c>
      <c r="BI78" s="452" t="s">
        <v>616</v>
      </c>
      <c r="BJ78" s="452" t="s">
        <v>616</v>
      </c>
      <c r="BK78" s="452" t="s">
        <v>616</v>
      </c>
      <c r="BL78" s="452" t="s">
        <v>616</v>
      </c>
      <c r="BM78" s="452" t="s">
        <v>616</v>
      </c>
      <c r="BN78" s="452" t="s">
        <v>616</v>
      </c>
      <c r="BO78" s="452" t="s">
        <v>616</v>
      </c>
      <c r="BP78" s="466"/>
      <c r="BQ78" s="466"/>
      <c r="BR78" s="466"/>
      <c r="BS78" s="467" t="s">
        <v>616</v>
      </c>
      <c r="BT78" s="452"/>
      <c r="BU78" s="452"/>
      <c r="BV78" s="452"/>
      <c r="BW78" s="452"/>
      <c r="BX78" s="452"/>
      <c r="BY78" s="452"/>
      <c r="BZ78" s="452"/>
      <c r="CA78" s="468"/>
      <c r="CB78" s="452"/>
      <c r="CC78" s="452"/>
      <c r="CD78" s="452"/>
      <c r="CE78" s="452"/>
      <c r="CF78" s="469"/>
    </row>
  </sheetData>
  <phoneticPr fontId="3"/>
  <hyperlinks>
    <hyperlink ref="A2" location="汎用マスタ一覧!A1" display="一覧に戻る" xr:uid="{C863A47C-8651-4098-8F66-A2149E0B7351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F90B-D5E9-4909-B03F-FAC59ECAD9C0}">
  <sheetPr>
    <pageSetUpPr fitToPage="1"/>
  </sheetPr>
  <dimension ref="A1:CV188"/>
  <sheetViews>
    <sheetView showGridLines="0" showZeros="0" view="pageBreakPreview" zoomScale="115" zoomScaleNormal="85" zoomScaleSheetLayoutView="115" workbookViewId="0">
      <pane ySplit="4" topLeftCell="A5" activePane="bottomLeft" state="frozen"/>
      <selection sqref="A1:J3"/>
      <selection pane="bottomLeft" activeCell="AO27" sqref="AO27"/>
    </sheetView>
  </sheetViews>
  <sheetFormatPr defaultColWidth="2.125" defaultRowHeight="15.75" customHeight="1"/>
  <cols>
    <col min="1" max="2" width="2.125" style="8" customWidth="1"/>
    <col min="3" max="3" width="2.5" style="9" customWidth="1"/>
    <col min="4" max="4" width="2.125" style="9" customWidth="1"/>
    <col min="5" max="5" width="3.125" style="9" customWidth="1"/>
    <col min="6" max="9" width="2.125" style="8" customWidth="1"/>
    <col min="10" max="10" width="2.125" style="9" customWidth="1"/>
    <col min="11" max="16" width="2.125" style="8" customWidth="1"/>
    <col min="17" max="17" width="2.125" style="10" customWidth="1"/>
    <col min="18" max="62" width="2.125" style="8" customWidth="1"/>
    <col min="63" max="63" width="2.5" style="8" customWidth="1"/>
    <col min="64" max="16384" width="2.125" style="8"/>
  </cols>
  <sheetData>
    <row r="1" spans="1:100" s="476" customFormat="1" ht="15.75" customHeight="1">
      <c r="A1" s="921" t="str">
        <f>[3]表紙!A54</f>
        <v>Webシステム</v>
      </c>
      <c r="B1" s="922"/>
      <c r="C1" s="922"/>
      <c r="D1" s="922"/>
      <c r="E1" s="922"/>
      <c r="F1" s="922"/>
      <c r="G1" s="922"/>
      <c r="H1" s="922"/>
      <c r="I1" s="922"/>
      <c r="J1" s="922"/>
      <c r="K1" s="922"/>
      <c r="L1" s="922"/>
      <c r="M1" s="922"/>
      <c r="N1" s="923"/>
      <c r="O1" s="930" t="s">
        <v>1235</v>
      </c>
      <c r="P1" s="931"/>
      <c r="Q1" s="931"/>
      <c r="R1" s="931"/>
      <c r="S1" s="931"/>
      <c r="T1" s="931"/>
      <c r="U1" s="931"/>
      <c r="V1" s="931"/>
      <c r="W1" s="931"/>
      <c r="X1" s="931"/>
      <c r="Y1" s="931"/>
      <c r="Z1" s="931"/>
      <c r="AA1" s="931"/>
      <c r="AB1" s="932"/>
      <c r="AC1" s="933" t="s">
        <v>1236</v>
      </c>
      <c r="AD1" s="934"/>
      <c r="AE1" s="934"/>
      <c r="AF1" s="934"/>
      <c r="AG1" s="934"/>
      <c r="AH1" s="934"/>
      <c r="AI1" s="935"/>
      <c r="AJ1" s="936" t="str">
        <f>[3]表紙!AJ64</f>
        <v>MSBB</v>
      </c>
      <c r="AK1" s="937"/>
      <c r="AL1" s="937"/>
      <c r="AM1" s="937"/>
      <c r="AN1" s="937"/>
      <c r="AO1" s="937"/>
      <c r="AP1" s="938"/>
      <c r="AQ1" s="933" t="s">
        <v>1237</v>
      </c>
      <c r="AR1" s="934"/>
      <c r="AS1" s="934"/>
      <c r="AT1" s="934"/>
      <c r="AU1" s="934"/>
      <c r="AV1" s="934"/>
      <c r="AW1" s="935"/>
      <c r="AX1" s="936" t="str">
        <f>[3]表紙!AX64</f>
        <v>Webシステム</v>
      </c>
      <c r="AY1" s="937"/>
      <c r="AZ1" s="937"/>
      <c r="BA1" s="937"/>
      <c r="BB1" s="937"/>
      <c r="BC1" s="937"/>
      <c r="BD1" s="937"/>
      <c r="BE1" s="937"/>
      <c r="BF1" s="937"/>
      <c r="BG1" s="937"/>
      <c r="BH1" s="937"/>
      <c r="BI1" s="937"/>
      <c r="BJ1" s="937"/>
      <c r="BK1" s="938"/>
      <c r="BL1" s="896" t="s">
        <v>1238</v>
      </c>
      <c r="BM1" s="897"/>
      <c r="BN1" s="897"/>
      <c r="BO1" s="897"/>
      <c r="BP1" s="897"/>
      <c r="BQ1" s="897"/>
      <c r="BR1" s="897"/>
      <c r="BS1" s="897"/>
      <c r="BT1" s="898"/>
      <c r="BU1" s="899" t="s">
        <v>1239</v>
      </c>
      <c r="BV1" s="900"/>
      <c r="BW1" s="900"/>
      <c r="BX1" s="900"/>
      <c r="BY1" s="900"/>
      <c r="BZ1" s="900"/>
      <c r="CA1" s="901"/>
      <c r="CB1" s="899" t="s">
        <v>1240</v>
      </c>
      <c r="CC1" s="900"/>
      <c r="CD1" s="900"/>
      <c r="CE1" s="900"/>
      <c r="CF1" s="900"/>
      <c r="CG1" s="900"/>
      <c r="CH1" s="902"/>
    </row>
    <row r="2" spans="1:100" s="476" customFormat="1" ht="15.75" customHeight="1">
      <c r="A2" s="924"/>
      <c r="B2" s="925"/>
      <c r="C2" s="925"/>
      <c r="D2" s="925"/>
      <c r="E2" s="925"/>
      <c r="F2" s="925"/>
      <c r="G2" s="925"/>
      <c r="H2" s="925"/>
      <c r="I2" s="925"/>
      <c r="J2" s="925"/>
      <c r="K2" s="925"/>
      <c r="L2" s="925"/>
      <c r="M2" s="925"/>
      <c r="N2" s="926"/>
      <c r="O2" s="903" t="str">
        <f>[3]表紙!O65</f>
        <v>表紙</v>
      </c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5"/>
      <c r="AC2" s="906" t="s">
        <v>1241</v>
      </c>
      <c r="AD2" s="907"/>
      <c r="AE2" s="907"/>
      <c r="AF2" s="907"/>
      <c r="AG2" s="907"/>
      <c r="AH2" s="907"/>
      <c r="AI2" s="908"/>
      <c r="AJ2" s="909" t="str">
        <f>[3]表紙!AJ65</f>
        <v>MSBBPA070</v>
      </c>
      <c r="AK2" s="910"/>
      <c r="AL2" s="910"/>
      <c r="AM2" s="910"/>
      <c r="AN2" s="910"/>
      <c r="AO2" s="910"/>
      <c r="AP2" s="911"/>
      <c r="AQ2" s="906" t="s">
        <v>1242</v>
      </c>
      <c r="AR2" s="907"/>
      <c r="AS2" s="907"/>
      <c r="AT2" s="907"/>
      <c r="AU2" s="907"/>
      <c r="AV2" s="907"/>
      <c r="AW2" s="908"/>
      <c r="AX2" s="912">
        <f>[3]表紙!AX65</f>
        <v>0</v>
      </c>
      <c r="AY2" s="913"/>
      <c r="AZ2" s="913"/>
      <c r="BA2" s="913"/>
      <c r="BB2" s="913"/>
      <c r="BC2" s="913"/>
      <c r="BD2" s="913"/>
      <c r="BE2" s="913"/>
      <c r="BF2" s="913"/>
      <c r="BG2" s="913"/>
      <c r="BH2" s="913"/>
      <c r="BI2" s="913"/>
      <c r="BJ2" s="913"/>
      <c r="BK2" s="914"/>
      <c r="BL2" s="915">
        <f>[3]表紙!BL65</f>
        <v>0</v>
      </c>
      <c r="BM2" s="916"/>
      <c r="BN2" s="916"/>
      <c r="BO2" s="916"/>
      <c r="BP2" s="916"/>
      <c r="BQ2" s="916"/>
      <c r="BR2" s="916"/>
      <c r="BS2" s="916"/>
      <c r="BT2" s="917"/>
      <c r="BU2" s="915">
        <f>[3]表紙!BU65</f>
        <v>0</v>
      </c>
      <c r="BV2" s="916"/>
      <c r="BW2" s="916"/>
      <c r="BX2" s="916"/>
      <c r="BY2" s="916"/>
      <c r="BZ2" s="916"/>
      <c r="CA2" s="917"/>
      <c r="CB2" s="939">
        <f>[3]表紙!CB65</f>
        <v>0</v>
      </c>
      <c r="CC2" s="916"/>
      <c r="CD2" s="916"/>
      <c r="CE2" s="916"/>
      <c r="CF2" s="916"/>
      <c r="CG2" s="916"/>
      <c r="CH2" s="940"/>
    </row>
    <row r="3" spans="1:100" s="476" customFormat="1" ht="15.75" customHeight="1" thickBot="1">
      <c r="A3" s="927"/>
      <c r="B3" s="928"/>
      <c r="C3" s="928"/>
      <c r="D3" s="928"/>
      <c r="E3" s="928"/>
      <c r="F3" s="928"/>
      <c r="G3" s="928"/>
      <c r="H3" s="928"/>
      <c r="I3" s="928"/>
      <c r="J3" s="928"/>
      <c r="K3" s="928"/>
      <c r="L3" s="928"/>
      <c r="M3" s="928"/>
      <c r="N3" s="929"/>
      <c r="O3" s="942" t="str">
        <f ca="1">RIGHT(CELL("filename",$A$1),LEN(CELL("filename",$A$1))-FIND("]",CELL("filename",$A$1)))</f>
        <v>補足説明資料_受注画面制御</v>
      </c>
      <c r="P3" s="943"/>
      <c r="Q3" s="943"/>
      <c r="R3" s="943"/>
      <c r="S3" s="943"/>
      <c r="T3" s="943"/>
      <c r="U3" s="943"/>
      <c r="V3" s="943"/>
      <c r="W3" s="943"/>
      <c r="X3" s="943"/>
      <c r="Y3" s="943"/>
      <c r="Z3" s="943"/>
      <c r="AA3" s="943"/>
      <c r="AB3" s="944"/>
      <c r="AC3" s="945" t="s">
        <v>1243</v>
      </c>
      <c r="AD3" s="946"/>
      <c r="AE3" s="946"/>
      <c r="AF3" s="946"/>
      <c r="AG3" s="946"/>
      <c r="AH3" s="946"/>
      <c r="AI3" s="947"/>
      <c r="AJ3" s="948">
        <f>[3]表紙!AJ66</f>
        <v>0</v>
      </c>
      <c r="AK3" s="949"/>
      <c r="AL3" s="949"/>
      <c r="AM3" s="949"/>
      <c r="AN3" s="949"/>
      <c r="AO3" s="949"/>
      <c r="AP3" s="949"/>
      <c r="AQ3" s="950">
        <f>[3]表紙!AQ66</f>
        <v>0</v>
      </c>
      <c r="AR3" s="950"/>
      <c r="AS3" s="950"/>
      <c r="AT3" s="950"/>
      <c r="AU3" s="950"/>
      <c r="AV3" s="950"/>
      <c r="AW3" s="950"/>
      <c r="AX3" s="950"/>
      <c r="AY3" s="950"/>
      <c r="AZ3" s="950"/>
      <c r="BA3" s="950"/>
      <c r="BB3" s="950"/>
      <c r="BC3" s="950"/>
      <c r="BD3" s="950"/>
      <c r="BE3" s="950"/>
      <c r="BF3" s="950"/>
      <c r="BG3" s="950"/>
      <c r="BH3" s="950"/>
      <c r="BI3" s="950"/>
      <c r="BJ3" s="950"/>
      <c r="BK3" s="951"/>
      <c r="BL3" s="918"/>
      <c r="BM3" s="919"/>
      <c r="BN3" s="919"/>
      <c r="BO3" s="919"/>
      <c r="BP3" s="919"/>
      <c r="BQ3" s="919"/>
      <c r="BR3" s="919"/>
      <c r="BS3" s="919"/>
      <c r="BT3" s="920"/>
      <c r="BU3" s="918"/>
      <c r="BV3" s="919"/>
      <c r="BW3" s="919"/>
      <c r="BX3" s="919"/>
      <c r="BY3" s="919"/>
      <c r="BZ3" s="919"/>
      <c r="CA3" s="920"/>
      <c r="CB3" s="918"/>
      <c r="CC3" s="919"/>
      <c r="CD3" s="919"/>
      <c r="CE3" s="919"/>
      <c r="CF3" s="919"/>
      <c r="CG3" s="919"/>
      <c r="CH3" s="941"/>
    </row>
    <row r="4" spans="1:100" s="476" customFormat="1" ht="6.75" customHeight="1" thickBot="1">
      <c r="B4" s="477"/>
      <c r="C4" s="478"/>
      <c r="D4" s="478"/>
      <c r="E4" s="478"/>
      <c r="F4" s="479"/>
      <c r="G4" s="479"/>
      <c r="H4" s="479"/>
      <c r="I4" s="479"/>
      <c r="J4" s="478"/>
      <c r="K4" s="479"/>
      <c r="L4" s="479"/>
      <c r="M4" s="479"/>
      <c r="N4" s="479"/>
      <c r="O4" s="479"/>
      <c r="P4" s="479"/>
      <c r="Q4" s="480"/>
    </row>
    <row r="5" spans="1:100" s="824" customFormat="1">
      <c r="A5" s="821"/>
      <c r="B5" s="822"/>
      <c r="C5" s="822"/>
      <c r="D5" s="822"/>
      <c r="E5" s="822"/>
      <c r="F5" s="822"/>
      <c r="G5" s="822"/>
      <c r="H5" s="822"/>
      <c r="I5" s="822"/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822"/>
      <c r="W5" s="822"/>
      <c r="X5" s="822"/>
      <c r="Y5" s="822"/>
      <c r="Z5" s="822"/>
      <c r="AA5" s="822"/>
      <c r="AB5" s="822"/>
      <c r="AC5" s="822"/>
      <c r="AD5" s="822"/>
      <c r="AE5" s="822"/>
      <c r="AF5" s="822"/>
      <c r="AG5" s="822"/>
      <c r="AH5" s="822"/>
      <c r="AI5" s="822"/>
      <c r="AJ5" s="822"/>
      <c r="AK5" s="822"/>
      <c r="AL5" s="822"/>
      <c r="AM5" s="822"/>
      <c r="AN5" s="822"/>
      <c r="AO5" s="822" t="s">
        <v>1244</v>
      </c>
      <c r="AP5" s="822"/>
      <c r="AQ5" s="822"/>
      <c r="AR5" s="822"/>
      <c r="AS5" s="822"/>
      <c r="AT5" s="822"/>
      <c r="AU5" s="822"/>
      <c r="AV5" s="822"/>
      <c r="AW5" s="822"/>
      <c r="AX5" s="822"/>
      <c r="AY5" s="822"/>
      <c r="AZ5" s="822"/>
      <c r="BA5" s="822"/>
      <c r="BB5" s="822"/>
      <c r="BC5" s="822"/>
      <c r="BD5" s="822"/>
      <c r="BE5" s="822"/>
      <c r="BF5" s="822"/>
      <c r="BG5" s="822"/>
      <c r="BH5" s="822"/>
      <c r="BI5" s="822"/>
      <c r="BJ5" s="822"/>
      <c r="BK5" s="822"/>
      <c r="BL5" s="822"/>
      <c r="BM5" s="822"/>
      <c r="BN5" s="822"/>
      <c r="BO5" s="822"/>
      <c r="BP5" s="822"/>
      <c r="BQ5" s="822"/>
      <c r="BR5" s="822"/>
      <c r="BS5" s="822"/>
      <c r="BT5" s="822"/>
      <c r="BU5" s="822"/>
      <c r="BV5" s="822"/>
      <c r="BW5" s="822"/>
      <c r="BX5" s="822"/>
      <c r="BY5" s="822"/>
      <c r="BZ5" s="822"/>
      <c r="CA5" s="822"/>
      <c r="CB5" s="822"/>
      <c r="CC5" s="822"/>
      <c r="CD5" s="822"/>
      <c r="CE5" s="822"/>
      <c r="CF5" s="822"/>
      <c r="CG5" s="822"/>
      <c r="CH5" s="823"/>
    </row>
    <row r="6" spans="1:100" ht="15.75" customHeight="1">
      <c r="A6" s="508"/>
      <c r="B6" s="5"/>
      <c r="C6" s="6"/>
      <c r="D6" s="6"/>
      <c r="E6" s="6"/>
      <c r="F6" s="5"/>
      <c r="G6" s="5"/>
      <c r="H6" s="5"/>
      <c r="I6" s="5"/>
      <c r="J6" s="6"/>
      <c r="K6" s="5"/>
      <c r="L6" s="5"/>
      <c r="M6" s="5"/>
      <c r="N6" s="5"/>
      <c r="O6" s="5"/>
      <c r="P6" s="5"/>
      <c r="Q6" s="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09"/>
    </row>
    <row r="7" spans="1:100" ht="15.75" customHeight="1">
      <c r="A7" s="497"/>
      <c r="D7" s="825"/>
      <c r="V7" s="895" t="s">
        <v>202</v>
      </c>
      <c r="W7" s="895"/>
      <c r="X7" s="895"/>
      <c r="Y7" s="895"/>
      <c r="Z7" s="895"/>
      <c r="AA7" s="895"/>
      <c r="AB7" s="895"/>
      <c r="AC7" s="895"/>
      <c r="AD7" s="895"/>
      <c r="AE7" s="895"/>
      <c r="AF7" s="895"/>
      <c r="AG7" s="895"/>
      <c r="AH7" s="895"/>
      <c r="AI7" s="895"/>
      <c r="AJ7" s="895"/>
      <c r="AK7" s="895"/>
      <c r="AL7" s="895"/>
      <c r="AM7" s="895"/>
      <c r="AN7" s="895"/>
      <c r="AO7" s="895"/>
      <c r="AP7" s="895"/>
      <c r="AQ7" s="895"/>
      <c r="AR7" s="895"/>
      <c r="AS7" s="895"/>
      <c r="AT7" s="895"/>
      <c r="AU7" s="895"/>
      <c r="AV7" s="895"/>
      <c r="AW7" s="895"/>
      <c r="AX7" s="895"/>
      <c r="AY7" s="895"/>
      <c r="AZ7" s="895"/>
      <c r="BA7" s="895"/>
      <c r="BB7" s="895"/>
      <c r="BC7" s="895"/>
      <c r="BD7" s="895"/>
      <c r="BE7" s="895"/>
      <c r="BF7" s="895"/>
      <c r="BG7" s="895"/>
      <c r="BH7" s="895"/>
      <c r="BI7" s="895"/>
      <c r="BJ7" s="895"/>
      <c r="BK7" s="895"/>
      <c r="BL7" s="895"/>
      <c r="BM7" s="895"/>
      <c r="BN7" s="895"/>
      <c r="BO7" s="895"/>
      <c r="BP7" s="895"/>
      <c r="BQ7" s="895"/>
      <c r="CH7" s="499"/>
      <c r="CJ7" s="826" t="s">
        <v>22</v>
      </c>
      <c r="CV7" s="500" t="s">
        <v>1245</v>
      </c>
    </row>
    <row r="8" spans="1:100" ht="15.75" customHeight="1">
      <c r="A8" s="497"/>
      <c r="D8" s="891"/>
      <c r="E8" s="891"/>
      <c r="F8" s="717"/>
      <c r="G8" s="892" t="s">
        <v>203</v>
      </c>
      <c r="H8" s="893"/>
      <c r="I8" s="893"/>
      <c r="J8" s="893"/>
      <c r="K8" s="893"/>
      <c r="L8" s="893"/>
      <c r="M8" s="893"/>
      <c r="N8" s="893"/>
      <c r="O8" s="893"/>
      <c r="P8" s="893"/>
      <c r="Q8" s="893"/>
      <c r="R8" s="893"/>
      <c r="S8" s="893"/>
      <c r="T8" s="893"/>
      <c r="U8" s="894"/>
      <c r="V8" s="889" t="s">
        <v>204</v>
      </c>
      <c r="W8" s="889"/>
      <c r="X8" s="889"/>
      <c r="Y8" s="889"/>
      <c r="Z8" s="889"/>
      <c r="AA8" s="889"/>
      <c r="AB8" s="889" t="s">
        <v>205</v>
      </c>
      <c r="AC8" s="889"/>
      <c r="AD8" s="889"/>
      <c r="AE8" s="889"/>
      <c r="AF8" s="889"/>
      <c r="AG8" s="889"/>
      <c r="AH8" s="889" t="s">
        <v>206</v>
      </c>
      <c r="AI8" s="889"/>
      <c r="AJ8" s="889"/>
      <c r="AK8" s="889"/>
      <c r="AL8" s="889"/>
      <c r="AM8" s="889"/>
      <c r="AN8" s="889" t="s">
        <v>207</v>
      </c>
      <c r="AO8" s="889"/>
      <c r="AP8" s="889"/>
      <c r="AQ8" s="889"/>
      <c r="AR8" s="889"/>
      <c r="AS8" s="889"/>
      <c r="AT8" s="889" t="s">
        <v>208</v>
      </c>
      <c r="AU8" s="889"/>
      <c r="AV8" s="889"/>
      <c r="AW8" s="889"/>
      <c r="AX8" s="889"/>
      <c r="AY8" s="889"/>
      <c r="AZ8" s="889" t="s">
        <v>209</v>
      </c>
      <c r="BA8" s="889"/>
      <c r="BB8" s="889"/>
      <c r="BC8" s="889"/>
      <c r="BD8" s="889"/>
      <c r="BE8" s="889"/>
      <c r="BF8" s="890" t="s">
        <v>210</v>
      </c>
      <c r="BG8" s="890"/>
      <c r="BH8" s="890"/>
      <c r="BI8" s="890"/>
      <c r="BJ8" s="890"/>
      <c r="BK8" s="890"/>
      <c r="BL8" s="889" t="s">
        <v>211</v>
      </c>
      <c r="BM8" s="889"/>
      <c r="BN8" s="889"/>
      <c r="BO8" s="889"/>
      <c r="BP8" s="889"/>
      <c r="BQ8" s="889"/>
      <c r="BR8" s="579"/>
      <c r="BS8" s="579"/>
      <c r="BT8" s="579"/>
      <c r="BU8" s="579"/>
      <c r="BV8" s="579"/>
      <c r="BW8" s="579"/>
      <c r="BX8" s="579"/>
      <c r="BY8" s="579"/>
      <c r="BZ8" s="579"/>
      <c r="CA8" s="579"/>
      <c r="CB8" s="579"/>
      <c r="CH8" s="499"/>
      <c r="CJ8" s="826" t="s">
        <v>22</v>
      </c>
      <c r="CV8" s="500" t="s">
        <v>1245</v>
      </c>
    </row>
    <row r="9" spans="1:100" ht="15.75" customHeight="1">
      <c r="A9" s="497"/>
      <c r="D9" s="881"/>
      <c r="E9" s="881"/>
      <c r="F9" s="827"/>
      <c r="G9" s="878" t="s">
        <v>212</v>
      </c>
      <c r="H9" s="878"/>
      <c r="I9" s="878"/>
      <c r="J9" s="878"/>
      <c r="K9" s="878"/>
      <c r="L9" s="878"/>
      <c r="M9" s="878"/>
      <c r="N9" s="878"/>
      <c r="O9" s="878"/>
      <c r="P9" s="878"/>
      <c r="Q9" s="878"/>
      <c r="R9" s="878"/>
      <c r="S9" s="878"/>
      <c r="T9" s="878"/>
      <c r="U9" s="878"/>
      <c r="V9" s="885" t="s">
        <v>213</v>
      </c>
      <c r="W9" s="886"/>
      <c r="X9" s="886"/>
      <c r="Y9" s="886"/>
      <c r="Z9" s="886"/>
      <c r="AA9" s="886"/>
      <c r="AB9" s="885" t="s">
        <v>213</v>
      </c>
      <c r="AC9" s="886"/>
      <c r="AD9" s="886"/>
      <c r="AE9" s="886"/>
      <c r="AF9" s="886"/>
      <c r="AG9" s="886"/>
      <c r="AH9" s="885" t="s">
        <v>213</v>
      </c>
      <c r="AI9" s="886"/>
      <c r="AJ9" s="886"/>
      <c r="AK9" s="886"/>
      <c r="AL9" s="886"/>
      <c r="AM9" s="886"/>
      <c r="AN9" s="885" t="s">
        <v>214</v>
      </c>
      <c r="AO9" s="886"/>
      <c r="AP9" s="886"/>
      <c r="AQ9" s="886"/>
      <c r="AR9" s="886"/>
      <c r="AS9" s="886"/>
      <c r="AT9" s="885" t="s">
        <v>213</v>
      </c>
      <c r="AU9" s="886"/>
      <c r="AV9" s="886"/>
      <c r="AW9" s="886"/>
      <c r="AX9" s="886"/>
      <c r="AY9" s="886"/>
      <c r="AZ9" s="885" t="s">
        <v>213</v>
      </c>
      <c r="BA9" s="886"/>
      <c r="BB9" s="886"/>
      <c r="BC9" s="886"/>
      <c r="BD9" s="886"/>
      <c r="BE9" s="886"/>
      <c r="BF9" s="885" t="s">
        <v>213</v>
      </c>
      <c r="BG9" s="886"/>
      <c r="BH9" s="886"/>
      <c r="BI9" s="886"/>
      <c r="BJ9" s="886"/>
      <c r="BK9" s="886"/>
      <c r="BL9" s="882" t="s">
        <v>213</v>
      </c>
      <c r="BM9" s="883"/>
      <c r="BN9" s="883"/>
      <c r="BO9" s="883"/>
      <c r="BP9" s="883"/>
      <c r="BQ9" s="884"/>
      <c r="BR9" s="827"/>
      <c r="BS9" s="827"/>
      <c r="BT9" s="827"/>
      <c r="BU9" s="827"/>
      <c r="BV9" s="827"/>
      <c r="BW9" s="827"/>
      <c r="BX9" s="827"/>
      <c r="BY9" s="827"/>
      <c r="BZ9" s="827"/>
      <c r="CA9" s="827"/>
      <c r="CB9" s="827"/>
      <c r="CH9" s="499"/>
      <c r="CJ9" s="826" t="s">
        <v>22</v>
      </c>
      <c r="CV9" s="500" t="s">
        <v>1245</v>
      </c>
    </row>
    <row r="10" spans="1:100" ht="15.75" customHeight="1">
      <c r="A10" s="497"/>
      <c r="D10" s="881"/>
      <c r="E10" s="881"/>
      <c r="F10" s="827"/>
      <c r="G10" s="878" t="s">
        <v>215</v>
      </c>
      <c r="H10" s="878"/>
      <c r="I10" s="878"/>
      <c r="J10" s="878"/>
      <c r="K10" s="878"/>
      <c r="L10" s="878"/>
      <c r="M10" s="878"/>
      <c r="N10" s="878"/>
      <c r="O10" s="878"/>
      <c r="P10" s="878"/>
      <c r="Q10" s="878"/>
      <c r="R10" s="878"/>
      <c r="S10" s="878"/>
      <c r="T10" s="878"/>
      <c r="U10" s="878"/>
      <c r="V10" s="885" t="s">
        <v>213</v>
      </c>
      <c r="W10" s="886"/>
      <c r="X10" s="886"/>
      <c r="Y10" s="886"/>
      <c r="Z10" s="886"/>
      <c r="AA10" s="886"/>
      <c r="AB10" s="887" t="s">
        <v>216</v>
      </c>
      <c r="AC10" s="886"/>
      <c r="AD10" s="886"/>
      <c r="AE10" s="886"/>
      <c r="AF10" s="886"/>
      <c r="AG10" s="886"/>
      <c r="AH10" s="887" t="s">
        <v>216</v>
      </c>
      <c r="AI10" s="886"/>
      <c r="AJ10" s="886"/>
      <c r="AK10" s="886"/>
      <c r="AL10" s="886"/>
      <c r="AM10" s="886"/>
      <c r="AN10" s="887" t="s">
        <v>216</v>
      </c>
      <c r="AO10" s="886"/>
      <c r="AP10" s="886"/>
      <c r="AQ10" s="886"/>
      <c r="AR10" s="886"/>
      <c r="AS10" s="886"/>
      <c r="AT10" s="887" t="s">
        <v>216</v>
      </c>
      <c r="AU10" s="886"/>
      <c r="AV10" s="886"/>
      <c r="AW10" s="886"/>
      <c r="AX10" s="886"/>
      <c r="AY10" s="886"/>
      <c r="AZ10" s="887" t="s">
        <v>216</v>
      </c>
      <c r="BA10" s="886"/>
      <c r="BB10" s="886"/>
      <c r="BC10" s="886"/>
      <c r="BD10" s="886"/>
      <c r="BE10" s="886"/>
      <c r="BF10" s="887" t="s">
        <v>216</v>
      </c>
      <c r="BG10" s="886"/>
      <c r="BH10" s="886"/>
      <c r="BI10" s="886"/>
      <c r="BJ10" s="886"/>
      <c r="BK10" s="886"/>
      <c r="BL10" s="887" t="s">
        <v>216</v>
      </c>
      <c r="BM10" s="886"/>
      <c r="BN10" s="886"/>
      <c r="BO10" s="886"/>
      <c r="BP10" s="886"/>
      <c r="BQ10" s="888"/>
      <c r="BR10" s="827"/>
      <c r="BS10" s="827"/>
      <c r="BT10" s="827"/>
      <c r="BU10" s="827"/>
      <c r="BV10" s="827"/>
      <c r="BW10" s="827"/>
      <c r="BX10" s="827"/>
      <c r="BY10" s="827"/>
      <c r="BZ10" s="827"/>
      <c r="CA10" s="827"/>
      <c r="CB10" s="827"/>
      <c r="CH10" s="499"/>
      <c r="CJ10" s="826" t="s">
        <v>22</v>
      </c>
      <c r="CV10" s="500" t="s">
        <v>1245</v>
      </c>
    </row>
    <row r="11" spans="1:100" ht="15.75" customHeight="1">
      <c r="A11" s="497"/>
      <c r="D11" s="881"/>
      <c r="E11" s="881"/>
      <c r="F11" s="827"/>
      <c r="G11" s="878" t="s">
        <v>217</v>
      </c>
      <c r="H11" s="878"/>
      <c r="I11" s="878"/>
      <c r="J11" s="878"/>
      <c r="K11" s="878"/>
      <c r="L11" s="878"/>
      <c r="M11" s="878"/>
      <c r="N11" s="878"/>
      <c r="O11" s="878"/>
      <c r="P11" s="878"/>
      <c r="Q11" s="878"/>
      <c r="R11" s="878"/>
      <c r="S11" s="878"/>
      <c r="T11" s="878"/>
      <c r="U11" s="878"/>
      <c r="V11" s="885" t="s">
        <v>218</v>
      </c>
      <c r="W11" s="886"/>
      <c r="X11" s="886"/>
      <c r="Y11" s="886"/>
      <c r="Z11" s="886"/>
      <c r="AA11" s="886"/>
      <c r="AB11" s="885" t="s">
        <v>218</v>
      </c>
      <c r="AC11" s="886"/>
      <c r="AD11" s="886"/>
      <c r="AE11" s="886"/>
      <c r="AF11" s="886"/>
      <c r="AG11" s="886"/>
      <c r="AH11" s="885" t="s">
        <v>218</v>
      </c>
      <c r="AI11" s="886"/>
      <c r="AJ11" s="886"/>
      <c r="AK11" s="886"/>
      <c r="AL11" s="886"/>
      <c r="AM11" s="886"/>
      <c r="AN11" s="885" t="s">
        <v>214</v>
      </c>
      <c r="AO11" s="886"/>
      <c r="AP11" s="886"/>
      <c r="AQ11" s="886"/>
      <c r="AR11" s="886"/>
      <c r="AS11" s="886"/>
      <c r="AT11" s="885" t="s">
        <v>218</v>
      </c>
      <c r="AU11" s="886"/>
      <c r="AV11" s="886"/>
      <c r="AW11" s="886"/>
      <c r="AX11" s="886"/>
      <c r="AY11" s="886"/>
      <c r="AZ11" s="885" t="s">
        <v>218</v>
      </c>
      <c r="BA11" s="886"/>
      <c r="BB11" s="886"/>
      <c r="BC11" s="886"/>
      <c r="BD11" s="886"/>
      <c r="BE11" s="886"/>
      <c r="BF11" s="885" t="s">
        <v>213</v>
      </c>
      <c r="BG11" s="886"/>
      <c r="BH11" s="886"/>
      <c r="BI11" s="886"/>
      <c r="BJ11" s="886"/>
      <c r="BK11" s="886"/>
      <c r="BL11" s="882" t="s">
        <v>213</v>
      </c>
      <c r="BM11" s="883"/>
      <c r="BN11" s="883"/>
      <c r="BO11" s="883"/>
      <c r="BP11" s="883"/>
      <c r="BQ11" s="884"/>
      <c r="BR11" s="827"/>
      <c r="BS11" s="827"/>
      <c r="BT11" s="827"/>
      <c r="BU11" s="827"/>
      <c r="BV11" s="827"/>
      <c r="BW11" s="827"/>
      <c r="BX11" s="827"/>
      <c r="BY11" s="827"/>
      <c r="BZ11" s="827"/>
      <c r="CA11" s="827"/>
      <c r="CB11" s="827"/>
      <c r="CH11" s="499"/>
      <c r="CJ11" s="826" t="s">
        <v>22</v>
      </c>
      <c r="CV11" s="500" t="s">
        <v>1245</v>
      </c>
    </row>
    <row r="12" spans="1:100" ht="15.75" customHeight="1">
      <c r="A12" s="497"/>
      <c r="D12" s="881"/>
      <c r="E12" s="881"/>
      <c r="F12" s="827"/>
      <c r="G12" s="878" t="s">
        <v>219</v>
      </c>
      <c r="H12" s="878"/>
      <c r="I12" s="878"/>
      <c r="J12" s="878"/>
      <c r="K12" s="878"/>
      <c r="L12" s="878"/>
      <c r="M12" s="878"/>
      <c r="N12" s="878"/>
      <c r="O12" s="878"/>
      <c r="P12" s="878"/>
      <c r="Q12" s="878"/>
      <c r="R12" s="878"/>
      <c r="S12" s="878"/>
      <c r="T12" s="878"/>
      <c r="U12" s="878"/>
      <c r="V12" s="885" t="s">
        <v>214</v>
      </c>
      <c r="W12" s="886"/>
      <c r="X12" s="886"/>
      <c r="Y12" s="886"/>
      <c r="Z12" s="886"/>
      <c r="AA12" s="886"/>
      <c r="AB12" s="885" t="s">
        <v>218</v>
      </c>
      <c r="AC12" s="886"/>
      <c r="AD12" s="886"/>
      <c r="AE12" s="886"/>
      <c r="AF12" s="886"/>
      <c r="AG12" s="886"/>
      <c r="AH12" s="887" t="s">
        <v>216</v>
      </c>
      <c r="AI12" s="886"/>
      <c r="AJ12" s="886"/>
      <c r="AK12" s="886"/>
      <c r="AL12" s="886"/>
      <c r="AM12" s="886"/>
      <c r="AN12" s="885" t="s">
        <v>214</v>
      </c>
      <c r="AO12" s="886"/>
      <c r="AP12" s="886"/>
      <c r="AQ12" s="886"/>
      <c r="AR12" s="886"/>
      <c r="AS12" s="886"/>
      <c r="AT12" s="887" t="s">
        <v>216</v>
      </c>
      <c r="AU12" s="886"/>
      <c r="AV12" s="886"/>
      <c r="AW12" s="886"/>
      <c r="AX12" s="886"/>
      <c r="AY12" s="886"/>
      <c r="AZ12" s="887" t="s">
        <v>216</v>
      </c>
      <c r="BA12" s="886"/>
      <c r="BB12" s="886"/>
      <c r="BC12" s="886"/>
      <c r="BD12" s="886"/>
      <c r="BE12" s="886"/>
      <c r="BF12" s="885" t="s">
        <v>213</v>
      </c>
      <c r="BG12" s="886"/>
      <c r="BH12" s="886"/>
      <c r="BI12" s="886"/>
      <c r="BJ12" s="886"/>
      <c r="BK12" s="886"/>
      <c r="BL12" s="882" t="s">
        <v>213</v>
      </c>
      <c r="BM12" s="883"/>
      <c r="BN12" s="883"/>
      <c r="BO12" s="883"/>
      <c r="BP12" s="883"/>
      <c r="BQ12" s="884"/>
      <c r="BR12" s="827"/>
      <c r="BS12" s="827"/>
      <c r="BT12" s="827"/>
      <c r="BU12" s="827"/>
      <c r="BV12" s="827"/>
      <c r="BW12" s="827"/>
      <c r="BX12" s="827"/>
      <c r="BY12" s="827"/>
      <c r="BZ12" s="827"/>
      <c r="CA12" s="827"/>
      <c r="CB12" s="827"/>
      <c r="CH12" s="499"/>
      <c r="CJ12" s="826" t="s">
        <v>22</v>
      </c>
      <c r="CV12" s="500" t="s">
        <v>1245</v>
      </c>
    </row>
    <row r="13" spans="1:100" ht="15.75" customHeight="1">
      <c r="A13" s="497"/>
      <c r="D13" s="881"/>
      <c r="E13" s="881"/>
      <c r="F13" s="827"/>
      <c r="G13" s="878" t="s">
        <v>220</v>
      </c>
      <c r="H13" s="878"/>
      <c r="I13" s="878"/>
      <c r="J13" s="878"/>
      <c r="K13" s="878"/>
      <c r="L13" s="878"/>
      <c r="M13" s="878"/>
      <c r="N13" s="878"/>
      <c r="O13" s="878"/>
      <c r="P13" s="878"/>
      <c r="Q13" s="878"/>
      <c r="R13" s="878"/>
      <c r="S13" s="878"/>
      <c r="T13" s="878"/>
      <c r="U13" s="878"/>
      <c r="V13" s="885" t="s">
        <v>218</v>
      </c>
      <c r="W13" s="886"/>
      <c r="X13" s="886"/>
      <c r="Y13" s="886"/>
      <c r="Z13" s="886"/>
      <c r="AA13" s="886"/>
      <c r="AB13" s="885" t="s">
        <v>218</v>
      </c>
      <c r="AC13" s="886"/>
      <c r="AD13" s="886"/>
      <c r="AE13" s="886"/>
      <c r="AF13" s="886"/>
      <c r="AG13" s="886"/>
      <c r="AH13" s="885" t="s">
        <v>218</v>
      </c>
      <c r="AI13" s="886"/>
      <c r="AJ13" s="886"/>
      <c r="AK13" s="886"/>
      <c r="AL13" s="886"/>
      <c r="AM13" s="886"/>
      <c r="AN13" s="885" t="s">
        <v>214</v>
      </c>
      <c r="AO13" s="886"/>
      <c r="AP13" s="886"/>
      <c r="AQ13" s="886"/>
      <c r="AR13" s="886"/>
      <c r="AS13" s="886"/>
      <c r="AT13" s="887" t="s">
        <v>216</v>
      </c>
      <c r="AU13" s="886"/>
      <c r="AV13" s="886"/>
      <c r="AW13" s="886"/>
      <c r="AX13" s="886"/>
      <c r="AY13" s="886"/>
      <c r="AZ13" s="887" t="s">
        <v>216</v>
      </c>
      <c r="BA13" s="886"/>
      <c r="BB13" s="886"/>
      <c r="BC13" s="886"/>
      <c r="BD13" s="886"/>
      <c r="BE13" s="886"/>
      <c r="BF13" s="885" t="s">
        <v>213</v>
      </c>
      <c r="BG13" s="886"/>
      <c r="BH13" s="886"/>
      <c r="BI13" s="886"/>
      <c r="BJ13" s="886"/>
      <c r="BK13" s="886"/>
      <c r="BL13" s="882" t="s">
        <v>213</v>
      </c>
      <c r="BM13" s="883"/>
      <c r="BN13" s="883"/>
      <c r="BO13" s="883"/>
      <c r="BP13" s="883"/>
      <c r="BQ13" s="884"/>
      <c r="BR13" s="827"/>
      <c r="BS13" s="827"/>
      <c r="BT13" s="827"/>
      <c r="BU13" s="827"/>
      <c r="BV13" s="827"/>
      <c r="BW13" s="827"/>
      <c r="BX13" s="827"/>
      <c r="BY13" s="827"/>
      <c r="BZ13" s="827"/>
      <c r="CA13" s="827"/>
      <c r="CB13" s="827"/>
      <c r="CH13" s="499"/>
      <c r="CJ13" s="826" t="s">
        <v>22</v>
      </c>
      <c r="CV13" s="500" t="s">
        <v>1245</v>
      </c>
    </row>
    <row r="14" spans="1:100" ht="15.75" customHeight="1">
      <c r="A14" s="497"/>
      <c r="D14" s="881"/>
      <c r="E14" s="881"/>
      <c r="F14" s="827"/>
      <c r="G14" s="878" t="s">
        <v>221</v>
      </c>
      <c r="H14" s="878"/>
      <c r="I14" s="878"/>
      <c r="J14" s="878"/>
      <c r="K14" s="878"/>
      <c r="L14" s="878"/>
      <c r="M14" s="878"/>
      <c r="N14" s="878"/>
      <c r="O14" s="878"/>
      <c r="P14" s="878"/>
      <c r="Q14" s="878"/>
      <c r="R14" s="878"/>
      <c r="S14" s="878"/>
      <c r="T14" s="878"/>
      <c r="U14" s="878"/>
      <c r="V14" s="885" t="s">
        <v>218</v>
      </c>
      <c r="W14" s="886"/>
      <c r="X14" s="886"/>
      <c r="Y14" s="886"/>
      <c r="Z14" s="886"/>
      <c r="AA14" s="886"/>
      <c r="AB14" s="885" t="s">
        <v>218</v>
      </c>
      <c r="AC14" s="886"/>
      <c r="AD14" s="886"/>
      <c r="AE14" s="886"/>
      <c r="AF14" s="886"/>
      <c r="AG14" s="886"/>
      <c r="AH14" s="885" t="s">
        <v>218</v>
      </c>
      <c r="AI14" s="886"/>
      <c r="AJ14" s="886"/>
      <c r="AK14" s="886"/>
      <c r="AL14" s="886"/>
      <c r="AM14" s="886"/>
      <c r="AN14" s="885" t="s">
        <v>214</v>
      </c>
      <c r="AO14" s="886"/>
      <c r="AP14" s="886"/>
      <c r="AQ14" s="886"/>
      <c r="AR14" s="886"/>
      <c r="AS14" s="886"/>
      <c r="AT14" s="885" t="s">
        <v>213</v>
      </c>
      <c r="AU14" s="886"/>
      <c r="AV14" s="886"/>
      <c r="AW14" s="886"/>
      <c r="AX14" s="886"/>
      <c r="AY14" s="886"/>
      <c r="AZ14" s="885" t="s">
        <v>213</v>
      </c>
      <c r="BA14" s="886"/>
      <c r="BB14" s="886"/>
      <c r="BC14" s="886"/>
      <c r="BD14" s="886"/>
      <c r="BE14" s="886"/>
      <c r="BF14" s="885" t="s">
        <v>213</v>
      </c>
      <c r="BG14" s="886"/>
      <c r="BH14" s="886"/>
      <c r="BI14" s="886"/>
      <c r="BJ14" s="886"/>
      <c r="BK14" s="886"/>
      <c r="BL14" s="882" t="s">
        <v>213</v>
      </c>
      <c r="BM14" s="883"/>
      <c r="BN14" s="883"/>
      <c r="BO14" s="883"/>
      <c r="BP14" s="883"/>
      <c r="BQ14" s="884"/>
      <c r="BR14" s="827"/>
      <c r="BS14" s="827"/>
      <c r="BT14" s="827"/>
      <c r="BU14" s="827"/>
      <c r="BV14" s="827"/>
      <c r="BW14" s="827"/>
      <c r="BX14" s="827"/>
      <c r="BY14" s="827"/>
      <c r="BZ14" s="827"/>
      <c r="CA14" s="827"/>
      <c r="CB14" s="827"/>
      <c r="CH14" s="499"/>
      <c r="CJ14" s="826" t="s">
        <v>22</v>
      </c>
      <c r="CV14" s="500" t="s">
        <v>1245</v>
      </c>
    </row>
    <row r="15" spans="1:100" ht="15.75" customHeight="1">
      <c r="A15" s="497"/>
      <c r="D15" s="881"/>
      <c r="E15" s="881"/>
      <c r="F15" s="828"/>
      <c r="G15" s="878" t="s">
        <v>222</v>
      </c>
      <c r="H15" s="878"/>
      <c r="I15" s="878"/>
      <c r="J15" s="878"/>
      <c r="K15" s="878"/>
      <c r="L15" s="878"/>
      <c r="M15" s="878"/>
      <c r="N15" s="878"/>
      <c r="O15" s="878"/>
      <c r="P15" s="878"/>
      <c r="Q15" s="878"/>
      <c r="R15" s="878"/>
      <c r="S15" s="878"/>
      <c r="T15" s="878"/>
      <c r="U15" s="878"/>
      <c r="V15" s="879" t="s">
        <v>214</v>
      </c>
      <c r="W15" s="879"/>
      <c r="X15" s="879"/>
      <c r="Y15" s="879"/>
      <c r="Z15" s="879"/>
      <c r="AA15" s="879"/>
      <c r="AB15" s="882" t="s">
        <v>218</v>
      </c>
      <c r="AC15" s="883"/>
      <c r="AD15" s="883"/>
      <c r="AE15" s="883"/>
      <c r="AF15" s="883"/>
      <c r="AG15" s="884"/>
      <c r="AH15" s="880" t="s">
        <v>216</v>
      </c>
      <c r="AI15" s="879"/>
      <c r="AJ15" s="879"/>
      <c r="AK15" s="879"/>
      <c r="AL15" s="879"/>
      <c r="AM15" s="879"/>
      <c r="AN15" s="880" t="s">
        <v>216</v>
      </c>
      <c r="AO15" s="879"/>
      <c r="AP15" s="879"/>
      <c r="AQ15" s="879"/>
      <c r="AR15" s="879"/>
      <c r="AS15" s="879"/>
      <c r="AT15" s="880" t="s">
        <v>216</v>
      </c>
      <c r="AU15" s="879"/>
      <c r="AV15" s="879"/>
      <c r="AW15" s="879"/>
      <c r="AX15" s="879"/>
      <c r="AY15" s="879"/>
      <c r="AZ15" s="880" t="s">
        <v>216</v>
      </c>
      <c r="BA15" s="879"/>
      <c r="BB15" s="879"/>
      <c r="BC15" s="879"/>
      <c r="BD15" s="879"/>
      <c r="BE15" s="879"/>
      <c r="BF15" s="879" t="s">
        <v>213</v>
      </c>
      <c r="BG15" s="879"/>
      <c r="BH15" s="879"/>
      <c r="BI15" s="879"/>
      <c r="BJ15" s="879"/>
      <c r="BK15" s="879"/>
      <c r="BL15" s="879" t="s">
        <v>213</v>
      </c>
      <c r="BM15" s="879"/>
      <c r="BN15" s="879"/>
      <c r="BO15" s="879"/>
      <c r="BP15" s="879"/>
      <c r="BQ15" s="879"/>
      <c r="BR15" s="827"/>
      <c r="BS15" s="827"/>
      <c r="BT15" s="827"/>
      <c r="BU15" s="827"/>
      <c r="BV15" s="827"/>
      <c r="BW15" s="827"/>
      <c r="BX15" s="827"/>
      <c r="BY15" s="827"/>
      <c r="BZ15" s="827"/>
      <c r="CA15" s="827"/>
      <c r="CB15" s="827"/>
      <c r="CH15" s="499"/>
      <c r="CJ15" s="826" t="s">
        <v>22</v>
      </c>
      <c r="CV15" s="500" t="s">
        <v>1245</v>
      </c>
    </row>
    <row r="16" spans="1:100" ht="15.75" customHeight="1">
      <c r="A16" s="497"/>
      <c r="D16" s="881"/>
      <c r="E16" s="881"/>
      <c r="F16" s="828"/>
      <c r="G16" s="878" t="s">
        <v>223</v>
      </c>
      <c r="H16" s="878"/>
      <c r="I16" s="878"/>
      <c r="J16" s="878"/>
      <c r="K16" s="878"/>
      <c r="L16" s="878"/>
      <c r="M16" s="878"/>
      <c r="N16" s="878"/>
      <c r="O16" s="878"/>
      <c r="P16" s="878"/>
      <c r="Q16" s="878"/>
      <c r="R16" s="878"/>
      <c r="S16" s="878"/>
      <c r="T16" s="878"/>
      <c r="U16" s="878"/>
      <c r="V16" s="879" t="s">
        <v>214</v>
      </c>
      <c r="W16" s="879"/>
      <c r="X16" s="879"/>
      <c r="Y16" s="879"/>
      <c r="Z16" s="879"/>
      <c r="AA16" s="879"/>
      <c r="AB16" s="879" t="s">
        <v>218</v>
      </c>
      <c r="AC16" s="879"/>
      <c r="AD16" s="879"/>
      <c r="AE16" s="879"/>
      <c r="AF16" s="879"/>
      <c r="AG16" s="879"/>
      <c r="AH16" s="880" t="s">
        <v>216</v>
      </c>
      <c r="AI16" s="879"/>
      <c r="AJ16" s="879"/>
      <c r="AK16" s="879"/>
      <c r="AL16" s="879"/>
      <c r="AM16" s="879"/>
      <c r="AN16" s="880" t="s">
        <v>216</v>
      </c>
      <c r="AO16" s="879"/>
      <c r="AP16" s="879"/>
      <c r="AQ16" s="879"/>
      <c r="AR16" s="879"/>
      <c r="AS16" s="879"/>
      <c r="AT16" s="880" t="s">
        <v>216</v>
      </c>
      <c r="AU16" s="879"/>
      <c r="AV16" s="879"/>
      <c r="AW16" s="879"/>
      <c r="AX16" s="879"/>
      <c r="AY16" s="879"/>
      <c r="AZ16" s="880" t="s">
        <v>216</v>
      </c>
      <c r="BA16" s="879"/>
      <c r="BB16" s="879"/>
      <c r="BC16" s="879"/>
      <c r="BD16" s="879"/>
      <c r="BE16" s="879"/>
      <c r="BF16" s="879" t="s">
        <v>213</v>
      </c>
      <c r="BG16" s="879"/>
      <c r="BH16" s="879"/>
      <c r="BI16" s="879"/>
      <c r="BJ16" s="879"/>
      <c r="BK16" s="879"/>
      <c r="BL16" s="879" t="s">
        <v>213</v>
      </c>
      <c r="BM16" s="879"/>
      <c r="BN16" s="879"/>
      <c r="BO16" s="879"/>
      <c r="BP16" s="879"/>
      <c r="BQ16" s="879"/>
      <c r="BR16" s="827"/>
      <c r="BS16" s="827"/>
      <c r="BT16" s="827"/>
      <c r="BU16" s="827"/>
      <c r="BV16" s="827"/>
      <c r="BW16" s="827"/>
      <c r="BX16" s="827"/>
      <c r="BY16" s="827"/>
      <c r="BZ16" s="827"/>
      <c r="CA16" s="827"/>
      <c r="CB16" s="827"/>
      <c r="CH16" s="499"/>
      <c r="CJ16" s="826" t="s">
        <v>22</v>
      </c>
      <c r="CV16" s="500" t="s">
        <v>1245</v>
      </c>
    </row>
    <row r="17" spans="1:100" ht="15.75" customHeight="1">
      <c r="A17" s="497"/>
      <c r="D17" s="881"/>
      <c r="E17" s="881"/>
      <c r="F17" s="828"/>
      <c r="G17" s="878" t="s">
        <v>224</v>
      </c>
      <c r="H17" s="878"/>
      <c r="I17" s="878"/>
      <c r="J17" s="878"/>
      <c r="K17" s="878"/>
      <c r="L17" s="878"/>
      <c r="M17" s="878"/>
      <c r="N17" s="878"/>
      <c r="O17" s="878"/>
      <c r="P17" s="878"/>
      <c r="Q17" s="878"/>
      <c r="R17" s="878"/>
      <c r="S17" s="878"/>
      <c r="T17" s="878"/>
      <c r="U17" s="878"/>
      <c r="V17" s="879" t="s">
        <v>214</v>
      </c>
      <c r="W17" s="879"/>
      <c r="X17" s="879"/>
      <c r="Y17" s="879"/>
      <c r="Z17" s="879"/>
      <c r="AA17" s="879"/>
      <c r="AB17" s="879" t="s">
        <v>218</v>
      </c>
      <c r="AC17" s="879"/>
      <c r="AD17" s="879"/>
      <c r="AE17" s="879"/>
      <c r="AF17" s="879"/>
      <c r="AG17" s="879"/>
      <c r="AH17" s="880" t="s">
        <v>216</v>
      </c>
      <c r="AI17" s="879"/>
      <c r="AJ17" s="879"/>
      <c r="AK17" s="879"/>
      <c r="AL17" s="879"/>
      <c r="AM17" s="879"/>
      <c r="AN17" s="880" t="s">
        <v>216</v>
      </c>
      <c r="AO17" s="879"/>
      <c r="AP17" s="879"/>
      <c r="AQ17" s="879"/>
      <c r="AR17" s="879"/>
      <c r="AS17" s="879"/>
      <c r="AT17" s="880" t="s">
        <v>216</v>
      </c>
      <c r="AU17" s="879"/>
      <c r="AV17" s="879"/>
      <c r="AW17" s="879"/>
      <c r="AX17" s="879"/>
      <c r="AY17" s="879"/>
      <c r="AZ17" s="880" t="s">
        <v>216</v>
      </c>
      <c r="BA17" s="879"/>
      <c r="BB17" s="879"/>
      <c r="BC17" s="879"/>
      <c r="BD17" s="879"/>
      <c r="BE17" s="879"/>
      <c r="BF17" s="879" t="s">
        <v>213</v>
      </c>
      <c r="BG17" s="879"/>
      <c r="BH17" s="879"/>
      <c r="BI17" s="879"/>
      <c r="BJ17" s="879"/>
      <c r="BK17" s="879"/>
      <c r="BL17" s="879" t="s">
        <v>213</v>
      </c>
      <c r="BM17" s="879"/>
      <c r="BN17" s="879"/>
      <c r="BO17" s="879"/>
      <c r="BP17" s="879"/>
      <c r="BQ17" s="879"/>
      <c r="BR17" s="827"/>
      <c r="BS17" s="827"/>
      <c r="BT17" s="827"/>
      <c r="BU17" s="827"/>
      <c r="BV17" s="827"/>
      <c r="BW17" s="827"/>
      <c r="BX17" s="827"/>
      <c r="BY17" s="827"/>
      <c r="BZ17" s="827"/>
      <c r="CA17" s="827"/>
      <c r="CB17" s="827"/>
      <c r="CH17" s="499"/>
      <c r="CJ17" s="826" t="s">
        <v>22</v>
      </c>
      <c r="CV17" s="500" t="s">
        <v>1245</v>
      </c>
    </row>
    <row r="18" spans="1:100" ht="15.75" customHeight="1">
      <c r="A18" s="497"/>
      <c r="G18" s="878" t="s">
        <v>225</v>
      </c>
      <c r="H18" s="878"/>
      <c r="I18" s="878"/>
      <c r="J18" s="878"/>
      <c r="K18" s="878"/>
      <c r="L18" s="878"/>
      <c r="M18" s="878"/>
      <c r="N18" s="878"/>
      <c r="O18" s="878"/>
      <c r="P18" s="878"/>
      <c r="Q18" s="878"/>
      <c r="R18" s="878"/>
      <c r="S18" s="878"/>
      <c r="T18" s="878"/>
      <c r="U18" s="878"/>
      <c r="V18" s="879" t="s">
        <v>214</v>
      </c>
      <c r="W18" s="879"/>
      <c r="X18" s="879"/>
      <c r="Y18" s="879"/>
      <c r="Z18" s="879"/>
      <c r="AA18" s="879"/>
      <c r="AB18" s="879" t="s">
        <v>218</v>
      </c>
      <c r="AC18" s="879"/>
      <c r="AD18" s="879"/>
      <c r="AE18" s="879"/>
      <c r="AF18" s="879"/>
      <c r="AG18" s="879"/>
      <c r="AH18" s="880" t="s">
        <v>216</v>
      </c>
      <c r="AI18" s="879"/>
      <c r="AJ18" s="879"/>
      <c r="AK18" s="879"/>
      <c r="AL18" s="879"/>
      <c r="AM18" s="879"/>
      <c r="AN18" s="880" t="s">
        <v>216</v>
      </c>
      <c r="AO18" s="879"/>
      <c r="AP18" s="879"/>
      <c r="AQ18" s="879"/>
      <c r="AR18" s="879"/>
      <c r="AS18" s="879"/>
      <c r="AT18" s="880" t="s">
        <v>216</v>
      </c>
      <c r="AU18" s="879"/>
      <c r="AV18" s="879"/>
      <c r="AW18" s="879"/>
      <c r="AX18" s="879"/>
      <c r="AY18" s="879"/>
      <c r="AZ18" s="880" t="s">
        <v>216</v>
      </c>
      <c r="BA18" s="879"/>
      <c r="BB18" s="879"/>
      <c r="BC18" s="879"/>
      <c r="BD18" s="879"/>
      <c r="BE18" s="879"/>
      <c r="BF18" s="879" t="s">
        <v>213</v>
      </c>
      <c r="BG18" s="879"/>
      <c r="BH18" s="879"/>
      <c r="BI18" s="879"/>
      <c r="BJ18" s="879"/>
      <c r="BK18" s="879"/>
      <c r="BL18" s="879" t="s">
        <v>213</v>
      </c>
      <c r="BM18" s="879"/>
      <c r="BN18" s="879"/>
      <c r="BO18" s="879"/>
      <c r="BP18" s="879"/>
      <c r="BQ18" s="879"/>
      <c r="CH18" s="499"/>
      <c r="CJ18" s="826" t="s">
        <v>22</v>
      </c>
      <c r="CV18" s="500" t="s">
        <v>1245</v>
      </c>
    </row>
    <row r="19" spans="1:100" ht="15.75" customHeight="1">
      <c r="A19" s="497"/>
      <c r="G19" s="878" t="s">
        <v>226</v>
      </c>
      <c r="H19" s="878"/>
      <c r="I19" s="878"/>
      <c r="J19" s="878"/>
      <c r="K19" s="878"/>
      <c r="L19" s="878"/>
      <c r="M19" s="878"/>
      <c r="N19" s="878"/>
      <c r="O19" s="878"/>
      <c r="P19" s="878"/>
      <c r="Q19" s="878"/>
      <c r="R19" s="878"/>
      <c r="S19" s="878"/>
      <c r="T19" s="878"/>
      <c r="U19" s="878"/>
      <c r="V19" s="879" t="s">
        <v>214</v>
      </c>
      <c r="W19" s="879"/>
      <c r="X19" s="879"/>
      <c r="Y19" s="879"/>
      <c r="Z19" s="879"/>
      <c r="AA19" s="879"/>
      <c r="AB19" s="879" t="s">
        <v>218</v>
      </c>
      <c r="AC19" s="879"/>
      <c r="AD19" s="879"/>
      <c r="AE19" s="879"/>
      <c r="AF19" s="879"/>
      <c r="AG19" s="879"/>
      <c r="AH19" s="880" t="s">
        <v>216</v>
      </c>
      <c r="AI19" s="879"/>
      <c r="AJ19" s="879"/>
      <c r="AK19" s="879"/>
      <c r="AL19" s="879"/>
      <c r="AM19" s="879"/>
      <c r="AN19" s="880" t="s">
        <v>216</v>
      </c>
      <c r="AO19" s="879"/>
      <c r="AP19" s="879"/>
      <c r="AQ19" s="879"/>
      <c r="AR19" s="879"/>
      <c r="AS19" s="879"/>
      <c r="AT19" s="880" t="s">
        <v>216</v>
      </c>
      <c r="AU19" s="879"/>
      <c r="AV19" s="879"/>
      <c r="AW19" s="879"/>
      <c r="AX19" s="879"/>
      <c r="AY19" s="879"/>
      <c r="AZ19" s="880" t="s">
        <v>216</v>
      </c>
      <c r="BA19" s="879"/>
      <c r="BB19" s="879"/>
      <c r="BC19" s="879"/>
      <c r="BD19" s="879"/>
      <c r="BE19" s="879"/>
      <c r="BF19" s="879" t="s">
        <v>213</v>
      </c>
      <c r="BG19" s="879"/>
      <c r="BH19" s="879"/>
      <c r="BI19" s="879"/>
      <c r="BJ19" s="879"/>
      <c r="BK19" s="879"/>
      <c r="BL19" s="879" t="s">
        <v>213</v>
      </c>
      <c r="BM19" s="879"/>
      <c r="BN19" s="879"/>
      <c r="BO19" s="879"/>
      <c r="BP19" s="879"/>
      <c r="BQ19" s="879"/>
      <c r="CH19" s="499"/>
      <c r="CJ19" s="826" t="s">
        <v>22</v>
      </c>
      <c r="CV19" s="500" t="s">
        <v>1245</v>
      </c>
    </row>
    <row r="20" spans="1:100" ht="15.75" customHeight="1">
      <c r="A20" s="497"/>
      <c r="G20" s="878" t="s">
        <v>227</v>
      </c>
      <c r="H20" s="878"/>
      <c r="I20" s="878"/>
      <c r="J20" s="878"/>
      <c r="K20" s="878"/>
      <c r="L20" s="878"/>
      <c r="M20" s="878"/>
      <c r="N20" s="878"/>
      <c r="O20" s="878"/>
      <c r="P20" s="878"/>
      <c r="Q20" s="878"/>
      <c r="R20" s="878"/>
      <c r="S20" s="878"/>
      <c r="T20" s="878"/>
      <c r="U20" s="878"/>
      <c r="V20" s="879" t="s">
        <v>214</v>
      </c>
      <c r="W20" s="879"/>
      <c r="X20" s="879"/>
      <c r="Y20" s="879"/>
      <c r="Z20" s="879"/>
      <c r="AA20" s="879"/>
      <c r="AB20" s="880" t="s">
        <v>216</v>
      </c>
      <c r="AC20" s="879"/>
      <c r="AD20" s="879"/>
      <c r="AE20" s="879"/>
      <c r="AF20" s="879"/>
      <c r="AG20" s="879"/>
      <c r="AH20" s="880" t="s">
        <v>216</v>
      </c>
      <c r="AI20" s="879"/>
      <c r="AJ20" s="879"/>
      <c r="AK20" s="879"/>
      <c r="AL20" s="879"/>
      <c r="AM20" s="879"/>
      <c r="AN20" s="880" t="s">
        <v>216</v>
      </c>
      <c r="AO20" s="879"/>
      <c r="AP20" s="879"/>
      <c r="AQ20" s="879"/>
      <c r="AR20" s="879"/>
      <c r="AS20" s="879"/>
      <c r="AT20" s="880" t="s">
        <v>216</v>
      </c>
      <c r="AU20" s="879"/>
      <c r="AV20" s="879"/>
      <c r="AW20" s="879"/>
      <c r="AX20" s="879"/>
      <c r="AY20" s="879"/>
      <c r="AZ20" s="880" t="s">
        <v>216</v>
      </c>
      <c r="BA20" s="879"/>
      <c r="BB20" s="879"/>
      <c r="BC20" s="879"/>
      <c r="BD20" s="879"/>
      <c r="BE20" s="879"/>
      <c r="BF20" s="880" t="s">
        <v>216</v>
      </c>
      <c r="BG20" s="879"/>
      <c r="BH20" s="879"/>
      <c r="BI20" s="879"/>
      <c r="BJ20" s="879"/>
      <c r="BK20" s="879"/>
      <c r="BL20" s="880" t="s">
        <v>216</v>
      </c>
      <c r="BM20" s="879"/>
      <c r="BN20" s="879"/>
      <c r="BO20" s="879"/>
      <c r="BP20" s="879"/>
      <c r="BQ20" s="879"/>
      <c r="CH20" s="499"/>
      <c r="CJ20" s="826" t="s">
        <v>22</v>
      </c>
      <c r="CV20" s="500" t="s">
        <v>1245</v>
      </c>
    </row>
    <row r="21" spans="1:100" ht="15.75" customHeight="1">
      <c r="A21" s="497"/>
      <c r="G21" s="878" t="s">
        <v>228</v>
      </c>
      <c r="H21" s="878"/>
      <c r="I21" s="878"/>
      <c r="J21" s="878"/>
      <c r="K21" s="878"/>
      <c r="L21" s="878"/>
      <c r="M21" s="878"/>
      <c r="N21" s="878"/>
      <c r="O21" s="878"/>
      <c r="P21" s="878"/>
      <c r="Q21" s="878"/>
      <c r="R21" s="878"/>
      <c r="S21" s="878"/>
      <c r="T21" s="878"/>
      <c r="U21" s="878"/>
      <c r="V21" s="879" t="s">
        <v>214</v>
      </c>
      <c r="W21" s="879"/>
      <c r="X21" s="879"/>
      <c r="Y21" s="879"/>
      <c r="Z21" s="879"/>
      <c r="AA21" s="879"/>
      <c r="AB21" s="879" t="s">
        <v>218</v>
      </c>
      <c r="AC21" s="879"/>
      <c r="AD21" s="879"/>
      <c r="AE21" s="879"/>
      <c r="AF21" s="879"/>
      <c r="AG21" s="879"/>
      <c r="AH21" s="880" t="s">
        <v>216</v>
      </c>
      <c r="AI21" s="879"/>
      <c r="AJ21" s="879"/>
      <c r="AK21" s="879"/>
      <c r="AL21" s="879"/>
      <c r="AM21" s="879"/>
      <c r="AN21" s="880" t="s">
        <v>216</v>
      </c>
      <c r="AO21" s="879"/>
      <c r="AP21" s="879"/>
      <c r="AQ21" s="879"/>
      <c r="AR21" s="879"/>
      <c r="AS21" s="879"/>
      <c r="AT21" s="880" t="s">
        <v>216</v>
      </c>
      <c r="AU21" s="879"/>
      <c r="AV21" s="879"/>
      <c r="AW21" s="879"/>
      <c r="AX21" s="879"/>
      <c r="AY21" s="879"/>
      <c r="AZ21" s="880" t="s">
        <v>216</v>
      </c>
      <c r="BA21" s="879"/>
      <c r="BB21" s="879"/>
      <c r="BC21" s="879"/>
      <c r="BD21" s="879"/>
      <c r="BE21" s="879"/>
      <c r="BF21" s="879" t="s">
        <v>213</v>
      </c>
      <c r="BG21" s="879"/>
      <c r="BH21" s="879"/>
      <c r="BI21" s="879"/>
      <c r="BJ21" s="879"/>
      <c r="BK21" s="879"/>
      <c r="BL21" s="879" t="s">
        <v>213</v>
      </c>
      <c r="BM21" s="879"/>
      <c r="BN21" s="879"/>
      <c r="BO21" s="879"/>
      <c r="BP21" s="879"/>
      <c r="BQ21" s="879"/>
      <c r="CH21" s="499"/>
      <c r="CJ21" s="826" t="s">
        <v>22</v>
      </c>
      <c r="CV21" s="500" t="s">
        <v>1245</v>
      </c>
    </row>
    <row r="22" spans="1:100" ht="15.75" customHeight="1">
      <c r="A22" s="497"/>
      <c r="CH22" s="499"/>
      <c r="CJ22" s="826" t="s">
        <v>22</v>
      </c>
      <c r="CV22" s="500" t="s">
        <v>1245</v>
      </c>
    </row>
    <row r="23" spans="1:100" ht="15.75" customHeight="1">
      <c r="A23" s="497"/>
      <c r="G23" s="8" t="s">
        <v>229</v>
      </c>
      <c r="CH23" s="499"/>
      <c r="CJ23" s="826" t="s">
        <v>22</v>
      </c>
      <c r="CV23" s="500" t="s">
        <v>1245</v>
      </c>
    </row>
    <row r="24" spans="1:100" ht="15.75" customHeight="1">
      <c r="A24" s="497"/>
      <c r="H24" s="8" t="s">
        <v>230</v>
      </c>
      <c r="CH24" s="499"/>
      <c r="CJ24" s="826" t="s">
        <v>22</v>
      </c>
      <c r="CV24" s="500" t="s">
        <v>1245</v>
      </c>
    </row>
    <row r="25" spans="1:100" ht="15.75" customHeight="1">
      <c r="A25" s="497"/>
      <c r="H25" s="8" t="s">
        <v>231</v>
      </c>
      <c r="CH25" s="499"/>
      <c r="CJ25" s="826" t="s">
        <v>22</v>
      </c>
      <c r="CV25" s="500" t="s">
        <v>1245</v>
      </c>
    </row>
    <row r="26" spans="1:100" ht="15.75" customHeight="1">
      <c r="A26" s="497"/>
      <c r="H26" s="11" t="s">
        <v>232</v>
      </c>
      <c r="CH26" s="499"/>
      <c r="CJ26" s="826" t="s">
        <v>22</v>
      </c>
      <c r="CV26" s="500" t="s">
        <v>1245</v>
      </c>
    </row>
    <row r="27" spans="1:100" ht="15.75" customHeight="1">
      <c r="A27" s="497"/>
      <c r="CH27" s="499"/>
      <c r="CJ27" s="826" t="s">
        <v>22</v>
      </c>
      <c r="CV27" s="500" t="s">
        <v>1245</v>
      </c>
    </row>
    <row r="28" spans="1:100" ht="15.75" customHeight="1">
      <c r="A28" s="497"/>
      <c r="G28" s="8" t="s">
        <v>233</v>
      </c>
      <c r="CH28" s="499"/>
      <c r="CJ28" s="826" t="s">
        <v>22</v>
      </c>
      <c r="CV28" s="500" t="s">
        <v>1245</v>
      </c>
    </row>
    <row r="29" spans="1:100" ht="15.75" customHeight="1">
      <c r="A29" s="497"/>
      <c r="CH29" s="499"/>
      <c r="CJ29" s="826" t="s">
        <v>22</v>
      </c>
      <c r="CV29" s="500" t="s">
        <v>1245</v>
      </c>
    </row>
    <row r="30" spans="1:100" ht="15.75" customHeight="1">
      <c r="A30" s="497"/>
      <c r="CH30" s="499"/>
      <c r="CJ30" s="826"/>
      <c r="CV30" s="500" t="s">
        <v>1245</v>
      </c>
    </row>
    <row r="31" spans="1:100" ht="15.75" customHeight="1">
      <c r="A31" s="497"/>
      <c r="CH31" s="499"/>
      <c r="CJ31" s="826"/>
      <c r="CV31" s="500" t="s">
        <v>1245</v>
      </c>
    </row>
    <row r="32" spans="1:100" ht="15.75" customHeight="1">
      <c r="A32" s="497"/>
      <c r="CH32" s="499"/>
      <c r="CJ32" s="826"/>
      <c r="CV32" s="500" t="s">
        <v>1245</v>
      </c>
    </row>
    <row r="33" spans="1:100" ht="15.75" customHeight="1" thickBot="1">
      <c r="A33" s="531"/>
      <c r="B33" s="532"/>
      <c r="C33" s="829"/>
      <c r="D33" s="829"/>
      <c r="E33" s="829"/>
      <c r="F33" s="532"/>
      <c r="G33" s="532"/>
      <c r="H33" s="532"/>
      <c r="I33" s="532"/>
      <c r="J33" s="829"/>
      <c r="K33" s="532"/>
      <c r="L33" s="532"/>
      <c r="M33" s="532"/>
      <c r="N33" s="532"/>
      <c r="O33" s="532"/>
      <c r="P33" s="532"/>
      <c r="Q33" s="533"/>
      <c r="R33" s="532"/>
      <c r="S33" s="532"/>
      <c r="T33" s="532"/>
      <c r="U33" s="532"/>
      <c r="V33" s="532"/>
      <c r="W33" s="532"/>
      <c r="X33" s="532"/>
      <c r="Y33" s="532"/>
      <c r="Z33" s="532"/>
      <c r="AA33" s="532"/>
      <c r="AB33" s="532"/>
      <c r="AC33" s="532"/>
      <c r="AD33" s="532"/>
      <c r="AE33" s="532"/>
      <c r="AF33" s="532"/>
      <c r="AG33" s="532"/>
      <c r="AH33" s="532"/>
      <c r="AI33" s="532"/>
      <c r="AJ33" s="532"/>
      <c r="AK33" s="532"/>
      <c r="AL33" s="532"/>
      <c r="AM33" s="532"/>
      <c r="AN33" s="532"/>
      <c r="AO33" s="532"/>
      <c r="AP33" s="532"/>
      <c r="AQ33" s="532"/>
      <c r="AR33" s="532"/>
      <c r="AS33" s="532"/>
      <c r="AT33" s="532"/>
      <c r="AU33" s="532"/>
      <c r="AV33" s="532"/>
      <c r="AW33" s="532"/>
      <c r="AX33" s="532"/>
      <c r="AY33" s="532"/>
      <c r="AZ33" s="532"/>
      <c r="BA33" s="532"/>
      <c r="BB33" s="532"/>
      <c r="BC33" s="532"/>
      <c r="BD33" s="532"/>
      <c r="BE33" s="532"/>
      <c r="BF33" s="532"/>
      <c r="BG33" s="532"/>
      <c r="BH33" s="532"/>
      <c r="BI33" s="532"/>
      <c r="BJ33" s="532"/>
      <c r="BK33" s="532"/>
      <c r="BL33" s="532"/>
      <c r="BM33" s="532"/>
      <c r="BN33" s="532"/>
      <c r="BO33" s="532"/>
      <c r="BP33" s="532"/>
      <c r="BQ33" s="532"/>
      <c r="BR33" s="532"/>
      <c r="BS33" s="532"/>
      <c r="BT33" s="532"/>
      <c r="BU33" s="532"/>
      <c r="BV33" s="532"/>
      <c r="BW33" s="532"/>
      <c r="BX33" s="532"/>
      <c r="BY33" s="532"/>
      <c r="BZ33" s="532"/>
      <c r="CA33" s="532"/>
      <c r="CB33" s="532"/>
      <c r="CC33" s="532"/>
      <c r="CD33" s="532"/>
      <c r="CE33" s="532"/>
      <c r="CF33" s="532"/>
      <c r="CG33" s="532"/>
      <c r="CH33" s="534"/>
      <c r="CJ33" s="826"/>
      <c r="CV33" s="500" t="s">
        <v>1245</v>
      </c>
    </row>
    <row r="34" spans="1:100" ht="15.75" customHeight="1">
      <c r="C34" s="8"/>
      <c r="D34" s="8"/>
      <c r="E34" s="8"/>
      <c r="J34" s="8"/>
      <c r="O34" s="9"/>
      <c r="P34" s="9"/>
      <c r="Q34" s="9"/>
      <c r="V34" s="9"/>
      <c r="AC34" s="10"/>
      <c r="CV34" s="500" t="s">
        <v>1245</v>
      </c>
    </row>
    <row r="35" spans="1:100" ht="15.75" customHeight="1">
      <c r="C35" s="8"/>
      <c r="D35" s="8"/>
      <c r="E35" s="8"/>
      <c r="J35" s="8"/>
      <c r="O35" s="9"/>
      <c r="P35" s="9"/>
      <c r="Q35" s="9"/>
      <c r="V35" s="9"/>
      <c r="AC35" s="10"/>
      <c r="CV35" s="500" t="s">
        <v>1245</v>
      </c>
    </row>
    <row r="36" spans="1:100" ht="15.75" customHeight="1">
      <c r="C36" s="8"/>
      <c r="D36" s="8"/>
      <c r="E36" s="8"/>
      <c r="J36" s="8"/>
      <c r="O36" s="9"/>
      <c r="P36" s="9"/>
      <c r="Q36" s="9"/>
      <c r="V36" s="9"/>
      <c r="AC36" s="10"/>
      <c r="CV36" s="500" t="s">
        <v>1245</v>
      </c>
    </row>
    <row r="37" spans="1:100" ht="15.75" customHeight="1">
      <c r="C37" s="8"/>
      <c r="D37" s="8"/>
      <c r="E37" s="8"/>
      <c r="J37" s="8"/>
      <c r="O37" s="9"/>
      <c r="P37" s="9"/>
      <c r="Q37" s="9"/>
      <c r="V37" s="9"/>
      <c r="AC37" s="10"/>
      <c r="CV37" s="500" t="s">
        <v>1245</v>
      </c>
    </row>
    <row r="38" spans="1:100" ht="15.75" customHeight="1">
      <c r="C38" s="8"/>
      <c r="D38" s="8"/>
      <c r="E38" s="8"/>
      <c r="J38" s="8"/>
      <c r="O38" s="9"/>
      <c r="P38" s="9"/>
      <c r="Q38" s="9"/>
      <c r="V38" s="9"/>
      <c r="AC38" s="10"/>
      <c r="CV38" s="500" t="s">
        <v>1245</v>
      </c>
    </row>
    <row r="39" spans="1:100" ht="15.75" customHeight="1">
      <c r="C39" s="8"/>
      <c r="D39" s="8"/>
      <c r="E39" s="8"/>
      <c r="J39" s="8"/>
      <c r="O39" s="9"/>
      <c r="P39" s="9"/>
      <c r="Q39" s="9"/>
      <c r="V39" s="9"/>
      <c r="AC39" s="10"/>
      <c r="CV39" s="500" t="s">
        <v>1245</v>
      </c>
    </row>
    <row r="40" spans="1:100" ht="15.75" customHeight="1">
      <c r="C40" s="8"/>
      <c r="D40" s="8"/>
      <c r="E40" s="8"/>
      <c r="J40" s="8"/>
      <c r="O40" s="9"/>
      <c r="P40" s="9"/>
      <c r="Q40" s="9"/>
      <c r="V40" s="9"/>
      <c r="AC40" s="10"/>
      <c r="CV40" s="500" t="s">
        <v>1245</v>
      </c>
    </row>
    <row r="41" spans="1:100" ht="15.75" customHeight="1">
      <c r="C41" s="8"/>
      <c r="D41" s="8"/>
      <c r="E41" s="8"/>
      <c r="J41" s="8"/>
      <c r="O41" s="9"/>
      <c r="P41" s="9"/>
      <c r="Q41" s="9"/>
      <c r="V41" s="9"/>
      <c r="AC41" s="10"/>
      <c r="CV41" s="500" t="s">
        <v>1245</v>
      </c>
    </row>
    <row r="42" spans="1:100" ht="15.75" customHeight="1">
      <c r="C42" s="8"/>
      <c r="D42" s="8"/>
      <c r="E42" s="8"/>
      <c r="J42" s="8"/>
      <c r="O42" s="9"/>
      <c r="P42" s="9"/>
      <c r="Q42" s="9"/>
      <c r="V42" s="9"/>
      <c r="AC42" s="10"/>
      <c r="CV42" s="500" t="s">
        <v>1245</v>
      </c>
    </row>
    <row r="43" spans="1:100" ht="15.75" customHeight="1">
      <c r="C43" s="8"/>
      <c r="D43" s="8"/>
      <c r="E43" s="8"/>
      <c r="J43" s="8"/>
      <c r="O43" s="9"/>
      <c r="P43" s="9"/>
      <c r="Q43" s="9"/>
      <c r="V43" s="9"/>
      <c r="AC43" s="10"/>
      <c r="CV43" s="500" t="s">
        <v>1245</v>
      </c>
    </row>
    <row r="44" spans="1:100" ht="15.75" customHeight="1">
      <c r="C44" s="8"/>
      <c r="D44" s="8"/>
      <c r="E44" s="8"/>
      <c r="J44" s="8"/>
      <c r="O44" s="9"/>
      <c r="P44" s="9"/>
      <c r="Q44" s="9"/>
      <c r="V44" s="9"/>
      <c r="AC44" s="10"/>
      <c r="CV44" s="500" t="s">
        <v>1245</v>
      </c>
    </row>
    <row r="45" spans="1:100" ht="15.75" customHeight="1">
      <c r="C45" s="8"/>
      <c r="D45" s="8"/>
      <c r="E45" s="8"/>
      <c r="J45" s="8"/>
      <c r="O45" s="9"/>
      <c r="P45" s="9"/>
      <c r="Q45" s="9"/>
      <c r="V45" s="9"/>
      <c r="AC45" s="10"/>
      <c r="CV45" s="500" t="s">
        <v>1245</v>
      </c>
    </row>
    <row r="46" spans="1:100" ht="15.75" customHeight="1">
      <c r="C46" s="8"/>
      <c r="D46" s="8"/>
      <c r="E46" s="8"/>
      <c r="J46" s="8"/>
      <c r="O46" s="9"/>
      <c r="P46" s="9"/>
      <c r="Q46" s="9"/>
      <c r="V46" s="9"/>
      <c r="AC46" s="10"/>
      <c r="CV46" s="500" t="s">
        <v>1245</v>
      </c>
    </row>
    <row r="47" spans="1:100" ht="15.75" customHeight="1">
      <c r="C47" s="8"/>
      <c r="D47" s="8"/>
      <c r="E47" s="8"/>
      <c r="J47" s="8"/>
      <c r="O47" s="9"/>
      <c r="P47" s="9"/>
      <c r="Q47" s="9"/>
      <c r="V47" s="9"/>
      <c r="AC47" s="10"/>
      <c r="CV47" s="500" t="s">
        <v>1245</v>
      </c>
    </row>
    <row r="48" spans="1:100" ht="15.75" customHeight="1">
      <c r="C48" s="8"/>
      <c r="D48" s="8"/>
      <c r="E48" s="8"/>
      <c r="J48" s="8"/>
      <c r="O48" s="9"/>
      <c r="P48" s="9"/>
      <c r="Q48" s="9"/>
      <c r="V48" s="9"/>
      <c r="AC48" s="10"/>
      <c r="CV48" s="500" t="s">
        <v>1245</v>
      </c>
    </row>
    <row r="49" spans="3:100" ht="15.75" customHeight="1">
      <c r="C49" s="8"/>
      <c r="D49" s="8"/>
      <c r="E49" s="8"/>
      <c r="J49" s="8"/>
      <c r="O49" s="9"/>
      <c r="P49" s="9"/>
      <c r="Q49" s="9"/>
      <c r="V49" s="9"/>
      <c r="AC49" s="10"/>
      <c r="CV49" s="500" t="s">
        <v>1245</v>
      </c>
    </row>
    <row r="50" spans="3:100" ht="15.75" customHeight="1">
      <c r="C50" s="8"/>
      <c r="D50" s="8"/>
      <c r="E50" s="8"/>
      <c r="J50" s="8"/>
      <c r="O50" s="9"/>
      <c r="P50" s="9"/>
      <c r="Q50" s="9"/>
      <c r="V50" s="9"/>
      <c r="AC50" s="10"/>
      <c r="CV50" s="500" t="s">
        <v>1245</v>
      </c>
    </row>
    <row r="51" spans="3:100" ht="15.75" customHeight="1">
      <c r="C51" s="8"/>
      <c r="D51" s="8"/>
      <c r="E51" s="8"/>
      <c r="J51" s="8"/>
      <c r="O51" s="9"/>
      <c r="P51" s="9"/>
      <c r="Q51" s="9"/>
      <c r="V51" s="9"/>
      <c r="AC51" s="10"/>
      <c r="CV51" s="500" t="s">
        <v>1245</v>
      </c>
    </row>
    <row r="52" spans="3:100" ht="15.75" customHeight="1">
      <c r="C52" s="8"/>
      <c r="D52" s="8"/>
      <c r="E52" s="8"/>
      <c r="J52" s="8"/>
      <c r="O52" s="9"/>
      <c r="P52" s="9"/>
      <c r="Q52" s="9"/>
      <c r="V52" s="9"/>
      <c r="AC52" s="10"/>
      <c r="CV52" s="500" t="s">
        <v>1245</v>
      </c>
    </row>
    <row r="53" spans="3:100" ht="15.75" customHeight="1">
      <c r="C53" s="8"/>
      <c r="D53" s="8"/>
      <c r="E53" s="8"/>
      <c r="J53" s="8"/>
      <c r="O53" s="9"/>
      <c r="P53" s="9"/>
      <c r="Q53" s="9"/>
      <c r="V53" s="9"/>
      <c r="AC53" s="10"/>
      <c r="CV53" s="500" t="s">
        <v>1245</v>
      </c>
    </row>
    <row r="54" spans="3:100" ht="15.75" customHeight="1">
      <c r="C54" s="8"/>
      <c r="D54" s="8"/>
      <c r="E54" s="8"/>
      <c r="J54" s="8"/>
      <c r="O54" s="9"/>
      <c r="P54" s="9"/>
      <c r="Q54" s="9"/>
      <c r="V54" s="9"/>
      <c r="AC54" s="10"/>
      <c r="CV54" s="500" t="s">
        <v>1245</v>
      </c>
    </row>
    <row r="55" spans="3:100" ht="15.75" customHeight="1">
      <c r="C55" s="8"/>
      <c r="D55" s="8"/>
      <c r="E55" s="8"/>
      <c r="J55" s="8"/>
      <c r="O55" s="9"/>
      <c r="P55" s="9"/>
      <c r="Q55" s="9"/>
      <c r="V55" s="9"/>
      <c r="AC55" s="10"/>
      <c r="CV55" s="500" t="s">
        <v>1245</v>
      </c>
    </row>
    <row r="56" spans="3:100" ht="15.75" customHeight="1">
      <c r="C56" s="8"/>
      <c r="D56" s="8"/>
      <c r="E56" s="8"/>
      <c r="J56" s="8"/>
      <c r="O56" s="9"/>
      <c r="P56" s="9"/>
      <c r="Q56" s="9"/>
      <c r="V56" s="9"/>
      <c r="AC56" s="10"/>
      <c r="CV56" s="500" t="s">
        <v>1245</v>
      </c>
    </row>
    <row r="57" spans="3:100" ht="15.75" customHeight="1">
      <c r="C57" s="8"/>
      <c r="D57" s="8"/>
      <c r="E57" s="8"/>
      <c r="J57" s="8"/>
      <c r="O57" s="9"/>
      <c r="P57" s="9"/>
      <c r="Q57" s="9"/>
      <c r="V57" s="9"/>
      <c r="AC57" s="10"/>
      <c r="CV57" s="500" t="s">
        <v>1245</v>
      </c>
    </row>
    <row r="58" spans="3:100" ht="15.75" customHeight="1">
      <c r="C58" s="8"/>
      <c r="D58" s="8"/>
      <c r="E58" s="8"/>
      <c r="J58" s="8"/>
      <c r="O58" s="9"/>
      <c r="P58" s="9"/>
      <c r="Q58" s="9"/>
      <c r="V58" s="9"/>
      <c r="AC58" s="10"/>
      <c r="CV58" s="500" t="s">
        <v>1245</v>
      </c>
    </row>
    <row r="59" spans="3:100" ht="15.75" customHeight="1">
      <c r="C59" s="8"/>
      <c r="D59" s="8"/>
      <c r="E59" s="8"/>
      <c r="J59" s="8"/>
      <c r="O59" s="9"/>
      <c r="P59" s="9"/>
      <c r="Q59" s="9"/>
      <c r="V59" s="9"/>
      <c r="AC59" s="10"/>
      <c r="CV59" s="500" t="s">
        <v>1245</v>
      </c>
    </row>
    <row r="60" spans="3:100" ht="15.75" customHeight="1">
      <c r="C60" s="8"/>
      <c r="D60" s="8"/>
      <c r="E60" s="8"/>
      <c r="J60" s="8"/>
      <c r="O60" s="9"/>
      <c r="P60" s="9"/>
      <c r="Q60" s="9"/>
      <c r="V60" s="9"/>
      <c r="AC60" s="10"/>
      <c r="CV60" s="500" t="s">
        <v>1245</v>
      </c>
    </row>
    <row r="61" spans="3:100" ht="15.75" customHeight="1">
      <c r="C61" s="8"/>
      <c r="D61" s="8"/>
      <c r="E61" s="8"/>
      <c r="J61" s="8"/>
      <c r="O61" s="9"/>
      <c r="P61" s="9"/>
      <c r="Q61" s="9"/>
      <c r="V61" s="9"/>
      <c r="AC61" s="10"/>
      <c r="CV61" s="500" t="s">
        <v>1245</v>
      </c>
    </row>
    <row r="62" spans="3:100" ht="15.75" customHeight="1">
      <c r="C62" s="8"/>
      <c r="D62" s="8"/>
      <c r="E62" s="8"/>
      <c r="J62" s="8"/>
      <c r="O62" s="9"/>
      <c r="P62" s="9"/>
      <c r="Q62" s="9"/>
      <c r="V62" s="9"/>
      <c r="AC62" s="10"/>
      <c r="CV62" s="500" t="s">
        <v>1245</v>
      </c>
    </row>
    <row r="63" spans="3:100" ht="15.75" customHeight="1">
      <c r="C63" s="8"/>
      <c r="D63" s="8"/>
      <c r="E63" s="8"/>
      <c r="J63" s="8"/>
      <c r="O63" s="9"/>
      <c r="P63" s="9"/>
      <c r="Q63" s="9"/>
      <c r="V63" s="9"/>
      <c r="AC63" s="10"/>
      <c r="CV63" s="500" t="s">
        <v>1245</v>
      </c>
    </row>
    <row r="64" spans="3:100" ht="15.75" customHeight="1">
      <c r="C64" s="8"/>
      <c r="D64" s="8"/>
      <c r="E64" s="8"/>
      <c r="J64" s="8"/>
      <c r="O64" s="9"/>
      <c r="P64" s="9"/>
      <c r="Q64" s="9"/>
      <c r="V64" s="9"/>
      <c r="AC64" s="10"/>
      <c r="CV64" s="500" t="s">
        <v>1245</v>
      </c>
    </row>
    <row r="65" spans="3:100" ht="15.75" customHeight="1">
      <c r="C65" s="8"/>
      <c r="D65" s="8"/>
      <c r="E65" s="8"/>
      <c r="J65" s="8"/>
      <c r="O65" s="9"/>
      <c r="P65" s="9"/>
      <c r="Q65" s="9"/>
      <c r="V65" s="9"/>
      <c r="AC65" s="10"/>
      <c r="CV65" s="500" t="s">
        <v>1245</v>
      </c>
    </row>
    <row r="66" spans="3:100" ht="15.75" customHeight="1">
      <c r="C66" s="8"/>
      <c r="D66" s="8"/>
      <c r="E66" s="8"/>
      <c r="J66" s="8"/>
      <c r="O66" s="9"/>
      <c r="P66" s="9"/>
      <c r="Q66" s="9"/>
      <c r="V66" s="9"/>
      <c r="AC66" s="10"/>
      <c r="CV66" s="500" t="s">
        <v>1245</v>
      </c>
    </row>
    <row r="67" spans="3:100" ht="15.75" customHeight="1">
      <c r="C67" s="8"/>
      <c r="D67" s="8"/>
      <c r="E67" s="8"/>
      <c r="J67" s="8"/>
      <c r="O67" s="9"/>
      <c r="P67" s="9"/>
      <c r="Q67" s="9"/>
      <c r="V67" s="9"/>
      <c r="AC67" s="10"/>
      <c r="CV67" s="500" t="s">
        <v>1245</v>
      </c>
    </row>
    <row r="68" spans="3:100" ht="15.75" customHeight="1">
      <c r="C68" s="8"/>
      <c r="D68" s="8"/>
      <c r="E68" s="8"/>
      <c r="J68" s="8"/>
      <c r="O68" s="9"/>
      <c r="P68" s="9"/>
      <c r="Q68" s="9"/>
      <c r="V68" s="9"/>
      <c r="AC68" s="10"/>
      <c r="CV68" s="500" t="s">
        <v>1245</v>
      </c>
    </row>
    <row r="69" spans="3:100" ht="15.75" customHeight="1">
      <c r="C69" s="8"/>
      <c r="D69" s="8"/>
      <c r="E69" s="8"/>
      <c r="J69" s="8"/>
      <c r="O69" s="9"/>
      <c r="P69" s="9"/>
      <c r="Q69" s="9"/>
      <c r="V69" s="9"/>
      <c r="AC69" s="10"/>
      <c r="CV69" s="500" t="s">
        <v>1245</v>
      </c>
    </row>
    <row r="70" spans="3:100" ht="15.75" customHeight="1">
      <c r="C70" s="8"/>
      <c r="D70" s="8"/>
      <c r="E70" s="8"/>
      <c r="J70" s="8"/>
      <c r="O70" s="9"/>
      <c r="P70" s="9"/>
      <c r="Q70" s="9"/>
      <c r="V70" s="9"/>
      <c r="AC70" s="10"/>
      <c r="CV70" s="500" t="s">
        <v>1245</v>
      </c>
    </row>
    <row r="71" spans="3:100" ht="15.75" customHeight="1">
      <c r="C71" s="8"/>
      <c r="D71" s="8"/>
      <c r="E71" s="8"/>
      <c r="J71" s="8"/>
      <c r="O71" s="9"/>
      <c r="P71" s="9"/>
      <c r="Q71" s="9"/>
      <c r="V71" s="9"/>
      <c r="AC71" s="10"/>
      <c r="CV71" s="500" t="s">
        <v>1245</v>
      </c>
    </row>
    <row r="72" spans="3:100" ht="15.75" customHeight="1">
      <c r="C72" s="8"/>
      <c r="D72" s="8"/>
      <c r="E72" s="8"/>
      <c r="J72" s="8"/>
      <c r="O72" s="9"/>
      <c r="P72" s="9"/>
      <c r="Q72" s="9"/>
      <c r="V72" s="9"/>
      <c r="AC72" s="10"/>
      <c r="CV72" s="500" t="s">
        <v>1245</v>
      </c>
    </row>
    <row r="73" spans="3:100" ht="15.75" customHeight="1">
      <c r="C73" s="8"/>
      <c r="D73" s="8"/>
      <c r="E73" s="8"/>
      <c r="J73" s="8"/>
      <c r="O73" s="9"/>
      <c r="P73" s="9"/>
      <c r="Q73" s="9"/>
      <c r="V73" s="9"/>
      <c r="AC73" s="10"/>
      <c r="CV73" s="500" t="s">
        <v>1245</v>
      </c>
    </row>
    <row r="74" spans="3:100" ht="15.75" customHeight="1">
      <c r="C74" s="8"/>
      <c r="D74" s="8"/>
      <c r="E74" s="8"/>
      <c r="J74" s="8"/>
      <c r="O74" s="9"/>
      <c r="P74" s="9"/>
      <c r="Q74" s="9"/>
      <c r="V74" s="9"/>
      <c r="AC74" s="10"/>
      <c r="CV74" s="500" t="s">
        <v>1245</v>
      </c>
    </row>
    <row r="75" spans="3:100" ht="15.75" customHeight="1">
      <c r="C75" s="8"/>
      <c r="D75" s="8"/>
      <c r="E75" s="8"/>
      <c r="J75" s="8"/>
      <c r="O75" s="9"/>
      <c r="P75" s="9"/>
      <c r="Q75" s="9"/>
      <c r="V75" s="9"/>
      <c r="AC75" s="10"/>
      <c r="CV75" s="500" t="s">
        <v>1245</v>
      </c>
    </row>
    <row r="76" spans="3:100" ht="15.75" customHeight="1">
      <c r="C76" s="8"/>
      <c r="D76" s="8"/>
      <c r="E76" s="8"/>
      <c r="J76" s="8"/>
      <c r="O76" s="9"/>
      <c r="P76" s="9"/>
      <c r="Q76" s="9"/>
      <c r="V76" s="9"/>
      <c r="AC76" s="10"/>
      <c r="CV76" s="500" t="s">
        <v>1245</v>
      </c>
    </row>
    <row r="77" spans="3:100" ht="15.75" customHeight="1">
      <c r="C77" s="8"/>
      <c r="D77" s="8"/>
      <c r="E77" s="8"/>
      <c r="J77" s="8"/>
      <c r="O77" s="9"/>
      <c r="P77" s="9"/>
      <c r="Q77" s="9"/>
      <c r="V77" s="9"/>
      <c r="AC77" s="10"/>
      <c r="CV77" s="500" t="s">
        <v>1245</v>
      </c>
    </row>
    <row r="78" spans="3:100" ht="15.75" customHeight="1">
      <c r="C78" s="8"/>
      <c r="D78" s="8"/>
      <c r="E78" s="8"/>
      <c r="J78" s="8"/>
      <c r="O78" s="9"/>
      <c r="P78" s="9"/>
      <c r="Q78" s="9"/>
      <c r="V78" s="9"/>
      <c r="AC78" s="10"/>
      <c r="CV78" s="500" t="s">
        <v>1245</v>
      </c>
    </row>
    <row r="79" spans="3:100" ht="15.75" customHeight="1">
      <c r="C79" s="8"/>
      <c r="D79" s="8"/>
      <c r="E79" s="8"/>
      <c r="J79" s="8"/>
      <c r="O79" s="9"/>
      <c r="P79" s="9"/>
      <c r="Q79" s="9"/>
      <c r="V79" s="9"/>
      <c r="AC79" s="10"/>
      <c r="CV79" s="500" t="s">
        <v>1245</v>
      </c>
    </row>
    <row r="80" spans="3:100" ht="15.75" customHeight="1">
      <c r="C80" s="8"/>
      <c r="D80" s="8"/>
      <c r="E80" s="8"/>
      <c r="J80" s="8"/>
      <c r="O80" s="9"/>
      <c r="P80" s="9"/>
      <c r="Q80" s="9"/>
      <c r="V80" s="9"/>
      <c r="AC80" s="10"/>
      <c r="CV80" s="500" t="s">
        <v>1245</v>
      </c>
    </row>
    <row r="81" spans="3:100" ht="15.75" customHeight="1">
      <c r="C81" s="8"/>
      <c r="D81" s="8"/>
      <c r="E81" s="8"/>
      <c r="J81" s="8"/>
      <c r="O81" s="9"/>
      <c r="P81" s="9"/>
      <c r="Q81" s="9"/>
      <c r="V81" s="9"/>
      <c r="AC81" s="10"/>
      <c r="CV81" s="500" t="s">
        <v>1245</v>
      </c>
    </row>
    <row r="82" spans="3:100" ht="15.75" customHeight="1">
      <c r="C82" s="8"/>
      <c r="D82" s="8"/>
      <c r="E82" s="8"/>
      <c r="J82" s="8"/>
      <c r="O82" s="9"/>
      <c r="P82" s="9"/>
      <c r="Q82" s="9"/>
      <c r="V82" s="9"/>
      <c r="AC82" s="10"/>
      <c r="CV82" s="500" t="s">
        <v>1245</v>
      </c>
    </row>
    <row r="83" spans="3:100" ht="15.75" customHeight="1">
      <c r="C83" s="8"/>
      <c r="D83" s="8"/>
      <c r="E83" s="8"/>
      <c r="J83" s="8"/>
      <c r="O83" s="9"/>
      <c r="P83" s="9"/>
      <c r="Q83" s="9"/>
      <c r="V83" s="9"/>
      <c r="AC83" s="10"/>
      <c r="CV83" s="500" t="s">
        <v>1245</v>
      </c>
    </row>
    <row r="84" spans="3:100" ht="15.75" customHeight="1">
      <c r="C84" s="8"/>
      <c r="D84" s="8"/>
      <c r="E84" s="8"/>
      <c r="J84" s="8"/>
      <c r="O84" s="9"/>
      <c r="P84" s="9"/>
      <c r="Q84" s="9"/>
      <c r="V84" s="9"/>
      <c r="AC84" s="10"/>
      <c r="CV84" s="500" t="s">
        <v>1245</v>
      </c>
    </row>
    <row r="85" spans="3:100" ht="15.75" customHeight="1">
      <c r="C85" s="8"/>
      <c r="D85" s="8"/>
      <c r="E85" s="8"/>
      <c r="J85" s="8"/>
      <c r="O85" s="9"/>
      <c r="P85" s="9"/>
      <c r="Q85" s="9"/>
      <c r="V85" s="9"/>
      <c r="AC85" s="10"/>
      <c r="CV85" s="500" t="s">
        <v>1245</v>
      </c>
    </row>
    <row r="86" spans="3:100" ht="15.75" customHeight="1">
      <c r="C86" s="8"/>
      <c r="D86" s="8"/>
      <c r="E86" s="8"/>
      <c r="J86" s="8"/>
      <c r="O86" s="9"/>
      <c r="P86" s="9"/>
      <c r="Q86" s="9"/>
      <c r="V86" s="9"/>
      <c r="AC86" s="10"/>
      <c r="CV86" s="500" t="s">
        <v>1245</v>
      </c>
    </row>
    <row r="87" spans="3:100" ht="15.75" customHeight="1">
      <c r="C87" s="8"/>
      <c r="D87" s="8"/>
      <c r="E87" s="8"/>
      <c r="J87" s="8"/>
      <c r="O87" s="9"/>
      <c r="P87" s="9"/>
      <c r="Q87" s="9"/>
      <c r="V87" s="9"/>
      <c r="AC87" s="10"/>
      <c r="CV87" s="500" t="s">
        <v>1245</v>
      </c>
    </row>
    <row r="88" spans="3:100" ht="15.75" customHeight="1">
      <c r="C88" s="8"/>
      <c r="D88" s="8"/>
      <c r="E88" s="8"/>
      <c r="J88" s="8"/>
      <c r="O88" s="9"/>
      <c r="P88" s="9"/>
      <c r="Q88" s="9"/>
      <c r="V88" s="9"/>
      <c r="AC88" s="10"/>
      <c r="CV88" s="500" t="s">
        <v>1245</v>
      </c>
    </row>
    <row r="89" spans="3:100" ht="15.75" customHeight="1">
      <c r="C89" s="8"/>
      <c r="D89" s="8"/>
      <c r="E89" s="8"/>
      <c r="J89" s="8"/>
      <c r="O89" s="9"/>
      <c r="P89" s="9"/>
      <c r="Q89" s="9"/>
      <c r="V89" s="9"/>
      <c r="AC89" s="10"/>
      <c r="CV89" s="500" t="s">
        <v>1245</v>
      </c>
    </row>
    <row r="90" spans="3:100" ht="15.75" customHeight="1">
      <c r="C90" s="8"/>
      <c r="D90" s="8"/>
      <c r="E90" s="8"/>
      <c r="J90" s="8"/>
      <c r="O90" s="9"/>
      <c r="P90" s="9"/>
      <c r="Q90" s="9"/>
      <c r="V90" s="9"/>
      <c r="AC90" s="10"/>
      <c r="CV90" s="500" t="s">
        <v>1245</v>
      </c>
    </row>
    <row r="91" spans="3:100" ht="15.75" customHeight="1">
      <c r="C91" s="8"/>
      <c r="D91" s="8"/>
      <c r="E91" s="8"/>
      <c r="J91" s="8"/>
      <c r="O91" s="9"/>
      <c r="P91" s="9"/>
      <c r="Q91" s="9"/>
      <c r="V91" s="9"/>
      <c r="AC91" s="10"/>
      <c r="CV91" s="500" t="s">
        <v>1245</v>
      </c>
    </row>
    <row r="92" spans="3:100" ht="15.75" customHeight="1">
      <c r="C92" s="8"/>
      <c r="D92" s="8"/>
      <c r="E92" s="8"/>
      <c r="J92" s="8"/>
      <c r="O92" s="9"/>
      <c r="P92" s="9"/>
      <c r="Q92" s="9"/>
      <c r="V92" s="9"/>
      <c r="AC92" s="10"/>
      <c r="CV92" s="500" t="s">
        <v>1245</v>
      </c>
    </row>
    <row r="93" spans="3:100" ht="15.75" customHeight="1">
      <c r="C93" s="8"/>
      <c r="D93" s="8"/>
      <c r="E93" s="8"/>
      <c r="J93" s="8"/>
      <c r="O93" s="9"/>
      <c r="P93" s="9"/>
      <c r="Q93" s="9"/>
      <c r="V93" s="9"/>
      <c r="AC93" s="10"/>
      <c r="CV93" s="500" t="s">
        <v>1245</v>
      </c>
    </row>
    <row r="94" spans="3:100" ht="15.75" customHeight="1">
      <c r="C94" s="8"/>
      <c r="D94" s="8"/>
      <c r="E94" s="8"/>
      <c r="J94" s="8"/>
      <c r="O94" s="9"/>
      <c r="P94" s="9"/>
      <c r="Q94" s="9"/>
      <c r="V94" s="9"/>
      <c r="AC94" s="10"/>
      <c r="CV94" s="500" t="s">
        <v>1245</v>
      </c>
    </row>
    <row r="95" spans="3:100" ht="15.75" customHeight="1">
      <c r="C95" s="8"/>
      <c r="D95" s="8"/>
      <c r="E95" s="8"/>
      <c r="J95" s="8"/>
      <c r="O95" s="9"/>
      <c r="P95" s="9"/>
      <c r="Q95" s="9"/>
      <c r="V95" s="9"/>
      <c r="AC95" s="10"/>
      <c r="CV95" s="500" t="s">
        <v>1245</v>
      </c>
    </row>
    <row r="96" spans="3:100" ht="15.75" customHeight="1">
      <c r="C96" s="8"/>
      <c r="D96" s="8"/>
      <c r="E96" s="8"/>
      <c r="J96" s="8"/>
      <c r="O96" s="9"/>
      <c r="P96" s="9"/>
      <c r="Q96" s="9"/>
      <c r="V96" s="9"/>
      <c r="AC96" s="10"/>
      <c r="CV96" s="500" t="s">
        <v>1245</v>
      </c>
    </row>
    <row r="97" spans="3:100" ht="15.75" customHeight="1">
      <c r="C97" s="8"/>
      <c r="D97" s="8"/>
      <c r="E97" s="8"/>
      <c r="J97" s="8"/>
      <c r="O97" s="9"/>
      <c r="P97" s="9"/>
      <c r="Q97" s="9"/>
      <c r="V97" s="9"/>
      <c r="AC97" s="10"/>
      <c r="CV97" s="500" t="s">
        <v>1245</v>
      </c>
    </row>
    <row r="98" spans="3:100" ht="15.75" customHeight="1">
      <c r="C98" s="8"/>
      <c r="D98" s="8"/>
      <c r="E98" s="8"/>
      <c r="J98" s="8"/>
      <c r="O98" s="9"/>
      <c r="P98" s="9"/>
      <c r="Q98" s="9"/>
      <c r="V98" s="9"/>
      <c r="AC98" s="10"/>
      <c r="CV98" s="500" t="s">
        <v>1245</v>
      </c>
    </row>
    <row r="99" spans="3:100" ht="15.75" customHeight="1">
      <c r="C99" s="8"/>
      <c r="D99" s="8"/>
      <c r="E99" s="8"/>
      <c r="J99" s="8"/>
      <c r="O99" s="9"/>
      <c r="P99" s="9"/>
      <c r="Q99" s="9"/>
      <c r="V99" s="9"/>
      <c r="AC99" s="10"/>
      <c r="CV99" s="500" t="s">
        <v>1245</v>
      </c>
    </row>
    <row r="100" spans="3:100" ht="15.75" customHeight="1">
      <c r="C100" s="8"/>
      <c r="D100" s="8"/>
      <c r="E100" s="8"/>
      <c r="J100" s="8"/>
      <c r="O100" s="9"/>
      <c r="P100" s="9"/>
      <c r="Q100" s="9"/>
      <c r="V100" s="9"/>
      <c r="AC100" s="10"/>
      <c r="CV100" s="500" t="s">
        <v>1245</v>
      </c>
    </row>
    <row r="101" spans="3:100" ht="15.75" customHeight="1">
      <c r="C101" s="8"/>
      <c r="D101" s="8"/>
      <c r="E101" s="8"/>
      <c r="J101" s="8"/>
      <c r="O101" s="9"/>
      <c r="P101" s="9"/>
      <c r="Q101" s="9"/>
      <c r="V101" s="9"/>
      <c r="AC101" s="10"/>
      <c r="CV101" s="500" t="s">
        <v>1245</v>
      </c>
    </row>
    <row r="102" spans="3:100" ht="15.75" customHeight="1">
      <c r="C102" s="8"/>
      <c r="D102" s="8"/>
      <c r="E102" s="8"/>
      <c r="J102" s="8"/>
      <c r="O102" s="9"/>
      <c r="P102" s="9"/>
      <c r="Q102" s="9"/>
      <c r="V102" s="9"/>
      <c r="AC102" s="10"/>
      <c r="CV102" s="500" t="s">
        <v>1245</v>
      </c>
    </row>
    <row r="103" spans="3:100" ht="15.75" customHeight="1">
      <c r="C103" s="8"/>
      <c r="D103" s="8"/>
      <c r="E103" s="8"/>
      <c r="J103" s="8"/>
      <c r="O103" s="9"/>
      <c r="P103" s="9"/>
      <c r="Q103" s="9"/>
      <c r="V103" s="9"/>
      <c r="AC103" s="10"/>
      <c r="CV103" s="500" t="s">
        <v>1245</v>
      </c>
    </row>
    <row r="104" spans="3:100" ht="15.75" customHeight="1">
      <c r="C104" s="8"/>
      <c r="D104" s="8"/>
      <c r="E104" s="8"/>
      <c r="J104" s="8"/>
      <c r="O104" s="9"/>
      <c r="P104" s="9"/>
      <c r="Q104" s="9"/>
      <c r="V104" s="9"/>
      <c r="AC104" s="10"/>
      <c r="CV104" s="500" t="s">
        <v>1245</v>
      </c>
    </row>
    <row r="105" spans="3:100" ht="15.75" customHeight="1">
      <c r="C105" s="8"/>
      <c r="D105" s="8"/>
      <c r="E105" s="8"/>
      <c r="J105" s="8"/>
      <c r="O105" s="9"/>
      <c r="P105" s="9"/>
      <c r="Q105" s="9"/>
      <c r="V105" s="9"/>
      <c r="AC105" s="10"/>
      <c r="CV105" s="500" t="s">
        <v>1245</v>
      </c>
    </row>
    <row r="106" spans="3:100" ht="15.75" customHeight="1">
      <c r="C106" s="8"/>
      <c r="D106" s="8"/>
      <c r="E106" s="8"/>
      <c r="J106" s="8"/>
      <c r="O106" s="9"/>
      <c r="P106" s="9"/>
      <c r="Q106" s="9"/>
      <c r="V106" s="9"/>
      <c r="AC106" s="10"/>
      <c r="CV106" s="500" t="s">
        <v>1245</v>
      </c>
    </row>
    <row r="107" spans="3:100" ht="15.75" customHeight="1">
      <c r="C107" s="8"/>
      <c r="D107" s="8"/>
      <c r="E107" s="8"/>
      <c r="J107" s="8"/>
      <c r="O107" s="9"/>
      <c r="P107" s="9"/>
      <c r="Q107" s="9"/>
      <c r="V107" s="9"/>
      <c r="AC107" s="10"/>
      <c r="CV107" s="500" t="s">
        <v>1245</v>
      </c>
    </row>
    <row r="108" spans="3:100" ht="15.75" customHeight="1">
      <c r="C108" s="8"/>
      <c r="D108" s="8"/>
      <c r="E108" s="8"/>
      <c r="J108" s="8"/>
      <c r="O108" s="9"/>
      <c r="P108" s="9"/>
      <c r="Q108" s="9"/>
      <c r="V108" s="9"/>
      <c r="AC108" s="10"/>
      <c r="CV108" s="500" t="s">
        <v>1245</v>
      </c>
    </row>
    <row r="109" spans="3:100" ht="15.75" customHeight="1">
      <c r="C109" s="8"/>
      <c r="D109" s="8"/>
      <c r="E109" s="8"/>
      <c r="J109" s="8"/>
      <c r="O109" s="9"/>
      <c r="P109" s="9"/>
      <c r="Q109" s="9"/>
      <c r="V109" s="9"/>
      <c r="AC109" s="10"/>
      <c r="CV109" s="500" t="s">
        <v>1245</v>
      </c>
    </row>
    <row r="110" spans="3:100" ht="15.75" customHeight="1">
      <c r="C110" s="8"/>
      <c r="D110" s="8"/>
      <c r="E110" s="8"/>
      <c r="J110" s="8"/>
      <c r="O110" s="9"/>
      <c r="P110" s="9"/>
      <c r="Q110" s="9"/>
      <c r="V110" s="9"/>
      <c r="AC110" s="10"/>
      <c r="CV110" s="500" t="s">
        <v>1245</v>
      </c>
    </row>
    <row r="111" spans="3:100" ht="15.75" customHeight="1">
      <c r="C111" s="8"/>
      <c r="D111" s="8"/>
      <c r="E111" s="8"/>
      <c r="J111" s="8"/>
      <c r="O111" s="9"/>
      <c r="P111" s="9"/>
      <c r="Q111" s="9"/>
      <c r="V111" s="9"/>
      <c r="AC111" s="10"/>
      <c r="CV111" s="500" t="s">
        <v>1245</v>
      </c>
    </row>
    <row r="112" spans="3:100" ht="15.75" customHeight="1">
      <c r="C112" s="8"/>
      <c r="D112" s="8"/>
      <c r="E112" s="8"/>
      <c r="J112" s="8"/>
      <c r="O112" s="9"/>
      <c r="P112" s="9"/>
      <c r="Q112" s="9"/>
      <c r="V112" s="9"/>
      <c r="AC112" s="10"/>
      <c r="CV112" s="500" t="s">
        <v>1245</v>
      </c>
    </row>
    <row r="113" spans="3:100" ht="15.75" customHeight="1">
      <c r="C113" s="8"/>
      <c r="D113" s="8"/>
      <c r="E113" s="8"/>
      <c r="J113" s="8"/>
      <c r="O113" s="9"/>
      <c r="P113" s="9"/>
      <c r="Q113" s="9"/>
      <c r="V113" s="9"/>
      <c r="AC113" s="10"/>
      <c r="CV113" s="500" t="s">
        <v>1245</v>
      </c>
    </row>
    <row r="114" spans="3:100" ht="15.75" customHeight="1">
      <c r="C114" s="8"/>
      <c r="D114" s="8"/>
      <c r="E114" s="8"/>
      <c r="J114" s="8"/>
      <c r="O114" s="9"/>
      <c r="P114" s="9"/>
      <c r="Q114" s="9"/>
      <c r="V114" s="9"/>
      <c r="AC114" s="10"/>
      <c r="CV114" s="500" t="s">
        <v>1245</v>
      </c>
    </row>
    <row r="115" spans="3:100" ht="15.75" customHeight="1">
      <c r="C115" s="8"/>
      <c r="D115" s="8"/>
      <c r="E115" s="8"/>
      <c r="J115" s="8"/>
      <c r="O115" s="9"/>
      <c r="P115" s="9"/>
      <c r="Q115" s="9"/>
      <c r="V115" s="9"/>
      <c r="AC115" s="10"/>
      <c r="CV115" s="500" t="s">
        <v>1245</v>
      </c>
    </row>
    <row r="116" spans="3:100" ht="15.75" customHeight="1">
      <c r="C116" s="8"/>
      <c r="D116" s="8"/>
      <c r="E116" s="8"/>
      <c r="J116" s="8"/>
      <c r="O116" s="9"/>
      <c r="P116" s="9"/>
      <c r="Q116" s="9"/>
      <c r="V116" s="9"/>
      <c r="AC116" s="10"/>
      <c r="CV116" s="500" t="s">
        <v>1245</v>
      </c>
    </row>
    <row r="117" spans="3:100" ht="15.75" customHeight="1">
      <c r="C117" s="8"/>
      <c r="D117" s="8"/>
      <c r="E117" s="8"/>
      <c r="J117" s="8"/>
      <c r="O117" s="9"/>
      <c r="P117" s="9"/>
      <c r="Q117" s="9"/>
      <c r="V117" s="9"/>
      <c r="AC117" s="10"/>
      <c r="CV117" s="500" t="s">
        <v>1245</v>
      </c>
    </row>
    <row r="118" spans="3:100" ht="15.75" customHeight="1">
      <c r="C118" s="8"/>
      <c r="D118" s="8"/>
      <c r="E118" s="8"/>
      <c r="J118" s="8"/>
      <c r="O118" s="9"/>
      <c r="P118" s="9"/>
      <c r="Q118" s="9"/>
      <c r="V118" s="9"/>
      <c r="AC118" s="10"/>
      <c r="CV118" s="500" t="s">
        <v>1245</v>
      </c>
    </row>
    <row r="119" spans="3:100" ht="15.75" customHeight="1">
      <c r="C119" s="8"/>
      <c r="D119" s="8"/>
      <c r="E119" s="8"/>
      <c r="J119" s="8"/>
      <c r="O119" s="9"/>
      <c r="P119" s="9"/>
      <c r="Q119" s="9"/>
      <c r="V119" s="9"/>
      <c r="AC119" s="10"/>
      <c r="CV119" s="500" t="s">
        <v>1245</v>
      </c>
    </row>
    <row r="120" spans="3:100" ht="15.75" customHeight="1">
      <c r="C120" s="8"/>
      <c r="D120" s="8"/>
      <c r="E120" s="8"/>
      <c r="J120" s="8"/>
      <c r="O120" s="9"/>
      <c r="P120" s="9"/>
      <c r="Q120" s="9"/>
      <c r="V120" s="9"/>
      <c r="AC120" s="10"/>
      <c r="CV120" s="500" t="s">
        <v>1245</v>
      </c>
    </row>
    <row r="121" spans="3:100" ht="15.75" customHeight="1">
      <c r="C121" s="8"/>
      <c r="D121" s="8"/>
      <c r="E121" s="8"/>
      <c r="J121" s="8"/>
      <c r="O121" s="9"/>
      <c r="P121" s="9"/>
      <c r="Q121" s="9"/>
      <c r="V121" s="9"/>
      <c r="AC121" s="10"/>
      <c r="CV121" s="500" t="s">
        <v>1245</v>
      </c>
    </row>
    <row r="122" spans="3:100" ht="15.75" customHeight="1">
      <c r="C122" s="8"/>
      <c r="D122" s="8"/>
      <c r="E122" s="8"/>
      <c r="J122" s="8"/>
      <c r="O122" s="9"/>
      <c r="P122" s="9"/>
      <c r="Q122" s="9"/>
      <c r="V122" s="9"/>
      <c r="AC122" s="10"/>
      <c r="CV122" s="500" t="s">
        <v>1245</v>
      </c>
    </row>
    <row r="123" spans="3:100" ht="15.75" customHeight="1">
      <c r="C123" s="8"/>
      <c r="D123" s="8"/>
      <c r="E123" s="8"/>
      <c r="J123" s="8"/>
      <c r="O123" s="9"/>
      <c r="P123" s="9"/>
      <c r="Q123" s="9"/>
      <c r="V123" s="9"/>
      <c r="AC123" s="10"/>
      <c r="CV123" s="500" t="s">
        <v>1245</v>
      </c>
    </row>
    <row r="124" spans="3:100" ht="15.75" customHeight="1">
      <c r="C124" s="8"/>
      <c r="D124" s="8"/>
      <c r="E124" s="8"/>
      <c r="J124" s="8"/>
      <c r="O124" s="9"/>
      <c r="P124" s="9"/>
      <c r="Q124" s="9"/>
      <c r="V124" s="9"/>
      <c r="AC124" s="10"/>
      <c r="CV124" s="500" t="s">
        <v>1245</v>
      </c>
    </row>
    <row r="125" spans="3:100" ht="15.75" customHeight="1">
      <c r="C125" s="8"/>
      <c r="D125" s="8"/>
      <c r="E125" s="8"/>
      <c r="J125" s="8"/>
      <c r="O125" s="9"/>
      <c r="P125" s="9"/>
      <c r="Q125" s="9"/>
      <c r="V125" s="9"/>
      <c r="AC125" s="10"/>
      <c r="CV125" s="500" t="s">
        <v>1245</v>
      </c>
    </row>
    <row r="126" spans="3:100" ht="15.75" customHeight="1">
      <c r="C126" s="8"/>
      <c r="D126" s="8"/>
      <c r="E126" s="8"/>
      <c r="J126" s="8"/>
      <c r="O126" s="9"/>
      <c r="P126" s="9"/>
      <c r="Q126" s="9"/>
      <c r="V126" s="9"/>
      <c r="AC126" s="10"/>
      <c r="CV126" s="500" t="s">
        <v>1245</v>
      </c>
    </row>
    <row r="127" spans="3:100" ht="15.75" customHeight="1">
      <c r="C127" s="8"/>
      <c r="D127" s="8"/>
      <c r="E127" s="8"/>
      <c r="J127" s="8"/>
      <c r="O127" s="9"/>
      <c r="P127" s="9"/>
      <c r="Q127" s="9"/>
      <c r="V127" s="9"/>
      <c r="AC127" s="10"/>
      <c r="CV127" s="500" t="s">
        <v>1245</v>
      </c>
    </row>
    <row r="128" spans="3:100" ht="15.75" customHeight="1">
      <c r="C128" s="8"/>
      <c r="D128" s="8"/>
      <c r="E128" s="8"/>
      <c r="J128" s="8"/>
      <c r="O128" s="9"/>
      <c r="P128" s="9"/>
      <c r="Q128" s="9"/>
      <c r="V128" s="9"/>
      <c r="AC128" s="10"/>
      <c r="CV128" s="500" t="s">
        <v>1245</v>
      </c>
    </row>
    <row r="129" spans="3:100" ht="15.75" customHeight="1">
      <c r="C129" s="8"/>
      <c r="D129" s="8"/>
      <c r="E129" s="8"/>
      <c r="J129" s="8"/>
      <c r="O129" s="9"/>
      <c r="P129" s="9"/>
      <c r="Q129" s="9"/>
      <c r="V129" s="9"/>
      <c r="AC129" s="10"/>
      <c r="CV129" s="500" t="s">
        <v>1245</v>
      </c>
    </row>
    <row r="130" spans="3:100" ht="15.75" customHeight="1">
      <c r="C130" s="8"/>
      <c r="D130" s="8"/>
      <c r="E130" s="8"/>
      <c r="J130" s="8"/>
      <c r="O130" s="9"/>
      <c r="P130" s="9"/>
      <c r="Q130" s="9"/>
      <c r="V130" s="9"/>
      <c r="AC130" s="10"/>
      <c r="CV130" s="500" t="s">
        <v>1245</v>
      </c>
    </row>
    <row r="131" spans="3:100" ht="15.75" customHeight="1">
      <c r="C131" s="8"/>
      <c r="D131" s="8"/>
      <c r="E131" s="8"/>
      <c r="J131" s="8"/>
      <c r="O131" s="9"/>
      <c r="P131" s="9"/>
      <c r="Q131" s="9"/>
      <c r="V131" s="9"/>
      <c r="AC131" s="10"/>
      <c r="CV131" s="500" t="s">
        <v>1245</v>
      </c>
    </row>
    <row r="132" spans="3:100" ht="15.75" customHeight="1">
      <c r="C132" s="8"/>
      <c r="D132" s="8"/>
      <c r="E132" s="8"/>
      <c r="J132" s="8"/>
      <c r="O132" s="9"/>
      <c r="P132" s="9"/>
      <c r="Q132" s="9"/>
      <c r="V132" s="9"/>
      <c r="AC132" s="10"/>
      <c r="CV132" s="500" t="s">
        <v>1245</v>
      </c>
    </row>
    <row r="133" spans="3:100" ht="15.75" customHeight="1">
      <c r="C133" s="8"/>
      <c r="D133" s="8"/>
      <c r="E133" s="8"/>
      <c r="J133" s="8"/>
      <c r="O133" s="9"/>
      <c r="P133" s="9"/>
      <c r="Q133" s="9"/>
      <c r="V133" s="9"/>
      <c r="AC133" s="10"/>
      <c r="CV133" s="500" t="s">
        <v>1245</v>
      </c>
    </row>
    <row r="134" spans="3:100" ht="15.75" customHeight="1">
      <c r="C134" s="8"/>
      <c r="D134" s="8"/>
      <c r="E134" s="8"/>
      <c r="J134" s="8"/>
      <c r="O134" s="9"/>
      <c r="P134" s="9"/>
      <c r="Q134" s="9"/>
      <c r="V134" s="9"/>
      <c r="AC134" s="10"/>
      <c r="CV134" s="500" t="s">
        <v>1245</v>
      </c>
    </row>
    <row r="135" spans="3:100" ht="15.75" customHeight="1">
      <c r="C135" s="8"/>
      <c r="D135" s="8"/>
      <c r="E135" s="8"/>
      <c r="J135" s="8"/>
      <c r="O135" s="9"/>
      <c r="P135" s="9"/>
      <c r="Q135" s="9"/>
      <c r="V135" s="9"/>
      <c r="AC135" s="10"/>
      <c r="CV135" s="500" t="s">
        <v>1245</v>
      </c>
    </row>
    <row r="136" spans="3:100" ht="15.75" customHeight="1">
      <c r="C136" s="8"/>
      <c r="D136" s="8"/>
      <c r="E136" s="8"/>
      <c r="J136" s="8"/>
      <c r="O136" s="9"/>
      <c r="P136" s="9"/>
      <c r="Q136" s="9"/>
      <c r="V136" s="9"/>
      <c r="AC136" s="10"/>
      <c r="CV136" s="500" t="s">
        <v>1245</v>
      </c>
    </row>
    <row r="137" spans="3:100" ht="15.75" customHeight="1">
      <c r="C137" s="8"/>
      <c r="D137" s="8"/>
      <c r="E137" s="8"/>
      <c r="J137" s="8"/>
      <c r="O137" s="9"/>
      <c r="P137" s="9"/>
      <c r="Q137" s="9"/>
      <c r="V137" s="9"/>
      <c r="AC137" s="10"/>
      <c r="CV137" s="500" t="s">
        <v>1245</v>
      </c>
    </row>
    <row r="138" spans="3:100" ht="15.75" customHeight="1">
      <c r="C138" s="8"/>
      <c r="D138" s="8"/>
      <c r="E138" s="8"/>
      <c r="J138" s="8"/>
      <c r="O138" s="9"/>
      <c r="P138" s="9"/>
      <c r="Q138" s="9"/>
      <c r="V138" s="9"/>
      <c r="AC138" s="10"/>
      <c r="CV138" s="500" t="s">
        <v>1245</v>
      </c>
    </row>
    <row r="139" spans="3:100" ht="15.75" customHeight="1">
      <c r="C139" s="8"/>
      <c r="D139" s="8"/>
      <c r="E139" s="8"/>
      <c r="J139" s="8"/>
      <c r="O139" s="9"/>
      <c r="P139" s="9"/>
      <c r="Q139" s="9"/>
      <c r="V139" s="9"/>
      <c r="AC139" s="10"/>
      <c r="CV139" s="500" t="s">
        <v>1245</v>
      </c>
    </row>
    <row r="140" spans="3:100" ht="15.75" customHeight="1">
      <c r="C140" s="8"/>
      <c r="D140" s="8"/>
      <c r="E140" s="8"/>
      <c r="J140" s="8"/>
      <c r="O140" s="9"/>
      <c r="P140" s="9"/>
      <c r="Q140" s="9"/>
      <c r="V140" s="9"/>
      <c r="AC140" s="10"/>
      <c r="CV140" s="500" t="s">
        <v>1245</v>
      </c>
    </row>
    <row r="141" spans="3:100" ht="15.75" customHeight="1">
      <c r="C141" s="8"/>
      <c r="D141" s="8"/>
      <c r="E141" s="8"/>
      <c r="J141" s="8"/>
      <c r="O141" s="9"/>
      <c r="P141" s="9"/>
      <c r="Q141" s="9"/>
      <c r="V141" s="9"/>
      <c r="AC141" s="10"/>
      <c r="CV141" s="500" t="s">
        <v>1245</v>
      </c>
    </row>
    <row r="142" spans="3:100" ht="15.75" customHeight="1">
      <c r="C142" s="8"/>
      <c r="D142" s="8"/>
      <c r="E142" s="8"/>
      <c r="J142" s="8"/>
      <c r="O142" s="9"/>
      <c r="P142" s="9"/>
      <c r="Q142" s="9"/>
      <c r="V142" s="9"/>
      <c r="AC142" s="10"/>
      <c r="CV142" s="500" t="s">
        <v>1245</v>
      </c>
    </row>
    <row r="143" spans="3:100" ht="15.75" customHeight="1">
      <c r="C143" s="8"/>
      <c r="D143" s="8"/>
      <c r="E143" s="8"/>
      <c r="J143" s="8"/>
      <c r="O143" s="9"/>
      <c r="P143" s="9"/>
      <c r="Q143" s="9"/>
      <c r="V143" s="9"/>
      <c r="AC143" s="10"/>
      <c r="CV143" s="500" t="s">
        <v>1245</v>
      </c>
    </row>
    <row r="144" spans="3:100" ht="15.75" customHeight="1">
      <c r="C144" s="8"/>
      <c r="D144" s="8"/>
      <c r="E144" s="8"/>
      <c r="J144" s="8"/>
      <c r="O144" s="9"/>
      <c r="P144" s="9"/>
      <c r="Q144" s="9"/>
      <c r="V144" s="9"/>
      <c r="AC144" s="10"/>
      <c r="CV144" s="500" t="s">
        <v>1245</v>
      </c>
    </row>
    <row r="145" spans="3:100" ht="15.75" customHeight="1">
      <c r="C145" s="8"/>
      <c r="D145" s="8"/>
      <c r="E145" s="8"/>
      <c r="J145" s="8"/>
      <c r="O145" s="9"/>
      <c r="P145" s="9"/>
      <c r="Q145" s="9"/>
      <c r="V145" s="9"/>
      <c r="AC145" s="10"/>
      <c r="CV145" s="500" t="s">
        <v>1245</v>
      </c>
    </row>
    <row r="146" spans="3:100" ht="15.75" customHeight="1">
      <c r="C146" s="8"/>
      <c r="D146" s="8"/>
      <c r="E146" s="8"/>
      <c r="J146" s="8"/>
      <c r="O146" s="9"/>
      <c r="P146" s="9"/>
      <c r="Q146" s="9"/>
      <c r="V146" s="9"/>
      <c r="AC146" s="10"/>
      <c r="CV146" s="500" t="s">
        <v>1245</v>
      </c>
    </row>
    <row r="147" spans="3:100" ht="15.75" customHeight="1">
      <c r="C147" s="8"/>
      <c r="D147" s="8"/>
      <c r="E147" s="8"/>
      <c r="J147" s="8"/>
      <c r="O147" s="9"/>
      <c r="P147" s="9"/>
      <c r="Q147" s="9"/>
      <c r="V147" s="9"/>
      <c r="AC147" s="10"/>
      <c r="CV147" s="500" t="s">
        <v>1245</v>
      </c>
    </row>
    <row r="148" spans="3:100" ht="15.75" customHeight="1">
      <c r="C148" s="8"/>
      <c r="D148" s="8"/>
      <c r="E148" s="8"/>
      <c r="J148" s="8"/>
      <c r="O148" s="9"/>
      <c r="P148" s="9"/>
      <c r="Q148" s="9"/>
      <c r="V148" s="9"/>
      <c r="AC148" s="10"/>
      <c r="CV148" s="500" t="s">
        <v>1245</v>
      </c>
    </row>
    <row r="149" spans="3:100" ht="15.75" customHeight="1">
      <c r="C149" s="8"/>
      <c r="D149" s="8"/>
      <c r="E149" s="8"/>
      <c r="J149" s="8"/>
      <c r="O149" s="9"/>
      <c r="P149" s="9"/>
      <c r="Q149" s="9"/>
      <c r="V149" s="9"/>
      <c r="AC149" s="10"/>
      <c r="CV149" s="500" t="s">
        <v>1245</v>
      </c>
    </row>
    <row r="150" spans="3:100" ht="15.75" customHeight="1">
      <c r="C150" s="8"/>
      <c r="D150" s="8"/>
      <c r="E150" s="8"/>
      <c r="J150" s="8"/>
      <c r="O150" s="9"/>
      <c r="P150" s="9"/>
      <c r="Q150" s="9"/>
      <c r="V150" s="9"/>
      <c r="AC150" s="10"/>
      <c r="CV150" s="500" t="s">
        <v>1245</v>
      </c>
    </row>
    <row r="151" spans="3:100" ht="15.75" customHeight="1">
      <c r="C151" s="8"/>
      <c r="D151" s="8"/>
      <c r="E151" s="8"/>
      <c r="J151" s="8"/>
      <c r="O151" s="9"/>
      <c r="P151" s="9"/>
      <c r="Q151" s="9"/>
      <c r="V151" s="9"/>
      <c r="AC151" s="10"/>
      <c r="CV151" s="500" t="s">
        <v>1245</v>
      </c>
    </row>
    <row r="152" spans="3:100" ht="15.75" customHeight="1">
      <c r="C152" s="8"/>
      <c r="D152" s="8"/>
      <c r="E152" s="8"/>
      <c r="J152" s="8"/>
      <c r="O152" s="9"/>
      <c r="P152" s="9"/>
      <c r="Q152" s="9"/>
      <c r="V152" s="9"/>
      <c r="AC152" s="10"/>
      <c r="CV152" s="500" t="s">
        <v>1245</v>
      </c>
    </row>
    <row r="153" spans="3:100" ht="15.75" customHeight="1">
      <c r="C153" s="8"/>
      <c r="D153" s="8"/>
      <c r="E153" s="8"/>
      <c r="J153" s="8"/>
      <c r="O153" s="9"/>
      <c r="P153" s="9"/>
      <c r="Q153" s="9"/>
      <c r="V153" s="9"/>
      <c r="AC153" s="10"/>
      <c r="CV153" s="500" t="s">
        <v>1245</v>
      </c>
    </row>
    <row r="154" spans="3:100" ht="15.75" customHeight="1">
      <c r="C154" s="8"/>
      <c r="D154" s="8"/>
      <c r="E154" s="8"/>
      <c r="J154" s="8"/>
      <c r="O154" s="9"/>
      <c r="P154" s="9"/>
      <c r="Q154" s="9"/>
      <c r="V154" s="9"/>
      <c r="AC154" s="10"/>
      <c r="CV154" s="500" t="s">
        <v>1245</v>
      </c>
    </row>
    <row r="155" spans="3:100" ht="15.75" customHeight="1">
      <c r="C155" s="8"/>
      <c r="D155" s="8"/>
      <c r="E155" s="8"/>
      <c r="J155" s="8"/>
      <c r="O155" s="9"/>
      <c r="P155" s="9"/>
      <c r="Q155" s="9"/>
      <c r="V155" s="9"/>
      <c r="AC155" s="10"/>
      <c r="CV155" s="500" t="s">
        <v>1245</v>
      </c>
    </row>
    <row r="156" spans="3:100" ht="15.75" customHeight="1">
      <c r="C156" s="8"/>
      <c r="D156" s="8"/>
      <c r="E156" s="8"/>
      <c r="J156" s="8"/>
      <c r="O156" s="9"/>
      <c r="P156" s="9"/>
      <c r="Q156" s="9"/>
      <c r="V156" s="9"/>
      <c r="AC156" s="10"/>
      <c r="CV156" s="500" t="s">
        <v>1245</v>
      </c>
    </row>
    <row r="157" spans="3:100" ht="15.75" customHeight="1">
      <c r="C157" s="8"/>
      <c r="D157" s="8"/>
      <c r="E157" s="8"/>
      <c r="J157" s="8"/>
      <c r="O157" s="9"/>
      <c r="P157" s="9"/>
      <c r="Q157" s="9"/>
      <c r="V157" s="9"/>
      <c r="AC157" s="10"/>
      <c r="CV157" s="500" t="s">
        <v>1245</v>
      </c>
    </row>
    <row r="158" spans="3:100" ht="15.75" customHeight="1">
      <c r="C158" s="8"/>
      <c r="D158" s="8"/>
      <c r="E158" s="8"/>
      <c r="J158" s="8"/>
      <c r="O158" s="9"/>
      <c r="P158" s="9"/>
      <c r="Q158" s="9"/>
      <c r="V158" s="9"/>
      <c r="AC158" s="10"/>
      <c r="CV158" s="500" t="s">
        <v>1245</v>
      </c>
    </row>
    <row r="159" spans="3:100" ht="15.75" customHeight="1">
      <c r="C159" s="8"/>
      <c r="D159" s="8"/>
      <c r="E159" s="8"/>
      <c r="J159" s="8"/>
      <c r="O159" s="9"/>
      <c r="P159" s="9"/>
      <c r="Q159" s="9"/>
      <c r="V159" s="9"/>
      <c r="AC159" s="10"/>
      <c r="CV159" s="500" t="s">
        <v>1245</v>
      </c>
    </row>
    <row r="160" spans="3:100" ht="15.75" customHeight="1">
      <c r="C160" s="8"/>
      <c r="D160" s="8"/>
      <c r="E160" s="8"/>
      <c r="J160" s="8"/>
      <c r="O160" s="9"/>
      <c r="P160" s="9"/>
      <c r="Q160" s="9"/>
      <c r="V160" s="9"/>
      <c r="AC160" s="10"/>
      <c r="CV160" s="500" t="s">
        <v>1245</v>
      </c>
    </row>
    <row r="161" spans="3:100" ht="15.75" customHeight="1">
      <c r="C161" s="8"/>
      <c r="D161" s="8"/>
      <c r="E161" s="8"/>
      <c r="J161" s="8"/>
      <c r="O161" s="9"/>
      <c r="P161" s="9"/>
      <c r="Q161" s="9"/>
      <c r="V161" s="9"/>
      <c r="AC161" s="10"/>
      <c r="CV161" s="500" t="s">
        <v>1245</v>
      </c>
    </row>
    <row r="162" spans="3:100" ht="15.75" customHeight="1">
      <c r="C162" s="8"/>
      <c r="D162" s="8"/>
      <c r="E162" s="8"/>
      <c r="J162" s="8"/>
      <c r="O162" s="9"/>
      <c r="P162" s="9"/>
      <c r="Q162" s="9"/>
      <c r="V162" s="9"/>
      <c r="AC162" s="10"/>
      <c r="CV162" s="500" t="s">
        <v>1245</v>
      </c>
    </row>
    <row r="163" spans="3:100" ht="15.75" customHeight="1">
      <c r="C163" s="8"/>
      <c r="D163" s="8"/>
      <c r="E163" s="8"/>
      <c r="J163" s="8"/>
      <c r="O163" s="9"/>
      <c r="P163" s="9"/>
      <c r="Q163" s="9"/>
      <c r="V163" s="9"/>
      <c r="AC163" s="10"/>
      <c r="CV163" s="500" t="s">
        <v>1245</v>
      </c>
    </row>
    <row r="164" spans="3:100" ht="15.75" customHeight="1">
      <c r="C164" s="8"/>
      <c r="D164" s="8"/>
      <c r="E164" s="8"/>
      <c r="J164" s="8"/>
      <c r="O164" s="9"/>
      <c r="P164" s="9"/>
      <c r="Q164" s="9"/>
      <c r="V164" s="9"/>
      <c r="AC164" s="10"/>
      <c r="CV164" s="500" t="s">
        <v>1245</v>
      </c>
    </row>
    <row r="165" spans="3:100" ht="15.75" customHeight="1">
      <c r="C165" s="8"/>
      <c r="D165" s="8"/>
      <c r="E165" s="8"/>
      <c r="J165" s="8"/>
      <c r="O165" s="9"/>
      <c r="P165" s="9"/>
      <c r="Q165" s="9"/>
      <c r="V165" s="9"/>
      <c r="AC165" s="10"/>
      <c r="CV165" s="500" t="s">
        <v>1245</v>
      </c>
    </row>
    <row r="166" spans="3:100" ht="15.75" customHeight="1">
      <c r="C166" s="8"/>
      <c r="D166" s="8"/>
      <c r="E166" s="8"/>
      <c r="J166" s="8"/>
      <c r="O166" s="9"/>
      <c r="P166" s="9"/>
      <c r="Q166" s="9"/>
      <c r="V166" s="9"/>
      <c r="AC166" s="10"/>
      <c r="CV166" s="500" t="s">
        <v>1245</v>
      </c>
    </row>
    <row r="167" spans="3:100" ht="15.75" customHeight="1">
      <c r="C167" s="8"/>
      <c r="D167" s="8"/>
      <c r="E167" s="8"/>
      <c r="J167" s="8"/>
      <c r="O167" s="9"/>
      <c r="P167" s="9"/>
      <c r="Q167" s="9"/>
      <c r="V167" s="9"/>
      <c r="AC167" s="10"/>
      <c r="CV167" s="500" t="s">
        <v>1245</v>
      </c>
    </row>
    <row r="168" spans="3:100" ht="15.75" customHeight="1">
      <c r="C168" s="8"/>
      <c r="D168" s="8"/>
      <c r="E168" s="8"/>
      <c r="J168" s="8"/>
      <c r="O168" s="9"/>
      <c r="P168" s="9"/>
      <c r="Q168" s="9"/>
      <c r="V168" s="9"/>
      <c r="AC168" s="10"/>
      <c r="CV168" s="500" t="s">
        <v>1245</v>
      </c>
    </row>
    <row r="169" spans="3:100" ht="15.75" customHeight="1">
      <c r="C169" s="8"/>
      <c r="D169" s="8"/>
      <c r="E169" s="8"/>
      <c r="J169" s="8"/>
      <c r="O169" s="9"/>
      <c r="P169" s="9"/>
      <c r="Q169" s="9"/>
      <c r="V169" s="9"/>
      <c r="AC169" s="10"/>
      <c r="CV169" s="500" t="s">
        <v>1245</v>
      </c>
    </row>
    <row r="170" spans="3:100" ht="15.75" customHeight="1">
      <c r="C170" s="8"/>
      <c r="D170" s="8"/>
      <c r="E170" s="8"/>
      <c r="J170" s="8"/>
      <c r="O170" s="9"/>
      <c r="P170" s="9"/>
      <c r="Q170" s="9"/>
      <c r="V170" s="9"/>
      <c r="AC170" s="10"/>
      <c r="CV170" s="500" t="s">
        <v>1245</v>
      </c>
    </row>
    <row r="171" spans="3:100" ht="15.75" customHeight="1">
      <c r="C171" s="8"/>
      <c r="D171" s="8"/>
      <c r="E171" s="8"/>
      <c r="J171" s="8"/>
      <c r="O171" s="9"/>
      <c r="P171" s="9"/>
      <c r="Q171" s="9"/>
      <c r="V171" s="9"/>
      <c r="AC171" s="10"/>
      <c r="CV171" s="500" t="s">
        <v>1245</v>
      </c>
    </row>
    <row r="172" spans="3:100" ht="15.75" customHeight="1">
      <c r="C172" s="8"/>
      <c r="D172" s="8"/>
      <c r="E172" s="8"/>
      <c r="J172" s="8"/>
      <c r="O172" s="9"/>
      <c r="P172" s="9"/>
      <c r="Q172" s="9"/>
      <c r="V172" s="9"/>
      <c r="AC172" s="10"/>
      <c r="CV172" s="500" t="s">
        <v>1245</v>
      </c>
    </row>
    <row r="173" spans="3:100" ht="15.75" customHeight="1">
      <c r="C173" s="8"/>
      <c r="D173" s="8"/>
      <c r="E173" s="8"/>
      <c r="J173" s="8"/>
      <c r="O173" s="9"/>
      <c r="P173" s="9"/>
      <c r="Q173" s="9"/>
      <c r="V173" s="9"/>
      <c r="AC173" s="10"/>
      <c r="CV173" s="500" t="s">
        <v>1245</v>
      </c>
    </row>
    <row r="174" spans="3:100" ht="15.75" customHeight="1">
      <c r="C174" s="8"/>
      <c r="D174" s="8"/>
      <c r="E174" s="8"/>
      <c r="J174" s="8"/>
      <c r="O174" s="9"/>
      <c r="P174" s="9"/>
      <c r="Q174" s="9"/>
      <c r="V174" s="9"/>
      <c r="AC174" s="10"/>
      <c r="CV174" s="500" t="s">
        <v>1245</v>
      </c>
    </row>
    <row r="175" spans="3:100" ht="15.75" customHeight="1">
      <c r="C175" s="8"/>
      <c r="D175" s="8"/>
      <c r="E175" s="8"/>
      <c r="J175" s="8"/>
      <c r="O175" s="9"/>
      <c r="P175" s="9"/>
      <c r="Q175" s="9"/>
      <c r="V175" s="9"/>
      <c r="AC175" s="10"/>
      <c r="CV175" s="500" t="s">
        <v>1245</v>
      </c>
    </row>
    <row r="176" spans="3:100" ht="15.75" customHeight="1">
      <c r="C176" s="8"/>
      <c r="D176" s="8"/>
      <c r="E176" s="8"/>
      <c r="J176" s="8"/>
      <c r="O176" s="9"/>
      <c r="P176" s="9"/>
      <c r="Q176" s="9"/>
      <c r="V176" s="9"/>
      <c r="AC176" s="10"/>
      <c r="CV176" s="500" t="s">
        <v>1245</v>
      </c>
    </row>
    <row r="177" spans="3:100" ht="15.75" customHeight="1">
      <c r="C177" s="8"/>
      <c r="D177" s="8"/>
      <c r="E177" s="8"/>
      <c r="J177" s="8"/>
      <c r="O177" s="9"/>
      <c r="P177" s="9"/>
      <c r="Q177" s="9"/>
      <c r="V177" s="9"/>
      <c r="AC177" s="10"/>
      <c r="CV177" s="500" t="s">
        <v>1245</v>
      </c>
    </row>
    <row r="178" spans="3:100" ht="15.75" customHeight="1">
      <c r="C178" s="8"/>
      <c r="D178" s="8"/>
      <c r="E178" s="8"/>
      <c r="J178" s="8"/>
      <c r="O178" s="9"/>
      <c r="P178" s="9"/>
      <c r="Q178" s="9"/>
      <c r="V178" s="9"/>
      <c r="AC178" s="10"/>
      <c r="CV178" s="500" t="s">
        <v>1245</v>
      </c>
    </row>
    <row r="179" spans="3:100" ht="15.75" customHeight="1">
      <c r="C179" s="8"/>
      <c r="D179" s="8"/>
      <c r="E179" s="8"/>
      <c r="J179" s="8"/>
      <c r="O179" s="9"/>
      <c r="P179" s="9"/>
      <c r="Q179" s="9"/>
      <c r="V179" s="9"/>
      <c r="AC179" s="10"/>
      <c r="CV179" s="500" t="s">
        <v>1245</v>
      </c>
    </row>
    <row r="180" spans="3:100" ht="15.75" customHeight="1">
      <c r="C180" s="8"/>
      <c r="D180" s="8"/>
      <c r="E180" s="8"/>
      <c r="J180" s="8"/>
      <c r="O180" s="9"/>
      <c r="P180" s="9"/>
      <c r="Q180" s="9"/>
      <c r="V180" s="9"/>
      <c r="AC180" s="10"/>
      <c r="CV180" s="500" t="s">
        <v>1245</v>
      </c>
    </row>
    <row r="181" spans="3:100" ht="15.75" customHeight="1">
      <c r="C181" s="8"/>
      <c r="D181" s="8"/>
      <c r="E181" s="8"/>
      <c r="J181" s="8"/>
      <c r="O181" s="9"/>
      <c r="P181" s="9"/>
      <c r="Q181" s="9"/>
      <c r="V181" s="9"/>
      <c r="AC181" s="10"/>
      <c r="CV181" s="500" t="s">
        <v>1245</v>
      </c>
    </row>
    <row r="182" spans="3:100" ht="15.75" customHeight="1">
      <c r="C182" s="8"/>
      <c r="D182" s="8"/>
      <c r="E182" s="8"/>
      <c r="J182" s="8"/>
      <c r="O182" s="9"/>
      <c r="P182" s="9"/>
      <c r="Q182" s="9"/>
      <c r="V182" s="9"/>
      <c r="AC182" s="10"/>
      <c r="CV182" s="500" t="s">
        <v>1245</v>
      </c>
    </row>
    <row r="183" spans="3:100" ht="15.75" customHeight="1">
      <c r="C183" s="8"/>
      <c r="D183" s="8"/>
      <c r="E183" s="8"/>
      <c r="J183" s="8"/>
      <c r="O183" s="9"/>
      <c r="P183" s="9"/>
      <c r="Q183" s="9"/>
      <c r="V183" s="9"/>
      <c r="AC183" s="10"/>
      <c r="CV183" s="500" t="s">
        <v>1245</v>
      </c>
    </row>
    <row r="184" spans="3:100" ht="15.75" customHeight="1">
      <c r="C184" s="8"/>
      <c r="D184" s="8"/>
      <c r="E184" s="8"/>
      <c r="J184" s="8"/>
      <c r="O184" s="9"/>
      <c r="P184" s="9"/>
      <c r="Q184" s="9"/>
      <c r="V184" s="9"/>
      <c r="AC184" s="10"/>
      <c r="CV184" s="500" t="s">
        <v>1245</v>
      </c>
    </row>
    <row r="185" spans="3:100" ht="15.75" customHeight="1">
      <c r="C185" s="8"/>
      <c r="D185" s="8"/>
      <c r="E185" s="8"/>
      <c r="J185" s="8"/>
      <c r="O185" s="9"/>
      <c r="P185" s="9"/>
      <c r="Q185" s="9"/>
      <c r="V185" s="9"/>
      <c r="AC185" s="10"/>
    </row>
    <row r="186" spans="3:100" ht="15.75" customHeight="1">
      <c r="C186" s="8"/>
      <c r="D186" s="8"/>
      <c r="E186" s="8"/>
      <c r="J186" s="8"/>
      <c r="O186" s="9"/>
      <c r="P186" s="9"/>
      <c r="Q186" s="9"/>
      <c r="V186" s="9"/>
      <c r="AC186" s="10"/>
    </row>
    <row r="187" spans="3:100" ht="15.75" customHeight="1">
      <c r="C187" s="8"/>
      <c r="D187" s="8"/>
      <c r="E187" s="8"/>
      <c r="J187" s="8"/>
      <c r="O187" s="9"/>
      <c r="P187" s="9"/>
      <c r="Q187" s="9"/>
      <c r="V187" s="9"/>
      <c r="AC187" s="10"/>
    </row>
    <row r="188" spans="3:100" ht="15.75" customHeight="1">
      <c r="C188" s="8"/>
      <c r="D188" s="8"/>
      <c r="E188" s="8"/>
      <c r="J188" s="8"/>
      <c r="O188" s="9"/>
      <c r="P188" s="9"/>
      <c r="Q188" s="9"/>
      <c r="V188" s="9"/>
      <c r="AC188" s="10"/>
    </row>
  </sheetData>
  <mergeCells count="158">
    <mergeCell ref="A1:N3"/>
    <mergeCell ref="O1:AB1"/>
    <mergeCell ref="AC1:AI1"/>
    <mergeCell ref="AJ1:AP1"/>
    <mergeCell ref="AQ1:AW1"/>
    <mergeCell ref="AX1:BK1"/>
    <mergeCell ref="CB2:CH3"/>
    <mergeCell ref="O3:AB3"/>
    <mergeCell ref="AC3:AI3"/>
    <mergeCell ref="AJ3:AP3"/>
    <mergeCell ref="AQ3:BK3"/>
    <mergeCell ref="V7:BQ7"/>
    <mergeCell ref="BL1:BT1"/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AT8:AY8"/>
    <mergeCell ref="AZ8:BE8"/>
    <mergeCell ref="BF8:BK8"/>
    <mergeCell ref="BL8:BQ8"/>
    <mergeCell ref="D9:E9"/>
    <mergeCell ref="G9:U9"/>
    <mergeCell ref="V9:AA9"/>
    <mergeCell ref="AB9:AG9"/>
    <mergeCell ref="AH9:AM9"/>
    <mergeCell ref="AN9:AS9"/>
    <mergeCell ref="D8:E8"/>
    <mergeCell ref="G8:U8"/>
    <mergeCell ref="V8:AA8"/>
    <mergeCell ref="AB8:AG8"/>
    <mergeCell ref="AH8:AM8"/>
    <mergeCell ref="AN8:AS8"/>
    <mergeCell ref="AT9:AY9"/>
    <mergeCell ref="AZ9:BE9"/>
    <mergeCell ref="BF9:BK9"/>
    <mergeCell ref="BL9:BQ9"/>
    <mergeCell ref="BL10:BQ10"/>
    <mergeCell ref="D11:E11"/>
    <mergeCell ref="G11:U11"/>
    <mergeCell ref="V11:AA11"/>
    <mergeCell ref="AB11:AG11"/>
    <mergeCell ref="AH11:AM11"/>
    <mergeCell ref="AN11:AS11"/>
    <mergeCell ref="AT11:AY11"/>
    <mergeCell ref="AZ11:BE11"/>
    <mergeCell ref="BF11:BK11"/>
    <mergeCell ref="BL11:BQ11"/>
    <mergeCell ref="D10:E10"/>
    <mergeCell ref="G10:U10"/>
    <mergeCell ref="V10:AA10"/>
    <mergeCell ref="AB10:AG10"/>
    <mergeCell ref="AH10:AM10"/>
    <mergeCell ref="AN10:AS10"/>
    <mergeCell ref="AT10:AY10"/>
    <mergeCell ref="AZ10:BE10"/>
    <mergeCell ref="BF10:BK10"/>
    <mergeCell ref="BL12:BQ12"/>
    <mergeCell ref="D13:E13"/>
    <mergeCell ref="G13:U13"/>
    <mergeCell ref="V13:AA13"/>
    <mergeCell ref="AB13:AG13"/>
    <mergeCell ref="AH13:AM13"/>
    <mergeCell ref="AN13:AS13"/>
    <mergeCell ref="AT13:AY13"/>
    <mergeCell ref="AZ13:BE13"/>
    <mergeCell ref="BF13:BK13"/>
    <mergeCell ref="BL13:BQ13"/>
    <mergeCell ref="D12:E12"/>
    <mergeCell ref="G12:U12"/>
    <mergeCell ref="V12:AA12"/>
    <mergeCell ref="AB12:AG12"/>
    <mergeCell ref="AH12:AM12"/>
    <mergeCell ref="AN12:AS12"/>
    <mergeCell ref="AT12:AY12"/>
    <mergeCell ref="AZ12:BE12"/>
    <mergeCell ref="BF12:BK12"/>
    <mergeCell ref="BL14:BQ14"/>
    <mergeCell ref="D15:E15"/>
    <mergeCell ref="G15:U15"/>
    <mergeCell ref="V15:AA15"/>
    <mergeCell ref="AB15:AG15"/>
    <mergeCell ref="AH15:AM15"/>
    <mergeCell ref="AN15:AS15"/>
    <mergeCell ref="AT15:AY15"/>
    <mergeCell ref="AZ15:BE15"/>
    <mergeCell ref="BF15:BK15"/>
    <mergeCell ref="BL15:BQ15"/>
    <mergeCell ref="D14:E14"/>
    <mergeCell ref="G14:U14"/>
    <mergeCell ref="V14:AA14"/>
    <mergeCell ref="AB14:AG14"/>
    <mergeCell ref="AH14:AM14"/>
    <mergeCell ref="AN14:AS14"/>
    <mergeCell ref="AT14:AY14"/>
    <mergeCell ref="AZ14:BE14"/>
    <mergeCell ref="BF14:BK14"/>
    <mergeCell ref="BL16:BQ16"/>
    <mergeCell ref="D17:E17"/>
    <mergeCell ref="G17:U17"/>
    <mergeCell ref="V17:AA17"/>
    <mergeCell ref="AB17:AG17"/>
    <mergeCell ref="AH17:AM17"/>
    <mergeCell ref="AN17:AS17"/>
    <mergeCell ref="AT17:AY17"/>
    <mergeCell ref="AZ17:BE17"/>
    <mergeCell ref="BF17:BK17"/>
    <mergeCell ref="BL17:BQ17"/>
    <mergeCell ref="D16:E16"/>
    <mergeCell ref="G16:U16"/>
    <mergeCell ref="V16:AA16"/>
    <mergeCell ref="AB16:AG16"/>
    <mergeCell ref="AH16:AM16"/>
    <mergeCell ref="AN16:AS16"/>
    <mergeCell ref="AT16:AY16"/>
    <mergeCell ref="AZ16:BE16"/>
    <mergeCell ref="BF16:BK16"/>
    <mergeCell ref="G18:U18"/>
    <mergeCell ref="V18:AA18"/>
    <mergeCell ref="AB18:AG18"/>
    <mergeCell ref="AH18:AM18"/>
    <mergeCell ref="AN18:AS18"/>
    <mergeCell ref="AT18:AY18"/>
    <mergeCell ref="AZ18:BE18"/>
    <mergeCell ref="BF18:BK18"/>
    <mergeCell ref="BL18:BQ18"/>
    <mergeCell ref="G19:U19"/>
    <mergeCell ref="V19:AA19"/>
    <mergeCell ref="AB19:AG19"/>
    <mergeCell ref="AH19:AM19"/>
    <mergeCell ref="AN19:AS19"/>
    <mergeCell ref="AT19:AY19"/>
    <mergeCell ref="AZ19:BE19"/>
    <mergeCell ref="BF19:BK19"/>
    <mergeCell ref="BL19:BQ19"/>
    <mergeCell ref="G20:U20"/>
    <mergeCell ref="V20:AA20"/>
    <mergeCell ref="AB20:AG20"/>
    <mergeCell ref="AH20:AM20"/>
    <mergeCell ref="AN20:AS20"/>
    <mergeCell ref="AT20:AY20"/>
    <mergeCell ref="AZ20:BE20"/>
    <mergeCell ref="BF20:BK20"/>
    <mergeCell ref="BL20:BQ20"/>
    <mergeCell ref="G21:U21"/>
    <mergeCell ref="V21:AA21"/>
    <mergeCell ref="AB21:AG21"/>
    <mergeCell ref="AH21:AM21"/>
    <mergeCell ref="AN21:AS21"/>
    <mergeCell ref="AT21:AY21"/>
    <mergeCell ref="AZ21:BE21"/>
    <mergeCell ref="BF21:BK21"/>
    <mergeCell ref="BL21:BQ21"/>
  </mergeCells>
  <phoneticPr fontId="3"/>
  <pageMargins left="0.51181102362204722" right="0.74803149606299213" top="0.70866141732283472" bottom="0.43307086614173229" header="0.51181102362204722" footer="0.19685039370078738"/>
  <pageSetup paperSize="9" scale="57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  <rowBreaks count="5" manualBreakCount="5">
    <brk id="33" max="97" man="1"/>
    <brk id="58" max="97" man="1"/>
    <brk id="94" max="97" man="1"/>
    <brk id="123" max="97" man="1"/>
    <brk id="153" max="9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3EAAE-C728-42AF-B974-A2D2D071C146}">
  <sheetPr>
    <tabColor theme="4" tint="-0.249977111117893"/>
    <pageSetUpPr fitToPage="1"/>
  </sheetPr>
  <dimension ref="A2:HY288"/>
  <sheetViews>
    <sheetView showGridLines="0" showZeros="0" view="pageBreakPreview" topLeftCell="A128" zoomScaleNormal="100" zoomScaleSheetLayoutView="100" workbookViewId="0">
      <selection activeCell="AD132" sqref="AD132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708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760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5000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3:76" ht="12" customHeight="1">
      <c r="C65" s="497"/>
      <c r="Q65" s="8"/>
      <c r="BX65" s="499"/>
    </row>
    <row r="66" spans="3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3:76" ht="12" customHeight="1">
      <c r="C67" s="497"/>
      <c r="Q67" s="8"/>
      <c r="BX67" s="499"/>
    </row>
    <row r="68" spans="3:76" ht="12" customHeight="1">
      <c r="C68" s="513"/>
      <c r="D68" s="514" t="s">
        <v>734</v>
      </c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5"/>
      <c r="AB68" s="515"/>
      <c r="AC68" s="515"/>
      <c r="AD68" s="515"/>
      <c r="AE68" s="515"/>
      <c r="AF68" s="515"/>
      <c r="AG68" s="515"/>
      <c r="AH68" s="515"/>
      <c r="AI68" s="515"/>
      <c r="AJ68" s="515"/>
      <c r="AK68" s="515"/>
      <c r="AL68" s="515"/>
      <c r="AM68" s="515"/>
      <c r="AN68" s="515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  <c r="BC68" s="515"/>
      <c r="BD68" s="515"/>
      <c r="BE68" s="515"/>
      <c r="BF68" s="515"/>
      <c r="BG68" s="515"/>
      <c r="BH68" s="515"/>
      <c r="BI68" s="515"/>
      <c r="BJ68" s="515"/>
      <c r="BK68" s="515"/>
      <c r="BL68" s="515"/>
      <c r="BM68" s="515"/>
      <c r="BN68" s="515"/>
      <c r="BO68" s="515"/>
      <c r="BP68" s="515"/>
      <c r="BQ68" s="515"/>
      <c r="BR68" s="515"/>
      <c r="BS68" s="515"/>
      <c r="BT68" s="515"/>
      <c r="BU68" s="515"/>
      <c r="BV68" s="515"/>
      <c r="BW68" s="515"/>
      <c r="BX68" s="499"/>
    </row>
    <row r="69" spans="3:76" ht="12" customHeight="1">
      <c r="C69" s="497"/>
      <c r="D69" s="8" t="s">
        <v>735</v>
      </c>
      <c r="J69" s="1184" t="s">
        <v>768</v>
      </c>
      <c r="K69" s="1185"/>
      <c r="L69" s="1185"/>
      <c r="M69" s="1185"/>
      <c r="N69" s="1185"/>
      <c r="O69" s="1186"/>
      <c r="P69" s="484"/>
      <c r="Q69" s="486" t="s">
        <v>769</v>
      </c>
      <c r="R69" s="486"/>
      <c r="S69" s="486"/>
      <c r="T69" s="486"/>
      <c r="U69" s="486"/>
      <c r="V69" s="486"/>
      <c r="W69" s="486"/>
      <c r="X69" s="486"/>
      <c r="Y69" s="486"/>
      <c r="Z69" s="486"/>
      <c r="AA69" s="487"/>
      <c r="AC69" s="507" t="s">
        <v>737</v>
      </c>
      <c r="BX69" s="499"/>
    </row>
    <row r="70" spans="3:76" ht="12" customHeight="1">
      <c r="C70" s="497"/>
      <c r="BX70" s="499"/>
    </row>
    <row r="71" spans="3:76" ht="12" customHeight="1">
      <c r="C71" s="497"/>
      <c r="F71" s="507"/>
      <c r="BX71" s="499"/>
    </row>
    <row r="72" spans="3:76" ht="12" customHeight="1">
      <c r="C72" s="497"/>
      <c r="D72" s="516" t="s">
        <v>738</v>
      </c>
      <c r="E72" s="517"/>
      <c r="F72" s="516" t="s">
        <v>739</v>
      </c>
      <c r="G72" s="518"/>
      <c r="H72" s="517"/>
      <c r="I72" s="516" t="s">
        <v>740</v>
      </c>
      <c r="J72" s="518"/>
      <c r="K72" s="517"/>
      <c r="L72" s="518" t="s">
        <v>741</v>
      </c>
      <c r="M72" s="518"/>
      <c r="N72" s="518"/>
      <c r="O72" s="516" t="s">
        <v>742</v>
      </c>
      <c r="P72" s="518"/>
      <c r="Q72" s="518"/>
      <c r="R72" s="518"/>
      <c r="S72" s="518"/>
      <c r="T72" s="516" t="s">
        <v>743</v>
      </c>
      <c r="U72" s="518"/>
      <c r="V72" s="518"/>
      <c r="W72" s="518"/>
      <c r="X72" s="518"/>
      <c r="Y72" s="519" t="s">
        <v>237</v>
      </c>
      <c r="Z72" s="518"/>
      <c r="AA72" s="518"/>
      <c r="AB72" s="516" t="s">
        <v>744</v>
      </c>
      <c r="AC72" s="517"/>
      <c r="AD72" s="518" t="s">
        <v>722</v>
      </c>
      <c r="AE72" s="518"/>
      <c r="AF72" s="517"/>
      <c r="AG72" s="518" t="s">
        <v>745</v>
      </c>
      <c r="AH72" s="518"/>
      <c r="AI72" s="518"/>
      <c r="AJ72" s="516" t="s">
        <v>746</v>
      </c>
      <c r="AK72" s="518"/>
      <c r="AL72" s="517"/>
      <c r="AM72" s="516" t="s">
        <v>747</v>
      </c>
      <c r="AN72" s="518"/>
      <c r="AO72" s="517"/>
      <c r="AP72" s="518" t="s">
        <v>748</v>
      </c>
      <c r="AQ72" s="518"/>
      <c r="AR72" s="518"/>
      <c r="AS72" s="517"/>
      <c r="AT72" s="516" t="s">
        <v>749</v>
      </c>
      <c r="AU72" s="518"/>
      <c r="AV72" s="517"/>
      <c r="AW72" s="516" t="s">
        <v>245</v>
      </c>
      <c r="AX72" s="518"/>
      <c r="AY72" s="518"/>
      <c r="AZ72" s="517"/>
      <c r="BA72" s="516" t="s">
        <v>750</v>
      </c>
      <c r="BB72" s="518"/>
      <c r="BC72" s="518"/>
      <c r="BD72" s="517"/>
      <c r="BE72" s="518" t="s">
        <v>751</v>
      </c>
      <c r="BF72" s="518"/>
      <c r="BG72" s="518"/>
      <c r="BH72" s="518" t="s">
        <v>752</v>
      </c>
      <c r="BI72" s="518"/>
      <c r="BJ72" s="518"/>
      <c r="BK72" s="517"/>
      <c r="BL72" s="518" t="s">
        <v>753</v>
      </c>
      <c r="BM72" s="518"/>
      <c r="BN72" s="518"/>
      <c r="BO72" s="517"/>
      <c r="BP72" s="518" t="s">
        <v>754</v>
      </c>
      <c r="BQ72" s="518"/>
      <c r="BR72" s="518"/>
      <c r="BS72" s="518"/>
      <c r="BT72" s="518"/>
      <c r="BU72" s="520"/>
      <c r="BX72" s="499"/>
    </row>
    <row r="73" spans="3:76" ht="12" customHeight="1">
      <c r="C73" s="497"/>
      <c r="D73" s="521"/>
      <c r="E73" s="522">
        <v>1</v>
      </c>
      <c r="F73" s="521"/>
      <c r="G73" s="523"/>
      <c r="H73" s="522"/>
      <c r="I73" s="523"/>
      <c r="J73" s="523"/>
      <c r="K73" s="522"/>
      <c r="L73" s="523"/>
      <c r="M73" s="523"/>
      <c r="N73" s="523"/>
      <c r="O73" s="1175" t="s">
        <v>770</v>
      </c>
      <c r="P73" s="1176"/>
      <c r="Q73" s="1176"/>
      <c r="R73" s="1176"/>
      <c r="S73" s="1177"/>
      <c r="T73" s="521" t="s">
        <v>771</v>
      </c>
      <c r="U73" s="523"/>
      <c r="V73" s="523"/>
      <c r="W73" s="523"/>
      <c r="X73" s="523"/>
      <c r="Y73" s="526" t="s">
        <v>772</v>
      </c>
      <c r="Z73" s="523"/>
      <c r="AA73" s="523"/>
      <c r="AB73" s="524" t="s">
        <v>773</v>
      </c>
      <c r="AC73" s="527"/>
      <c r="AD73" s="1178">
        <v>5000</v>
      </c>
      <c r="AE73" s="1179"/>
      <c r="AF73" s="1180"/>
      <c r="AG73" s="523" t="s">
        <v>755</v>
      </c>
      <c r="AH73" s="523"/>
      <c r="AI73" s="523"/>
      <c r="AJ73" s="1181">
        <v>100</v>
      </c>
      <c r="AK73" s="1182"/>
      <c r="AL73" s="1183"/>
      <c r="AM73" s="524"/>
      <c r="AN73" s="525"/>
      <c r="AO73" s="527"/>
      <c r="AP73" s="1166">
        <v>44628</v>
      </c>
      <c r="AQ73" s="1167"/>
      <c r="AR73" s="1167"/>
      <c r="AS73" s="1167"/>
      <c r="AT73" s="524" t="s">
        <v>774</v>
      </c>
      <c r="AU73" s="525"/>
      <c r="AV73" s="527"/>
      <c r="AW73" s="524"/>
      <c r="AX73" s="525"/>
      <c r="AY73" s="525"/>
      <c r="AZ73" s="527"/>
      <c r="BA73" s="521"/>
      <c r="BB73" s="523"/>
      <c r="BC73" s="523"/>
      <c r="BD73" s="522"/>
      <c r="BE73" s="523"/>
      <c r="BF73" s="523"/>
      <c r="BG73" s="523"/>
      <c r="BH73" s="521"/>
      <c r="BI73" s="525" t="s">
        <v>755</v>
      </c>
      <c r="BJ73" s="523"/>
      <c r="BK73" s="522"/>
      <c r="BL73" s="523"/>
      <c r="BM73" s="523"/>
      <c r="BN73" s="523"/>
      <c r="BO73" s="522"/>
      <c r="BP73" s="523"/>
      <c r="BQ73" s="523"/>
      <c r="BR73" s="523"/>
      <c r="BS73" s="523"/>
      <c r="BT73" s="523"/>
      <c r="BU73" s="522"/>
      <c r="BX73" s="499"/>
    </row>
    <row r="74" spans="3:76" ht="12" customHeight="1">
      <c r="C74" s="497"/>
      <c r="D74" s="521"/>
      <c r="E74" s="522">
        <v>2</v>
      </c>
      <c r="F74" s="521"/>
      <c r="G74" s="523"/>
      <c r="H74" s="522"/>
      <c r="I74" s="523"/>
      <c r="J74" s="523"/>
      <c r="K74" s="522"/>
      <c r="L74" s="523"/>
      <c r="M74" s="523"/>
      <c r="N74" s="523"/>
      <c r="O74" s="1175" t="s">
        <v>775</v>
      </c>
      <c r="P74" s="1176"/>
      <c r="Q74" s="1176"/>
      <c r="R74" s="1176"/>
      <c r="S74" s="1177"/>
      <c r="T74" s="521" t="s">
        <v>771</v>
      </c>
      <c r="U74" s="523"/>
      <c r="V74" s="523"/>
      <c r="W74" s="523"/>
      <c r="X74" s="523"/>
      <c r="Y74" s="526" t="s">
        <v>776</v>
      </c>
      <c r="Z74" s="523"/>
      <c r="AA74" s="523"/>
      <c r="AB74" s="524" t="s">
        <v>773</v>
      </c>
      <c r="AC74" s="527"/>
      <c r="AD74" s="1178">
        <v>5000</v>
      </c>
      <c r="AE74" s="1179"/>
      <c r="AF74" s="1180"/>
      <c r="AG74" s="523" t="s">
        <v>755</v>
      </c>
      <c r="AH74" s="523"/>
      <c r="AI74" s="523"/>
      <c r="AJ74" s="1181">
        <v>100</v>
      </c>
      <c r="AK74" s="1182"/>
      <c r="AL74" s="1183"/>
      <c r="AM74" s="524">
        <v>0</v>
      </c>
      <c r="AN74" s="525"/>
      <c r="AO74" s="527"/>
      <c r="AP74" s="1166">
        <v>44628</v>
      </c>
      <c r="AQ74" s="1167"/>
      <c r="AR74" s="1167"/>
      <c r="AS74" s="1167"/>
      <c r="AT74" s="524" t="s">
        <v>774</v>
      </c>
      <c r="AU74" s="525"/>
      <c r="AV74" s="527"/>
      <c r="AW74" s="524"/>
      <c r="AX74" s="525"/>
      <c r="AY74" s="525"/>
      <c r="AZ74" s="527"/>
      <c r="BA74" s="521"/>
      <c r="BB74" s="523"/>
      <c r="BC74" s="523"/>
      <c r="BD74" s="522"/>
      <c r="BE74" s="523"/>
      <c r="BF74" s="523"/>
      <c r="BG74" s="523"/>
      <c r="BH74" s="521"/>
      <c r="BI74" s="525" t="s">
        <v>755</v>
      </c>
      <c r="BJ74" s="523"/>
      <c r="BK74" s="522"/>
      <c r="BL74" s="523"/>
      <c r="BM74" s="523"/>
      <c r="BN74" s="523"/>
      <c r="BO74" s="522"/>
      <c r="BP74" s="523"/>
      <c r="BQ74" s="523"/>
      <c r="BR74" s="523"/>
      <c r="BS74" s="523"/>
      <c r="BT74" s="523"/>
      <c r="BU74" s="522"/>
      <c r="BX74" s="499"/>
    </row>
    <row r="75" spans="3:76" ht="12" customHeight="1">
      <c r="C75" s="497"/>
      <c r="D75" s="521"/>
      <c r="E75" s="522">
        <v>3</v>
      </c>
      <c r="F75" s="521"/>
      <c r="G75" s="523"/>
      <c r="H75" s="522"/>
      <c r="I75" s="523"/>
      <c r="J75" s="523"/>
      <c r="K75" s="522"/>
      <c r="L75" s="523"/>
      <c r="M75" s="523"/>
      <c r="N75" s="523"/>
      <c r="O75" s="1175" t="s">
        <v>777</v>
      </c>
      <c r="P75" s="1176"/>
      <c r="Q75" s="1176"/>
      <c r="R75" s="1176"/>
      <c r="S75" s="1177"/>
      <c r="T75" s="521" t="s">
        <v>771</v>
      </c>
      <c r="U75" s="523"/>
      <c r="V75" s="523"/>
      <c r="W75" s="523"/>
      <c r="X75" s="523"/>
      <c r="Y75" s="526" t="s">
        <v>778</v>
      </c>
      <c r="Z75" s="523"/>
      <c r="AA75" s="523"/>
      <c r="AB75" s="524" t="s">
        <v>773</v>
      </c>
      <c r="AC75" s="527"/>
      <c r="AD75" s="1178">
        <v>10000</v>
      </c>
      <c r="AE75" s="1179"/>
      <c r="AF75" s="1180"/>
      <c r="AG75" s="523" t="s">
        <v>755</v>
      </c>
      <c r="AH75" s="523"/>
      <c r="AI75" s="523"/>
      <c r="AJ75" s="1181">
        <v>50</v>
      </c>
      <c r="AK75" s="1182"/>
      <c r="AL75" s="1183"/>
      <c r="AM75" s="524">
        <v>0</v>
      </c>
      <c r="AN75" s="525"/>
      <c r="AO75" s="527"/>
      <c r="AP75" s="1166">
        <v>44628</v>
      </c>
      <c r="AQ75" s="1167"/>
      <c r="AR75" s="1167"/>
      <c r="AS75" s="1167"/>
      <c r="AT75" s="524" t="s">
        <v>774</v>
      </c>
      <c r="AU75" s="525"/>
      <c r="AV75" s="527"/>
      <c r="AW75" s="524"/>
      <c r="AX75" s="525"/>
      <c r="AY75" s="525"/>
      <c r="AZ75" s="527"/>
      <c r="BA75" s="521"/>
      <c r="BB75" s="523"/>
      <c r="BC75" s="523"/>
      <c r="BD75" s="522"/>
      <c r="BE75" s="523"/>
      <c r="BF75" s="523"/>
      <c r="BG75" s="523"/>
      <c r="BH75" s="521"/>
      <c r="BI75" s="525" t="s">
        <v>755</v>
      </c>
      <c r="BJ75" s="523"/>
      <c r="BK75" s="522"/>
      <c r="BL75" s="523"/>
      <c r="BM75" s="523"/>
      <c r="BN75" s="523"/>
      <c r="BO75" s="522"/>
      <c r="BP75" s="523"/>
      <c r="BQ75" s="523"/>
      <c r="BR75" s="523"/>
      <c r="BS75" s="523"/>
      <c r="BT75" s="523"/>
      <c r="BU75" s="522"/>
      <c r="BX75" s="499"/>
    </row>
    <row r="76" spans="3:76" ht="12" customHeight="1">
      <c r="C76" s="497"/>
      <c r="BX76" s="499"/>
    </row>
    <row r="77" spans="3:76" ht="12" customHeight="1">
      <c r="C77" s="497"/>
      <c r="F77" s="507"/>
      <c r="BX77" s="499"/>
    </row>
    <row r="78" spans="3:76" ht="12" customHeight="1">
      <c r="C78" s="50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7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09"/>
    </row>
    <row r="79" spans="3:76" ht="12" customHeight="1" thickBot="1">
      <c r="C79" s="531"/>
      <c r="D79" s="532"/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3"/>
      <c r="R79" s="532"/>
      <c r="S79" s="532"/>
      <c r="T79" s="532"/>
      <c r="U79" s="532"/>
      <c r="V79" s="532"/>
      <c r="W79" s="532"/>
      <c r="X79" s="532"/>
      <c r="Y79" s="532"/>
      <c r="Z79" s="532"/>
      <c r="AA79" s="532"/>
      <c r="AB79" s="532"/>
      <c r="AC79" s="532"/>
      <c r="AD79" s="532"/>
      <c r="AE79" s="532"/>
      <c r="AF79" s="532"/>
      <c r="AG79" s="532"/>
      <c r="AH79" s="532"/>
      <c r="AI79" s="532"/>
      <c r="AJ79" s="532"/>
      <c r="AK79" s="532"/>
      <c r="AL79" s="532"/>
      <c r="AM79" s="532"/>
      <c r="AN79" s="532"/>
      <c r="AO79" s="532"/>
      <c r="AP79" s="532"/>
      <c r="AQ79" s="532"/>
      <c r="AR79" s="532"/>
      <c r="AS79" s="532"/>
      <c r="AT79" s="532"/>
      <c r="AU79" s="532"/>
      <c r="AV79" s="532"/>
      <c r="AW79" s="532"/>
      <c r="AX79" s="532"/>
      <c r="AY79" s="532"/>
      <c r="AZ79" s="532"/>
      <c r="BA79" s="532"/>
      <c r="BB79" s="532"/>
      <c r="BC79" s="532"/>
      <c r="BD79" s="532"/>
      <c r="BE79" s="532"/>
      <c r="BF79" s="532"/>
      <c r="BG79" s="532"/>
      <c r="BH79" s="532"/>
      <c r="BI79" s="532"/>
      <c r="BJ79" s="532"/>
      <c r="BK79" s="532"/>
      <c r="BL79" s="532"/>
      <c r="BM79" s="532"/>
      <c r="BN79" s="532"/>
      <c r="BO79" s="532"/>
      <c r="BP79" s="532"/>
      <c r="BQ79" s="532"/>
      <c r="BR79" s="532"/>
      <c r="BS79" s="532"/>
      <c r="BT79" s="532"/>
      <c r="BU79" s="532"/>
      <c r="BV79" s="532"/>
      <c r="BW79" s="532"/>
      <c r="BX79" s="534"/>
    </row>
    <row r="86" spans="2:63" ht="28.5">
      <c r="B86" s="488" t="s">
        <v>779</v>
      </c>
    </row>
    <row r="87" spans="2:63" ht="12" customHeight="1">
      <c r="C87" s="489" t="s">
        <v>780</v>
      </c>
    </row>
    <row r="88" spans="2:63" ht="12" customHeight="1" thickBot="1">
      <c r="C88" s="489" t="s">
        <v>781</v>
      </c>
      <c r="H88" s="8" t="s">
        <v>782</v>
      </c>
    </row>
    <row r="89" spans="2:63" ht="12" customHeight="1">
      <c r="C89" s="535"/>
      <c r="D89" s="536" t="s">
        <v>783</v>
      </c>
      <c r="E89" s="537"/>
      <c r="F89" s="537"/>
      <c r="G89" s="537"/>
      <c r="H89" s="537"/>
      <c r="I89" s="537"/>
      <c r="J89" s="537"/>
      <c r="K89" s="537"/>
      <c r="L89" s="537"/>
      <c r="M89" s="537"/>
      <c r="N89" s="537"/>
      <c r="O89" s="537"/>
      <c r="P89" s="537"/>
      <c r="Q89" s="538"/>
      <c r="R89" s="537"/>
      <c r="S89" s="537"/>
      <c r="T89" s="537"/>
      <c r="U89" s="537"/>
      <c r="V89" s="537"/>
      <c r="W89" s="537"/>
      <c r="X89" s="537"/>
      <c r="Y89" s="537"/>
      <c r="Z89" s="537"/>
      <c r="AA89" s="537"/>
      <c r="AB89" s="537"/>
      <c r="AC89" s="537"/>
      <c r="AD89" s="537"/>
      <c r="AE89" s="537"/>
      <c r="AF89" s="537"/>
      <c r="AG89" s="537"/>
      <c r="AH89" s="537"/>
      <c r="AI89" s="537"/>
      <c r="AJ89" s="537"/>
      <c r="AK89" s="537"/>
      <c r="AL89" s="537"/>
      <c r="AM89" s="537"/>
      <c r="AN89" s="537"/>
      <c r="AO89" s="537"/>
      <c r="AP89" s="537"/>
      <c r="AQ89" s="537"/>
      <c r="AR89" s="537"/>
      <c r="AS89" s="537"/>
      <c r="AT89" s="537"/>
      <c r="AU89" s="537"/>
      <c r="AV89" s="537"/>
      <c r="AW89" s="537"/>
      <c r="AX89" s="537"/>
      <c r="AY89" s="537"/>
      <c r="AZ89" s="537"/>
      <c r="BA89" s="537"/>
      <c r="BB89" s="537"/>
      <c r="BC89" s="537"/>
      <c r="BD89" s="537"/>
      <c r="BE89" s="537"/>
      <c r="BF89" s="537"/>
      <c r="BG89" s="537"/>
      <c r="BH89" s="537"/>
      <c r="BI89" s="537"/>
      <c r="BJ89" s="537"/>
      <c r="BK89" s="493"/>
    </row>
    <row r="90" spans="2:63" ht="12" customHeight="1">
      <c r="C90" s="497"/>
      <c r="Q90" s="8"/>
      <c r="BK90" s="499"/>
    </row>
    <row r="91" spans="2:63" ht="12" customHeight="1">
      <c r="C91" s="539"/>
      <c r="D91" s="540" t="s">
        <v>245</v>
      </c>
      <c r="E91" s="540"/>
      <c r="F91" s="541"/>
      <c r="G91" s="540"/>
      <c r="H91" s="542" t="s">
        <v>761</v>
      </c>
      <c r="I91" s="543"/>
      <c r="J91" s="543"/>
      <c r="K91" s="543"/>
      <c r="L91" s="543"/>
      <c r="M91" s="544"/>
      <c r="N91" s="498"/>
      <c r="O91" s="540" t="s">
        <v>244</v>
      </c>
      <c r="P91" s="540"/>
      <c r="Q91" s="541"/>
      <c r="R91" s="540"/>
      <c r="S91" s="498"/>
      <c r="T91" s="542" t="s">
        <v>774</v>
      </c>
      <c r="U91" s="543"/>
      <c r="V91" s="543"/>
      <c r="W91" s="543"/>
      <c r="X91" s="544"/>
      <c r="AA91" s="540" t="s">
        <v>784</v>
      </c>
      <c r="AB91" s="545"/>
      <c r="AC91" s="540"/>
      <c r="AE91" s="1163">
        <v>3000</v>
      </c>
      <c r="AF91" s="1164"/>
      <c r="AG91" s="1165"/>
      <c r="AJ91" s="546" t="s">
        <v>732</v>
      </c>
      <c r="AK91" s="546"/>
      <c r="AL91" s="546"/>
      <c r="AM91" s="1166">
        <v>44627</v>
      </c>
      <c r="AN91" s="1167"/>
      <c r="AO91" s="1167"/>
      <c r="AP91" s="1167"/>
      <c r="AR91" s="1168">
        <v>0.5</v>
      </c>
      <c r="AS91" s="1169"/>
      <c r="AT91" s="1169"/>
      <c r="AU91" s="1170"/>
      <c r="AV91" s="512"/>
      <c r="BK91" s="499"/>
    </row>
    <row r="92" spans="2:63" ht="12" customHeight="1">
      <c r="C92" s="539"/>
      <c r="Q92" s="8"/>
      <c r="BK92" s="499"/>
    </row>
    <row r="93" spans="2:63" ht="12" customHeight="1">
      <c r="C93" s="539"/>
      <c r="D93" s="547" t="s">
        <v>785</v>
      </c>
      <c r="E93" s="540"/>
      <c r="F93" s="547"/>
      <c r="G93" s="540"/>
      <c r="H93" s="548" t="s">
        <v>786</v>
      </c>
      <c r="I93" s="482"/>
      <c r="J93" s="482"/>
      <c r="K93" s="483"/>
      <c r="O93" s="540" t="s">
        <v>235</v>
      </c>
      <c r="P93" s="547"/>
      <c r="Q93" s="540"/>
      <c r="R93" s="547"/>
      <c r="S93" s="540"/>
      <c r="T93" s="549" t="s">
        <v>760</v>
      </c>
      <c r="U93" s="482"/>
      <c r="V93" s="482"/>
      <c r="W93" s="482"/>
      <c r="X93" s="482"/>
      <c r="Y93" s="483"/>
      <c r="AA93" s="540"/>
      <c r="AB93" s="540"/>
      <c r="AC93" s="541" t="s">
        <v>787</v>
      </c>
      <c r="AD93" s="540"/>
      <c r="AE93" s="540" t="s">
        <v>788</v>
      </c>
      <c r="AF93" s="550" t="s">
        <v>789</v>
      </c>
      <c r="AG93" s="482"/>
      <c r="AH93" s="482"/>
      <c r="AI93" s="482"/>
      <c r="AJ93" s="483"/>
      <c r="AL93" s="540" t="s">
        <v>790</v>
      </c>
      <c r="AM93" s="548"/>
      <c r="AN93" s="482"/>
      <c r="AO93" s="482"/>
      <c r="AP93" s="482"/>
      <c r="AQ93" s="483"/>
      <c r="AS93" s="540" t="s">
        <v>791</v>
      </c>
      <c r="AT93" s="548"/>
      <c r="AU93" s="482"/>
      <c r="AV93" s="482"/>
      <c r="AW93" s="482"/>
      <c r="AX93" s="483"/>
      <c r="BK93" s="499"/>
    </row>
    <row r="94" spans="2:63" ht="12" customHeight="1">
      <c r="C94" s="539"/>
      <c r="D94" s="547" t="s">
        <v>715</v>
      </c>
      <c r="E94" s="540"/>
      <c r="F94" s="547"/>
      <c r="G94" s="540"/>
      <c r="H94" s="548"/>
      <c r="I94" s="482"/>
      <c r="J94" s="482"/>
      <c r="K94" s="482"/>
      <c r="L94" s="551"/>
      <c r="M94" s="483"/>
      <c r="N94" s="552"/>
      <c r="O94" s="553" t="s">
        <v>792</v>
      </c>
      <c r="P94" s="553"/>
      <c r="Q94" s="554"/>
      <c r="R94" s="553"/>
      <c r="S94" s="555"/>
      <c r="T94" s="542" t="s">
        <v>793</v>
      </c>
      <c r="U94" s="543"/>
      <c r="V94" s="543"/>
      <c r="W94" s="543"/>
      <c r="X94" s="544"/>
      <c r="BK94" s="499"/>
    </row>
    <row r="95" spans="2:63" ht="12" customHeight="1">
      <c r="C95" s="539"/>
      <c r="D95" s="547" t="s">
        <v>697</v>
      </c>
      <c r="E95" s="540"/>
      <c r="F95" s="547"/>
      <c r="G95" s="540"/>
      <c r="H95" s="548" t="s">
        <v>794</v>
      </c>
      <c r="I95" s="482"/>
      <c r="J95" s="482"/>
      <c r="K95" s="482"/>
      <c r="L95" s="482"/>
      <c r="M95" s="483"/>
      <c r="N95" s="556"/>
      <c r="O95" s="543" t="s">
        <v>762</v>
      </c>
      <c r="P95" s="543"/>
      <c r="Q95" s="543"/>
      <c r="R95" s="543"/>
      <c r="S95" s="543"/>
      <c r="T95" s="543"/>
      <c r="U95" s="543"/>
      <c r="V95" s="544"/>
      <c r="X95" s="540" t="s">
        <v>243</v>
      </c>
      <c r="Y95" s="540"/>
      <c r="Z95" s="540"/>
      <c r="AA95" s="540"/>
      <c r="AB95" s="1166">
        <v>44628</v>
      </c>
      <c r="AC95" s="1167"/>
      <c r="AD95" s="1167"/>
      <c r="AE95" s="1167"/>
      <c r="AF95" s="483"/>
      <c r="AK95" s="510"/>
      <c r="AM95" s="557"/>
      <c r="AN95" s="557"/>
      <c r="AO95" s="557"/>
      <c r="AP95" s="557"/>
      <c r="AQ95" s="557"/>
      <c r="AR95" s="557"/>
      <c r="AS95" s="557"/>
      <c r="AT95" s="557"/>
      <c r="AU95" s="557"/>
      <c r="BK95" s="499"/>
    </row>
    <row r="96" spans="2:63" ht="12" customHeight="1">
      <c r="C96" s="539"/>
      <c r="D96" s="558" t="s">
        <v>742</v>
      </c>
      <c r="E96" s="540"/>
      <c r="F96" s="547"/>
      <c r="G96" s="540"/>
      <c r="H96" s="548" t="s">
        <v>795</v>
      </c>
      <c r="I96" s="482"/>
      <c r="J96" s="482"/>
      <c r="K96" s="482"/>
      <c r="L96" s="482"/>
      <c r="M96" s="483"/>
      <c r="O96" s="540" t="s">
        <v>796</v>
      </c>
      <c r="P96" s="540"/>
      <c r="Q96" s="540"/>
      <c r="R96" s="540"/>
      <c r="S96" s="506" t="s">
        <v>797</v>
      </c>
      <c r="T96" s="559"/>
      <c r="U96" s="559"/>
      <c r="V96" s="559"/>
      <c r="W96" s="559"/>
      <c r="X96" s="559"/>
      <c r="Y96" s="559"/>
      <c r="Z96" s="559"/>
      <c r="AA96" s="559"/>
      <c r="AB96" s="503"/>
      <c r="AC96" s="503"/>
      <c r="AD96" s="503"/>
      <c r="AE96" s="503"/>
      <c r="AF96" s="504"/>
      <c r="AI96" s="540" t="s">
        <v>798</v>
      </c>
      <c r="AJ96" s="540"/>
      <c r="AK96" s="540"/>
      <c r="AL96" s="540"/>
      <c r="AM96" s="506" t="s">
        <v>772</v>
      </c>
      <c r="AN96" s="559"/>
      <c r="AO96" s="559"/>
      <c r="AP96" s="559"/>
      <c r="AQ96" s="559"/>
      <c r="AR96" s="559"/>
      <c r="AS96" s="559"/>
      <c r="AT96" s="559"/>
      <c r="AU96" s="559"/>
      <c r="AV96" s="503"/>
      <c r="AW96" s="503"/>
      <c r="AX96" s="503"/>
      <c r="AY96" s="503"/>
      <c r="AZ96" s="504"/>
      <c r="BK96" s="499"/>
    </row>
    <row r="97" spans="3:63" ht="12" customHeight="1">
      <c r="C97" s="539"/>
      <c r="D97" s="547" t="s">
        <v>799</v>
      </c>
      <c r="E97" s="540"/>
      <c r="F97" s="547"/>
      <c r="G97" s="540"/>
      <c r="H97" s="548"/>
      <c r="I97" s="482"/>
      <c r="J97" s="482"/>
      <c r="K97" s="482"/>
      <c r="L97" s="482"/>
      <c r="M97" s="483"/>
      <c r="O97" s="540" t="s">
        <v>743</v>
      </c>
      <c r="P97" s="540"/>
      <c r="Q97" s="540"/>
      <c r="R97" s="540"/>
      <c r="S97" s="506" t="s">
        <v>800</v>
      </c>
      <c r="T97" s="559"/>
      <c r="U97" s="559"/>
      <c r="V97" s="559"/>
      <c r="W97" s="559"/>
      <c r="X97" s="559"/>
      <c r="Y97" s="559"/>
      <c r="Z97" s="559"/>
      <c r="AA97" s="559"/>
      <c r="AB97" s="503"/>
      <c r="AC97" s="503"/>
      <c r="AD97" s="503"/>
      <c r="AE97" s="503"/>
      <c r="AF97" s="504"/>
      <c r="AI97" s="540" t="s">
        <v>801</v>
      </c>
      <c r="AJ97" s="540"/>
      <c r="AK97" s="540"/>
      <c r="AL97" s="540"/>
      <c r="AM97" s="506" t="s">
        <v>772</v>
      </c>
      <c r="AN97" s="559"/>
      <c r="AO97" s="559"/>
      <c r="AP97" s="559"/>
      <c r="AQ97" s="559"/>
      <c r="AR97" s="559"/>
      <c r="AS97" s="559"/>
      <c r="AT97" s="559"/>
      <c r="AU97" s="559"/>
      <c r="AV97" s="503"/>
      <c r="AW97" s="503"/>
      <c r="AX97" s="503"/>
      <c r="AY97" s="503"/>
      <c r="AZ97" s="504"/>
      <c r="BK97" s="499"/>
    </row>
    <row r="98" spans="3:63" ht="12" customHeight="1">
      <c r="C98" s="539"/>
      <c r="D98" s="547" t="s">
        <v>802</v>
      </c>
      <c r="E98" s="540"/>
      <c r="F98" s="547"/>
      <c r="G98" s="540"/>
      <c r="H98" s="511" t="s">
        <v>763</v>
      </c>
      <c r="I98" s="503"/>
      <c r="J98" s="503"/>
      <c r="K98" s="503"/>
      <c r="L98" s="503"/>
      <c r="M98" s="504"/>
      <c r="O98" s="540" t="s">
        <v>803</v>
      </c>
      <c r="P98" s="540"/>
      <c r="Q98" s="540"/>
      <c r="R98" s="540"/>
      <c r="S98" s="506"/>
      <c r="T98" s="503"/>
      <c r="U98" s="503"/>
      <c r="V98" s="503"/>
      <c r="W98" s="503"/>
      <c r="X98" s="504"/>
      <c r="BK98" s="499"/>
    </row>
    <row r="99" spans="3:63" ht="12" customHeight="1">
      <c r="C99" s="539"/>
      <c r="D99" s="560" t="s">
        <v>804</v>
      </c>
      <c r="E99" s="540"/>
      <c r="F99" s="547"/>
      <c r="G99" s="540"/>
      <c r="H99" s="548"/>
      <c r="I99" s="482"/>
      <c r="J99" s="482"/>
      <c r="K99" s="482"/>
      <c r="L99" s="482"/>
      <c r="M99" s="483"/>
      <c r="O99" s="540" t="s">
        <v>805</v>
      </c>
      <c r="P99" s="540"/>
      <c r="Q99" s="545"/>
      <c r="R99" s="540"/>
      <c r="S99" s="548"/>
      <c r="T99" s="482"/>
      <c r="U99" s="482"/>
      <c r="V99" s="482"/>
      <c r="W99" s="482"/>
      <c r="X99" s="483"/>
      <c r="BK99" s="499"/>
    </row>
    <row r="100" spans="3:63" ht="12" customHeight="1">
      <c r="C100" s="539"/>
      <c r="BK100" s="499"/>
    </row>
    <row r="101" spans="3:63" ht="12" customHeight="1">
      <c r="C101" s="539"/>
      <c r="D101" s="540" t="s">
        <v>806</v>
      </c>
      <c r="E101" s="540"/>
      <c r="H101" s="547" t="s">
        <v>287</v>
      </c>
      <c r="I101" s="540"/>
      <c r="J101" s="540"/>
      <c r="K101" s="561"/>
      <c r="L101" s="562"/>
      <c r="M101" s="563"/>
      <c r="O101" s="540" t="s">
        <v>807</v>
      </c>
      <c r="P101" s="540"/>
      <c r="Q101" s="540"/>
      <c r="R101" s="540"/>
      <c r="S101" s="561"/>
      <c r="T101" s="562"/>
      <c r="U101" s="563"/>
      <c r="Z101" s="540" t="s">
        <v>808</v>
      </c>
      <c r="AA101" s="540"/>
      <c r="AB101" s="540"/>
      <c r="AC101" s="561"/>
      <c r="AD101" s="562"/>
      <c r="AE101" s="562"/>
      <c r="AF101" s="563"/>
      <c r="AI101" s="540"/>
      <c r="AJ101" s="540"/>
      <c r="AK101" s="540"/>
      <c r="AL101" s="540"/>
      <c r="AM101" s="541" t="s">
        <v>809</v>
      </c>
      <c r="AN101" s="561"/>
      <c r="AO101" s="562"/>
      <c r="AP101" s="562"/>
      <c r="AQ101" s="563"/>
      <c r="AR101" s="556"/>
      <c r="BK101" s="499"/>
    </row>
    <row r="102" spans="3:63" ht="12" customHeight="1">
      <c r="C102" s="539"/>
      <c r="BK102" s="499"/>
    </row>
    <row r="103" spans="3:63" ht="12" customHeight="1">
      <c r="C103" s="539"/>
      <c r="D103" s="540" t="s">
        <v>810</v>
      </c>
      <c r="E103" s="540"/>
      <c r="F103" s="540"/>
      <c r="G103" s="540"/>
      <c r="H103" s="1171" t="s">
        <v>811</v>
      </c>
      <c r="I103" s="1172"/>
      <c r="J103" s="1172"/>
      <c r="K103" s="1172"/>
      <c r="L103" s="563"/>
      <c r="BK103" s="499"/>
    </row>
    <row r="104" spans="3:63" ht="12" customHeight="1">
      <c r="C104" s="539"/>
      <c r="Q104" s="8"/>
      <c r="BK104" s="499"/>
    </row>
    <row r="105" spans="3:63" ht="12" customHeight="1">
      <c r="C105" s="497"/>
      <c r="D105" s="566" t="s">
        <v>812</v>
      </c>
      <c r="E105" s="515"/>
      <c r="F105" s="515"/>
      <c r="G105" s="515"/>
      <c r="H105" s="515"/>
      <c r="I105" s="515"/>
      <c r="Q105" s="8"/>
      <c r="BK105" s="499"/>
    </row>
    <row r="106" spans="3:63" ht="12" customHeight="1">
      <c r="C106" s="497"/>
      <c r="D106" s="540" t="s">
        <v>813</v>
      </c>
      <c r="E106" s="540"/>
      <c r="F106" s="540"/>
      <c r="G106" s="540"/>
      <c r="H106" s="540"/>
      <c r="I106" s="540"/>
      <c r="J106" s="1173" t="s">
        <v>814</v>
      </c>
      <c r="K106" s="1174"/>
      <c r="O106" s="540" t="s">
        <v>815</v>
      </c>
      <c r="P106" s="540"/>
      <c r="Q106" s="545"/>
      <c r="R106" s="540"/>
      <c r="S106" s="540"/>
      <c r="T106" s="540"/>
      <c r="U106" s="540"/>
      <c r="V106" s="540"/>
      <c r="W106" s="540"/>
      <c r="X106" s="540"/>
      <c r="Z106" s="540" t="s">
        <v>816</v>
      </c>
      <c r="AA106" s="540"/>
      <c r="AB106" s="540"/>
      <c r="AC106" s="540"/>
      <c r="AD106" s="540"/>
      <c r="AE106" s="540"/>
      <c r="AF106" s="540"/>
      <c r="AG106" s="540"/>
      <c r="AI106" s="540" t="s">
        <v>817</v>
      </c>
      <c r="AJ106" s="540"/>
      <c r="AK106" s="540"/>
      <c r="AL106" s="540"/>
      <c r="AM106" s="540"/>
      <c r="AN106" s="540"/>
      <c r="AO106" s="540"/>
      <c r="AP106" s="540"/>
      <c r="AQ106" s="540"/>
      <c r="AR106" s="540"/>
      <c r="AT106" s="540" t="s">
        <v>818</v>
      </c>
      <c r="AU106" s="540"/>
      <c r="AV106" s="540"/>
      <c r="AW106" s="540"/>
      <c r="AX106" s="540"/>
      <c r="AY106" s="540"/>
      <c r="AZ106" s="540"/>
      <c r="BA106" s="540"/>
      <c r="BB106" s="540"/>
      <c r="BC106" s="540"/>
      <c r="BK106" s="499"/>
    </row>
    <row r="107" spans="3:63" ht="12" customHeight="1">
      <c r="C107" s="497"/>
      <c r="D107" s="540"/>
      <c r="E107" s="540"/>
      <c r="F107" s="540" t="s">
        <v>819</v>
      </c>
      <c r="G107" s="540"/>
      <c r="H107" s="540"/>
      <c r="I107" s="540"/>
      <c r="J107" s="1160" t="s">
        <v>820</v>
      </c>
      <c r="K107" s="1161"/>
      <c r="L107" s="1150"/>
      <c r="M107" s="1162"/>
      <c r="N107" s="556"/>
      <c r="O107" s="543" t="s">
        <v>821</v>
      </c>
      <c r="P107" s="543"/>
      <c r="Q107" s="543"/>
      <c r="R107" s="543"/>
      <c r="S107" s="543"/>
      <c r="T107" s="543"/>
      <c r="U107" s="543"/>
      <c r="V107" s="543"/>
      <c r="W107" s="543"/>
      <c r="X107" s="544"/>
      <c r="Y107" s="498"/>
      <c r="Z107" s="1151" t="s">
        <v>822</v>
      </c>
      <c r="AA107" s="1152"/>
      <c r="AB107" s="1152"/>
      <c r="AC107" s="1153"/>
      <c r="AD107" s="556"/>
      <c r="AE107" s="543"/>
      <c r="AF107" s="543"/>
      <c r="AG107" s="544"/>
      <c r="AH107" s="498"/>
      <c r="AI107" s="1151" t="s">
        <v>823</v>
      </c>
      <c r="AJ107" s="1150"/>
      <c r="AK107" s="1150"/>
      <c r="AL107" s="1162"/>
      <c r="AM107" s="556"/>
      <c r="AN107" s="543"/>
      <c r="AO107" s="543"/>
      <c r="AP107" s="543"/>
      <c r="AQ107" s="543"/>
      <c r="AR107" s="544"/>
      <c r="AT107" s="1151"/>
      <c r="AU107" s="1150"/>
      <c r="AV107" s="1150"/>
      <c r="AW107" s="1162"/>
      <c r="AX107" s="556"/>
      <c r="AY107" s="543"/>
      <c r="AZ107" s="543"/>
      <c r="BA107" s="543"/>
      <c r="BB107" s="543"/>
      <c r="BC107" s="544"/>
      <c r="BK107" s="499"/>
    </row>
    <row r="108" spans="3:63" ht="12" customHeight="1">
      <c r="C108" s="497"/>
      <c r="D108" s="540"/>
      <c r="E108" s="540"/>
      <c r="F108" s="540" t="s">
        <v>824</v>
      </c>
      <c r="G108" s="540"/>
      <c r="H108" s="540"/>
      <c r="I108" s="540"/>
      <c r="J108" s="1149" t="s">
        <v>825</v>
      </c>
      <c r="K108" s="1150"/>
      <c r="L108" s="1150"/>
      <c r="M108" s="1162"/>
      <c r="N108" s="556"/>
      <c r="O108" s="543" t="s">
        <v>826</v>
      </c>
      <c r="P108" s="543"/>
      <c r="Q108" s="543"/>
      <c r="R108" s="543"/>
      <c r="S108" s="543"/>
      <c r="T108" s="543"/>
      <c r="U108" s="543"/>
      <c r="V108" s="543"/>
      <c r="W108" s="543"/>
      <c r="X108" s="544"/>
      <c r="Y108" s="498"/>
      <c r="Z108" s="1151" t="s">
        <v>822</v>
      </c>
      <c r="AA108" s="1152"/>
      <c r="AB108" s="1152"/>
      <c r="AC108" s="1153"/>
      <c r="AD108" s="556"/>
      <c r="AE108" s="543"/>
      <c r="AF108" s="543"/>
      <c r="AG108" s="544"/>
      <c r="AH108" s="498"/>
      <c r="AI108" s="1151" t="s">
        <v>823</v>
      </c>
      <c r="AJ108" s="1150"/>
      <c r="AK108" s="1150"/>
      <c r="AL108" s="1162"/>
      <c r="AM108" s="556"/>
      <c r="AN108" s="543"/>
      <c r="AO108" s="543"/>
      <c r="AP108" s="543"/>
      <c r="AQ108" s="543"/>
      <c r="AR108" s="544"/>
      <c r="AT108" s="1151"/>
      <c r="AU108" s="1150"/>
      <c r="AV108" s="1150"/>
      <c r="AW108" s="1162"/>
      <c r="AX108" s="556"/>
      <c r="AY108" s="543"/>
      <c r="AZ108" s="543"/>
      <c r="BA108" s="543"/>
      <c r="BB108" s="543"/>
      <c r="BC108" s="544"/>
      <c r="BK108" s="499"/>
    </row>
    <row r="109" spans="3:63" ht="12" customHeight="1">
      <c r="C109" s="497"/>
      <c r="D109" s="540"/>
      <c r="E109" s="540"/>
      <c r="F109" s="540" t="s">
        <v>827</v>
      </c>
      <c r="G109" s="540"/>
      <c r="H109" s="540"/>
      <c r="I109" s="540"/>
      <c r="J109" s="1149" t="s">
        <v>1257</v>
      </c>
      <c r="K109" s="1150"/>
      <c r="L109" s="1150"/>
      <c r="M109" s="1150"/>
      <c r="N109" s="556"/>
      <c r="O109" s="543" t="s">
        <v>829</v>
      </c>
      <c r="P109" s="543"/>
      <c r="Q109" s="543"/>
      <c r="R109" s="543"/>
      <c r="S109" s="543"/>
      <c r="T109" s="543"/>
      <c r="U109" s="543"/>
      <c r="V109" s="543"/>
      <c r="W109" s="543"/>
      <c r="X109" s="544"/>
      <c r="Y109" s="498"/>
      <c r="Z109" s="1151" t="s">
        <v>830</v>
      </c>
      <c r="AA109" s="1152"/>
      <c r="AB109" s="1152"/>
      <c r="AC109" s="1153"/>
      <c r="AD109" s="556"/>
      <c r="AE109" s="543"/>
      <c r="AF109" s="543"/>
      <c r="AG109" s="544"/>
      <c r="AH109" s="498"/>
      <c r="AI109" s="1151" t="s">
        <v>823</v>
      </c>
      <c r="AJ109" s="1150"/>
      <c r="AK109" s="1150"/>
      <c r="AL109" s="1150"/>
      <c r="AM109" s="556"/>
      <c r="AN109" s="543"/>
      <c r="AO109" s="543"/>
      <c r="AP109" s="543"/>
      <c r="AQ109" s="543"/>
      <c r="AR109" s="544"/>
      <c r="AT109" s="1151"/>
      <c r="AU109" s="1150"/>
      <c r="AV109" s="1150"/>
      <c r="AW109" s="1150"/>
      <c r="AX109" s="556"/>
      <c r="AY109" s="543"/>
      <c r="AZ109" s="543"/>
      <c r="BA109" s="543"/>
      <c r="BB109" s="543"/>
      <c r="BC109" s="544"/>
      <c r="BK109" s="499"/>
    </row>
    <row r="110" spans="3:63" ht="12" customHeight="1">
      <c r="C110" s="497"/>
      <c r="D110" s="540" t="s">
        <v>831</v>
      </c>
      <c r="E110" s="540"/>
      <c r="F110" s="540"/>
      <c r="G110" s="540"/>
      <c r="H110" s="540"/>
      <c r="I110" s="540"/>
      <c r="J110" s="549"/>
      <c r="K110" s="543"/>
      <c r="L110" s="543"/>
      <c r="M110" s="543"/>
      <c r="N110" s="544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  <c r="AA110" s="567"/>
      <c r="AB110" s="567"/>
      <c r="AC110" s="567"/>
      <c r="AD110" s="567"/>
      <c r="AE110" s="567"/>
      <c r="AF110" s="567"/>
      <c r="AG110" s="567"/>
      <c r="AH110" s="567"/>
      <c r="AI110" s="567"/>
      <c r="AJ110" s="567"/>
      <c r="AK110" s="567"/>
      <c r="AL110" s="567"/>
      <c r="AM110" s="567"/>
      <c r="AN110" s="567"/>
      <c r="AO110" s="567"/>
      <c r="AP110" s="567"/>
      <c r="AQ110" s="567"/>
      <c r="AR110" s="567"/>
      <c r="AS110" s="567"/>
      <c r="AT110" s="567"/>
      <c r="AV110" s="567"/>
      <c r="AW110" s="567"/>
      <c r="AX110" s="567"/>
      <c r="AY110" s="567"/>
      <c r="AZ110" s="567"/>
      <c r="BK110" s="499"/>
    </row>
    <row r="111" spans="3:63" ht="12" customHeight="1">
      <c r="C111" s="497"/>
      <c r="D111" s="540" t="s">
        <v>832</v>
      </c>
      <c r="E111" s="540"/>
      <c r="F111" s="540"/>
      <c r="G111" s="540"/>
      <c r="H111" s="540"/>
      <c r="I111" s="540"/>
      <c r="J111" s="1143" t="s">
        <v>833</v>
      </c>
      <c r="K111" s="1144"/>
      <c r="L111" s="1144"/>
      <c r="M111" s="1145"/>
      <c r="N111" s="498"/>
      <c r="Q111" s="8"/>
      <c r="BK111" s="499"/>
    </row>
    <row r="112" spans="3:63" ht="12" customHeight="1">
      <c r="C112" s="497"/>
      <c r="D112" s="540" t="s">
        <v>834</v>
      </c>
      <c r="E112" s="540"/>
      <c r="F112" s="540"/>
      <c r="G112" s="540"/>
      <c r="H112" s="540"/>
      <c r="I112" s="540"/>
      <c r="J112" s="498" t="s">
        <v>835</v>
      </c>
      <c r="K112" s="498"/>
      <c r="L112" s="1154">
        <v>790</v>
      </c>
      <c r="M112" s="1155"/>
      <c r="N112" s="1156"/>
      <c r="P112" s="8" t="s">
        <v>836</v>
      </c>
      <c r="Q112" s="8"/>
      <c r="R112" s="1154">
        <v>990</v>
      </c>
      <c r="S112" s="1155"/>
      <c r="T112" s="1156"/>
      <c r="V112" s="540" t="s">
        <v>837</v>
      </c>
      <c r="W112" s="540"/>
      <c r="X112" s="540"/>
      <c r="Z112" s="8" t="s">
        <v>838</v>
      </c>
      <c r="AB112" s="1157">
        <v>10</v>
      </c>
      <c r="AC112" s="1158"/>
      <c r="AD112" s="1159"/>
      <c r="AF112" s="8" t="s">
        <v>839</v>
      </c>
      <c r="AH112" s="1154">
        <v>10</v>
      </c>
      <c r="AI112" s="1155"/>
      <c r="AJ112" s="1156"/>
      <c r="BK112" s="499"/>
    </row>
    <row r="113" spans="3:90" ht="12" customHeight="1">
      <c r="C113" s="497"/>
      <c r="D113" s="540" t="s">
        <v>840</v>
      </c>
      <c r="E113" s="540"/>
      <c r="F113" s="540"/>
      <c r="G113" s="540"/>
      <c r="H113" s="540"/>
      <c r="I113" s="540"/>
      <c r="J113" s="498" t="s">
        <v>835</v>
      </c>
      <c r="K113" s="498"/>
      <c r="L113" s="573" t="s">
        <v>841</v>
      </c>
      <c r="M113" s="543"/>
      <c r="N113" s="544"/>
      <c r="P113" s="8" t="s">
        <v>836</v>
      </c>
      <c r="Q113" s="8"/>
      <c r="R113" s="1140">
        <v>1000</v>
      </c>
      <c r="S113" s="1141"/>
      <c r="T113" s="1142"/>
      <c r="U113" s="8" t="s">
        <v>842</v>
      </c>
      <c r="BK113" s="499"/>
    </row>
    <row r="114" spans="3:90" ht="12" customHeight="1">
      <c r="C114" s="497"/>
      <c r="D114" s="540" t="s">
        <v>843</v>
      </c>
      <c r="E114" s="540"/>
      <c r="F114" s="540"/>
      <c r="G114" s="540"/>
      <c r="H114" s="540"/>
      <c r="I114" s="540"/>
      <c r="J114" s="498" t="s">
        <v>835</v>
      </c>
      <c r="K114" s="498"/>
      <c r="L114" s="573" t="s">
        <v>841</v>
      </c>
      <c r="M114" s="543"/>
      <c r="N114" s="544"/>
      <c r="Q114" s="8"/>
      <c r="R114" s="498"/>
      <c r="S114" s="498"/>
      <c r="T114" s="498"/>
      <c r="BK114" s="499"/>
    </row>
    <row r="115" spans="3:90" ht="12" customHeight="1">
      <c r="C115" s="497"/>
      <c r="D115" s="540" t="s">
        <v>844</v>
      </c>
      <c r="E115" s="540"/>
      <c r="F115" s="540"/>
      <c r="G115" s="540"/>
      <c r="H115" s="540"/>
      <c r="I115" s="540"/>
      <c r="J115" s="1143" t="s">
        <v>152</v>
      </c>
      <c r="K115" s="1144"/>
      <c r="L115" s="1144"/>
      <c r="M115" s="1144"/>
      <c r="N115" s="1145"/>
      <c r="BK115" s="499"/>
    </row>
    <row r="116" spans="3:90" ht="12" customHeight="1">
      <c r="C116" s="497"/>
      <c r="D116" s="540" t="s">
        <v>722</v>
      </c>
      <c r="E116" s="540"/>
      <c r="F116" s="540"/>
      <c r="G116" s="540"/>
      <c r="H116" s="540"/>
      <c r="I116" s="540"/>
      <c r="J116" s="1146">
        <v>5000</v>
      </c>
      <c r="K116" s="1147"/>
      <c r="L116" s="1147"/>
      <c r="M116" s="1147"/>
      <c r="N116" s="1148"/>
      <c r="P116" s="540" t="s">
        <v>845</v>
      </c>
      <c r="Q116" s="540"/>
      <c r="R116" s="540"/>
      <c r="S116" s="540"/>
      <c r="T116" s="568"/>
      <c r="U116" s="569"/>
      <c r="V116" s="569"/>
      <c r="W116" s="569" t="s">
        <v>846</v>
      </c>
      <c r="X116" s="574"/>
      <c r="Z116" s="540" t="s">
        <v>847</v>
      </c>
      <c r="AA116" s="540"/>
      <c r="AB116" s="540"/>
      <c r="AC116" s="540"/>
      <c r="AD116" s="568"/>
      <c r="AE116" s="569"/>
      <c r="AF116" s="1144">
        <v>100</v>
      </c>
      <c r="AG116" s="1145"/>
      <c r="AH116" s="575"/>
      <c r="AI116" s="540" t="s">
        <v>848</v>
      </c>
      <c r="AJ116" s="540"/>
      <c r="AK116" s="540"/>
      <c r="AL116" s="540"/>
      <c r="AM116" s="568"/>
      <c r="AN116" s="569"/>
      <c r="AO116" s="569"/>
      <c r="AP116" s="569"/>
      <c r="AQ116" s="570"/>
      <c r="AT116" s="540" t="s">
        <v>849</v>
      </c>
      <c r="AU116" s="540"/>
      <c r="AV116" s="540"/>
      <c r="AW116" s="540"/>
      <c r="AX116" s="540"/>
      <c r="AY116" s="576"/>
      <c r="AZ116" s="577"/>
      <c r="BA116" s="577"/>
      <c r="BB116" s="577" t="s">
        <v>846</v>
      </c>
      <c r="BC116" s="578"/>
      <c r="BE116" s="8" t="s">
        <v>850</v>
      </c>
      <c r="BF116" s="10"/>
      <c r="BH116" s="10"/>
      <c r="BK116" s="499"/>
    </row>
    <row r="117" spans="3:90" ht="12" customHeight="1">
      <c r="C117" s="497"/>
      <c r="D117" s="498"/>
      <c r="E117" s="498"/>
      <c r="F117" s="498"/>
      <c r="G117" s="498"/>
      <c r="H117" s="498"/>
      <c r="I117" s="498"/>
      <c r="J117" s="891"/>
      <c r="K117" s="891"/>
      <c r="L117" s="891"/>
      <c r="M117" s="891"/>
      <c r="N117" s="498"/>
      <c r="O117" s="498"/>
      <c r="P117" s="498"/>
      <c r="Q117" s="498"/>
      <c r="R117" s="498"/>
      <c r="S117" s="498"/>
      <c r="T117" s="498"/>
      <c r="U117" s="498"/>
      <c r="V117" s="498"/>
      <c r="W117" s="498"/>
      <c r="X117" s="498"/>
      <c r="Y117" s="498"/>
      <c r="Z117" s="498"/>
      <c r="AA117" s="498"/>
      <c r="AB117" s="498"/>
      <c r="AC117" s="498"/>
      <c r="AD117" s="498"/>
      <c r="AE117" s="498"/>
      <c r="AF117" s="498"/>
      <c r="AG117" s="498"/>
      <c r="AH117" s="498"/>
      <c r="AN117" s="498"/>
      <c r="AO117" s="498"/>
      <c r="AP117" s="498"/>
      <c r="AQ117" s="498"/>
      <c r="AR117" s="498"/>
      <c r="AS117" s="498"/>
      <c r="AT117" s="498"/>
      <c r="AU117" s="498"/>
      <c r="AV117" s="498"/>
      <c r="AW117" s="498"/>
      <c r="AX117" s="498"/>
      <c r="AY117" s="498"/>
      <c r="AZ117" s="498"/>
      <c r="BA117" s="498"/>
      <c r="BI117" s="498"/>
      <c r="BK117" s="499"/>
    </row>
    <row r="118" spans="3:90" ht="12" customHeight="1">
      <c r="C118" s="497"/>
      <c r="D118" s="566" t="s">
        <v>851</v>
      </c>
      <c r="E118" s="515"/>
      <c r="F118" s="515"/>
      <c r="G118" s="515"/>
      <c r="H118" s="515"/>
      <c r="I118" s="515"/>
      <c r="Q118" s="8"/>
      <c r="BF118" s="10"/>
      <c r="BH118" s="10"/>
      <c r="BK118" s="499"/>
    </row>
    <row r="119" spans="3:90" ht="12" customHeight="1">
      <c r="C119" s="497"/>
      <c r="D119" s="540" t="s">
        <v>852</v>
      </c>
      <c r="E119" s="540"/>
      <c r="F119" s="540"/>
      <c r="G119" s="540"/>
      <c r="H119" s="540"/>
      <c r="I119" s="540"/>
      <c r="J119" s="580" t="s">
        <v>718</v>
      </c>
      <c r="K119" s="562"/>
      <c r="L119" s="562"/>
      <c r="M119" s="562"/>
      <c r="N119" s="562"/>
      <c r="O119" s="542"/>
      <c r="P119" s="543" t="s">
        <v>853</v>
      </c>
      <c r="Q119" s="543"/>
      <c r="R119" s="543"/>
      <c r="S119" s="543"/>
      <c r="T119" s="543"/>
      <c r="U119" s="543"/>
      <c r="V119" s="569"/>
      <c r="W119" s="569"/>
      <c r="X119" s="569"/>
      <c r="Y119" s="575"/>
      <c r="Z119" s="540" t="s">
        <v>854</v>
      </c>
      <c r="AA119" s="540"/>
      <c r="AB119" s="540"/>
      <c r="AC119" s="540"/>
      <c r="AD119" s="581"/>
      <c r="AE119" s="581"/>
      <c r="AF119" s="581" t="s">
        <v>846</v>
      </c>
      <c r="AG119" s="574"/>
      <c r="AH119" s="498"/>
      <c r="AI119" s="540" t="s">
        <v>855</v>
      </c>
      <c r="AJ119" s="540"/>
      <c r="AK119" s="540"/>
      <c r="AL119" s="540"/>
      <c r="AM119" s="564"/>
      <c r="AN119" s="565"/>
      <c r="AO119" s="565"/>
      <c r="AP119" s="565"/>
      <c r="AQ119" s="582" t="s">
        <v>856</v>
      </c>
      <c r="AT119" s="540" t="s">
        <v>849</v>
      </c>
      <c r="AU119" s="540"/>
      <c r="AV119" s="540"/>
      <c r="AW119" s="540"/>
      <c r="AX119" s="540"/>
      <c r="AY119" s="583"/>
      <c r="AZ119" s="584"/>
      <c r="BA119" s="584"/>
      <c r="BB119" s="581" t="s">
        <v>846</v>
      </c>
      <c r="BC119" s="578"/>
      <c r="BK119" s="499"/>
      <c r="CL119" s="500" t="s">
        <v>857</v>
      </c>
    </row>
    <row r="120" spans="3:90" ht="12" customHeight="1">
      <c r="C120" s="497"/>
      <c r="D120" s="498"/>
      <c r="E120" s="498"/>
      <c r="F120" s="498"/>
      <c r="G120" s="498"/>
      <c r="H120" s="498"/>
      <c r="I120" s="498"/>
      <c r="J120" s="891"/>
      <c r="K120" s="891"/>
      <c r="L120" s="891"/>
      <c r="M120" s="891"/>
      <c r="N120" s="498"/>
      <c r="O120" s="498"/>
      <c r="P120" s="498"/>
      <c r="Q120" s="498"/>
      <c r="R120" s="498"/>
      <c r="S120" s="498"/>
      <c r="T120" s="498"/>
      <c r="U120" s="498"/>
      <c r="V120" s="498"/>
      <c r="W120" s="498"/>
      <c r="X120" s="498"/>
      <c r="Y120" s="498"/>
      <c r="Z120" s="498"/>
      <c r="AA120" s="498"/>
      <c r="AB120" s="498"/>
      <c r="AC120" s="498"/>
      <c r="AD120" s="498"/>
      <c r="AE120" s="498"/>
      <c r="AF120" s="498"/>
      <c r="AG120" s="498"/>
      <c r="AH120" s="498"/>
      <c r="AN120" s="498"/>
      <c r="AO120" s="498"/>
      <c r="AP120" s="498"/>
      <c r="AQ120" s="498"/>
      <c r="AR120" s="498"/>
      <c r="AS120" s="498"/>
      <c r="AT120" s="498"/>
      <c r="AU120" s="498"/>
      <c r="AV120" s="498"/>
      <c r="AW120" s="498"/>
      <c r="AX120" s="498"/>
      <c r="AY120" s="498"/>
      <c r="AZ120" s="498"/>
      <c r="BA120" s="498"/>
      <c r="BI120" s="498"/>
      <c r="BK120" s="499"/>
    </row>
    <row r="121" spans="3:90" ht="12" customHeight="1">
      <c r="C121" s="497"/>
      <c r="D121" s="566" t="s">
        <v>858</v>
      </c>
      <c r="E121" s="515"/>
      <c r="F121" s="515"/>
      <c r="G121" s="515"/>
      <c r="H121" s="515"/>
      <c r="I121" s="515"/>
      <c r="BB121" s="498"/>
      <c r="BC121" s="498"/>
      <c r="BD121" s="498"/>
      <c r="BE121" s="498"/>
      <c r="BF121" s="498"/>
      <c r="BG121" s="498"/>
      <c r="BH121" s="498"/>
      <c r="BI121" s="498"/>
      <c r="BK121" s="499"/>
    </row>
    <row r="122" spans="3:90" ht="12" customHeight="1">
      <c r="C122" s="497"/>
      <c r="D122" s="540" t="s">
        <v>859</v>
      </c>
      <c r="E122" s="540"/>
      <c r="F122" s="540"/>
      <c r="G122" s="540"/>
      <c r="H122" s="540"/>
      <c r="I122" s="540"/>
      <c r="J122" s="511" t="s">
        <v>860</v>
      </c>
      <c r="K122" s="503"/>
      <c r="L122" s="503"/>
      <c r="M122" s="503"/>
      <c r="N122" s="503"/>
      <c r="O122" s="503"/>
      <c r="P122" s="503"/>
      <c r="Q122" s="503"/>
      <c r="R122" s="503"/>
      <c r="S122" s="503"/>
      <c r="T122" s="503"/>
      <c r="U122" s="503"/>
      <c r="V122" s="503"/>
      <c r="W122" s="503"/>
      <c r="X122" s="503"/>
      <c r="Y122" s="503"/>
      <c r="Z122" s="503"/>
      <c r="AA122" s="504"/>
      <c r="AD122" s="540" t="s">
        <v>861</v>
      </c>
      <c r="AE122" s="540"/>
      <c r="AF122" s="540"/>
      <c r="AG122" s="540"/>
      <c r="AH122" s="540"/>
      <c r="AI122" s="540"/>
      <c r="AJ122" s="511" t="s">
        <v>862</v>
      </c>
      <c r="AK122" s="503"/>
      <c r="AL122" s="503"/>
      <c r="AM122" s="503"/>
      <c r="AN122" s="503"/>
      <c r="AO122" s="503"/>
      <c r="AP122" s="503"/>
      <c r="AQ122" s="503"/>
      <c r="AR122" s="503"/>
      <c r="AS122" s="503"/>
      <c r="AT122" s="503"/>
      <c r="AU122" s="503"/>
      <c r="AV122" s="503"/>
      <c r="AW122" s="503"/>
      <c r="AX122" s="503"/>
      <c r="AY122" s="503"/>
      <c r="AZ122" s="503"/>
      <c r="BA122" s="504"/>
      <c r="BB122" s="498"/>
      <c r="BC122" s="498"/>
      <c r="BD122" s="498"/>
      <c r="BE122" s="498"/>
      <c r="BF122" s="498"/>
      <c r="BG122" s="498"/>
      <c r="BH122" s="498"/>
      <c r="BI122" s="498"/>
      <c r="BK122" s="499"/>
    </row>
    <row r="123" spans="3:90" ht="12" customHeight="1">
      <c r="C123" s="497"/>
      <c r="D123" s="540" t="s">
        <v>863</v>
      </c>
      <c r="E123" s="540"/>
      <c r="F123" s="540"/>
      <c r="G123" s="540"/>
      <c r="H123" s="540"/>
      <c r="I123" s="540"/>
      <c r="J123" s="511" t="s">
        <v>862</v>
      </c>
      <c r="K123" s="503"/>
      <c r="L123" s="503"/>
      <c r="M123" s="503"/>
      <c r="N123" s="503"/>
      <c r="O123" s="503"/>
      <c r="P123" s="503"/>
      <c r="Q123" s="503"/>
      <c r="R123" s="503"/>
      <c r="S123" s="503"/>
      <c r="T123" s="503"/>
      <c r="U123" s="503"/>
      <c r="V123" s="503"/>
      <c r="W123" s="503"/>
      <c r="X123" s="503"/>
      <c r="Y123" s="503"/>
      <c r="Z123" s="503"/>
      <c r="AA123" s="504"/>
      <c r="AD123" s="540" t="s">
        <v>864</v>
      </c>
      <c r="AE123" s="540"/>
      <c r="AF123" s="540"/>
      <c r="AG123" s="540"/>
      <c r="AH123" s="540"/>
      <c r="AI123" s="540"/>
      <c r="AJ123" s="511"/>
      <c r="AK123" s="503"/>
      <c r="AL123" s="503"/>
      <c r="AM123" s="503"/>
      <c r="AN123" s="503"/>
      <c r="AO123" s="503"/>
      <c r="AP123" s="503"/>
      <c r="AQ123" s="503"/>
      <c r="AR123" s="503"/>
      <c r="AS123" s="503"/>
      <c r="AT123" s="503"/>
      <c r="AU123" s="503"/>
      <c r="AV123" s="503"/>
      <c r="AW123" s="503"/>
      <c r="AX123" s="503"/>
      <c r="AY123" s="503"/>
      <c r="AZ123" s="503"/>
      <c r="BA123" s="504"/>
      <c r="BB123" s="498"/>
      <c r="BC123" s="498"/>
      <c r="BD123" s="498"/>
      <c r="BE123" s="498"/>
      <c r="BF123" s="498"/>
      <c r="BG123" s="498"/>
      <c r="BH123" s="498"/>
      <c r="BI123" s="498"/>
      <c r="BK123" s="499"/>
    </row>
    <row r="124" spans="3:90" ht="12" customHeight="1">
      <c r="C124" s="497"/>
      <c r="D124" s="540" t="s">
        <v>865</v>
      </c>
      <c r="E124" s="540"/>
      <c r="F124" s="540"/>
      <c r="G124" s="540"/>
      <c r="H124" s="540"/>
      <c r="I124" s="540"/>
      <c r="J124" s="511" t="s">
        <v>866</v>
      </c>
      <c r="K124" s="503"/>
      <c r="L124" s="503"/>
      <c r="M124" s="503"/>
      <c r="N124" s="503"/>
      <c r="O124" s="503"/>
      <c r="P124" s="503"/>
      <c r="Q124" s="503"/>
      <c r="R124" s="503"/>
      <c r="S124" s="503"/>
      <c r="T124" s="503"/>
      <c r="U124" s="503"/>
      <c r="V124" s="503"/>
      <c r="W124" s="503"/>
      <c r="X124" s="503"/>
      <c r="Y124" s="503"/>
      <c r="Z124" s="503"/>
      <c r="AA124" s="504"/>
      <c r="AD124" s="540" t="s">
        <v>867</v>
      </c>
      <c r="AE124" s="540"/>
      <c r="AF124" s="540"/>
      <c r="AG124" s="540"/>
      <c r="AH124" s="540"/>
      <c r="AI124" s="540"/>
      <c r="AJ124" s="511" t="s">
        <v>868</v>
      </c>
      <c r="AK124" s="503"/>
      <c r="AL124" s="503"/>
      <c r="AM124" s="503"/>
      <c r="AN124" s="503"/>
      <c r="AO124" s="503"/>
      <c r="AP124" s="503"/>
      <c r="AQ124" s="503"/>
      <c r="AR124" s="503"/>
      <c r="AS124" s="503"/>
      <c r="AT124" s="503"/>
      <c r="AU124" s="503"/>
      <c r="AV124" s="503"/>
      <c r="AW124" s="503"/>
      <c r="AX124" s="503"/>
      <c r="AY124" s="503"/>
      <c r="AZ124" s="503"/>
      <c r="BA124" s="504"/>
      <c r="BB124" s="498"/>
      <c r="BC124" s="498"/>
      <c r="BD124" s="498"/>
      <c r="BE124" s="498"/>
      <c r="BF124" s="498"/>
      <c r="BG124" s="498"/>
      <c r="BH124" s="498"/>
      <c r="BI124" s="498"/>
      <c r="BK124" s="499"/>
    </row>
    <row r="125" spans="3:90" ht="12" customHeight="1">
      <c r="C125" s="497"/>
      <c r="D125" s="540" t="s">
        <v>869</v>
      </c>
      <c r="E125" s="540"/>
      <c r="F125" s="540"/>
      <c r="G125" s="540"/>
      <c r="H125" s="540"/>
      <c r="I125" s="540"/>
      <c r="J125" s="511"/>
      <c r="K125" s="503"/>
      <c r="L125" s="503"/>
      <c r="M125" s="503"/>
      <c r="N125" s="503"/>
      <c r="O125" s="503"/>
      <c r="P125" s="503"/>
      <c r="Q125" s="503"/>
      <c r="R125" s="503"/>
      <c r="S125" s="503"/>
      <c r="T125" s="503"/>
      <c r="U125" s="503"/>
      <c r="V125" s="503"/>
      <c r="W125" s="503"/>
      <c r="X125" s="503"/>
      <c r="Y125" s="503"/>
      <c r="Z125" s="585" t="s">
        <v>870</v>
      </c>
      <c r="AA125" s="504"/>
      <c r="AD125" s="498"/>
      <c r="AE125" s="498"/>
      <c r="AF125" s="498"/>
      <c r="AG125" s="498"/>
      <c r="AH125" s="498"/>
      <c r="AI125" s="498"/>
      <c r="AJ125" s="586"/>
      <c r="AK125" s="586"/>
      <c r="AL125" s="586"/>
      <c r="AM125" s="586"/>
      <c r="AN125" s="586"/>
      <c r="AO125" s="586"/>
      <c r="AP125" s="586"/>
      <c r="AQ125" s="586"/>
      <c r="AR125" s="586"/>
      <c r="AS125" s="586"/>
      <c r="AT125" s="586"/>
      <c r="AU125" s="586"/>
      <c r="AV125" s="586"/>
      <c r="AW125" s="586"/>
      <c r="AX125" s="586"/>
      <c r="AY125" s="586"/>
      <c r="AZ125" s="587"/>
      <c r="BA125" s="586"/>
      <c r="BB125" s="498"/>
      <c r="BC125" s="498"/>
      <c r="BD125" s="498"/>
      <c r="BE125" s="498"/>
      <c r="BF125" s="498"/>
      <c r="BG125" s="498"/>
      <c r="BH125" s="498"/>
      <c r="BI125" s="498"/>
      <c r="BK125" s="499"/>
    </row>
    <row r="126" spans="3:90" ht="12" customHeight="1">
      <c r="C126" s="497"/>
      <c r="D126" s="498"/>
      <c r="E126" s="498"/>
      <c r="F126" s="498"/>
      <c r="G126" s="498"/>
      <c r="H126" s="498"/>
      <c r="I126" s="498"/>
      <c r="J126" s="498"/>
      <c r="K126" s="498"/>
      <c r="L126" s="498"/>
      <c r="M126" s="498"/>
      <c r="N126" s="498"/>
      <c r="O126" s="498"/>
      <c r="P126" s="498"/>
      <c r="Q126" s="498"/>
      <c r="R126" s="498"/>
      <c r="S126" s="498"/>
      <c r="T126" s="498"/>
      <c r="U126" s="498"/>
      <c r="V126" s="498"/>
      <c r="W126" s="498"/>
      <c r="X126" s="498"/>
      <c r="Y126" s="498"/>
      <c r="Z126" s="498"/>
      <c r="AA126" s="498"/>
      <c r="AB126" s="498"/>
      <c r="AC126" s="498"/>
      <c r="AD126" s="498"/>
      <c r="AE126" s="498"/>
      <c r="AF126" s="498"/>
      <c r="AG126" s="498"/>
      <c r="AH126" s="498"/>
      <c r="AI126" s="498"/>
      <c r="AJ126" s="498"/>
      <c r="AK126" s="498"/>
      <c r="AL126" s="498"/>
      <c r="AM126" s="498"/>
      <c r="AN126" s="498"/>
      <c r="AO126" s="498"/>
      <c r="AP126" s="498"/>
      <c r="AQ126" s="498"/>
      <c r="AR126" s="498"/>
      <c r="AS126" s="498"/>
      <c r="AT126" s="498"/>
      <c r="AU126" s="498"/>
      <c r="AV126" s="498"/>
      <c r="AW126" s="498"/>
      <c r="AX126" s="498"/>
      <c r="AY126" s="498"/>
      <c r="AZ126" s="498"/>
      <c r="BA126" s="498"/>
      <c r="BB126" s="498"/>
      <c r="BC126" s="498"/>
      <c r="BD126" s="498"/>
      <c r="BE126" s="498"/>
      <c r="BF126" s="498"/>
      <c r="BG126" s="498"/>
      <c r="BH126" s="498"/>
      <c r="BI126" s="498"/>
      <c r="BK126" s="499"/>
    </row>
    <row r="127" spans="3:90" ht="12" customHeight="1">
      <c r="C127" s="497"/>
      <c r="BK127" s="499"/>
    </row>
    <row r="128" spans="3:90" ht="12" customHeight="1">
      <c r="C128" s="50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7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09"/>
    </row>
    <row r="129" spans="2:80" ht="12" customHeight="1" thickBot="1">
      <c r="C129" s="531"/>
      <c r="D129" s="532"/>
      <c r="E129" s="532"/>
      <c r="F129" s="532"/>
      <c r="G129" s="532"/>
      <c r="H129" s="532"/>
      <c r="I129" s="532"/>
      <c r="J129" s="532"/>
      <c r="K129" s="532"/>
      <c r="L129" s="532"/>
      <c r="M129" s="532"/>
      <c r="N129" s="532"/>
      <c r="O129" s="532"/>
      <c r="P129" s="532"/>
      <c r="Q129" s="533"/>
      <c r="R129" s="532"/>
      <c r="S129" s="532"/>
      <c r="T129" s="532"/>
      <c r="U129" s="532"/>
      <c r="V129" s="532"/>
      <c r="W129" s="532"/>
      <c r="X129" s="532"/>
      <c r="Y129" s="532"/>
      <c r="Z129" s="532"/>
      <c r="AA129" s="532"/>
      <c r="AB129" s="532"/>
      <c r="AC129" s="532"/>
      <c r="AD129" s="532"/>
      <c r="AE129" s="532"/>
      <c r="AF129" s="532"/>
      <c r="AG129" s="532"/>
      <c r="AH129" s="532"/>
      <c r="AI129" s="532"/>
      <c r="AJ129" s="532"/>
      <c r="AK129" s="532"/>
      <c r="AL129" s="532"/>
      <c r="AM129" s="532"/>
      <c r="AN129" s="532"/>
      <c r="AO129" s="532"/>
      <c r="AP129" s="532"/>
      <c r="AQ129" s="532"/>
      <c r="AR129" s="532"/>
      <c r="AS129" s="532"/>
      <c r="AT129" s="532"/>
      <c r="AU129" s="532"/>
      <c r="AV129" s="532"/>
      <c r="AW129" s="532"/>
      <c r="AX129" s="532"/>
      <c r="AY129" s="532"/>
      <c r="AZ129" s="532"/>
      <c r="BA129" s="532"/>
      <c r="BB129" s="532"/>
      <c r="BC129" s="532"/>
      <c r="BD129" s="532"/>
      <c r="BE129" s="532"/>
      <c r="BF129" s="532"/>
      <c r="BG129" s="532"/>
      <c r="BH129" s="532"/>
      <c r="BI129" s="532"/>
      <c r="BJ129" s="532"/>
      <c r="BK129" s="534"/>
    </row>
    <row r="135" spans="2:80" ht="28.5">
      <c r="B135" s="488" t="s">
        <v>871</v>
      </c>
    </row>
    <row r="136" spans="2:80" ht="12" customHeight="1">
      <c r="C136" s="489" t="s">
        <v>872</v>
      </c>
      <c r="D136" s="588"/>
    </row>
    <row r="137" spans="2:80" ht="12" customHeight="1" thickBot="1">
      <c r="C137" s="489" t="s">
        <v>873</v>
      </c>
      <c r="D137" s="588"/>
    </row>
    <row r="138" spans="2:80" ht="12" customHeight="1">
      <c r="C138" s="490"/>
      <c r="D138" s="589" t="s">
        <v>735</v>
      </c>
      <c r="E138" s="589"/>
      <c r="F138" s="589"/>
      <c r="G138" s="548" t="s">
        <v>795</v>
      </c>
      <c r="H138" s="590"/>
      <c r="I138" s="590"/>
      <c r="J138" s="590"/>
      <c r="K138" s="590"/>
      <c r="L138" s="591"/>
      <c r="M138" s="491"/>
      <c r="N138" s="589" t="s">
        <v>697</v>
      </c>
      <c r="O138" s="589"/>
      <c r="P138" s="589"/>
      <c r="Q138" s="592"/>
      <c r="R138" s="590"/>
      <c r="S138" s="590"/>
      <c r="T138" s="590"/>
      <c r="U138" s="590"/>
      <c r="V138" s="591"/>
      <c r="W138" s="491"/>
      <c r="X138" s="589" t="s">
        <v>874</v>
      </c>
      <c r="Y138" s="589"/>
      <c r="Z138" s="589"/>
      <c r="AA138" s="589"/>
      <c r="AB138" s="589"/>
      <c r="AC138" s="589"/>
      <c r="AD138" s="593"/>
      <c r="AE138" s="590"/>
      <c r="AF138" s="590"/>
      <c r="AG138" s="590"/>
      <c r="AH138" s="590"/>
      <c r="AI138" s="590"/>
      <c r="AJ138" s="590"/>
      <c r="AK138" s="590"/>
      <c r="AL138" s="590"/>
      <c r="AM138" s="590"/>
      <c r="AN138" s="590"/>
      <c r="AO138" s="590"/>
      <c r="AP138" s="590"/>
      <c r="AQ138" s="590"/>
      <c r="AR138" s="590"/>
      <c r="AS138" s="590"/>
      <c r="AT138" s="590"/>
      <c r="AU138" s="590"/>
      <c r="AV138" s="590"/>
      <c r="AW138" s="590"/>
      <c r="AX138" s="590"/>
      <c r="AY138" s="590"/>
      <c r="AZ138" s="590"/>
      <c r="BA138" s="590"/>
      <c r="BB138" s="590"/>
      <c r="BC138" s="590"/>
      <c r="BD138" s="590"/>
      <c r="BE138" s="590"/>
      <c r="BF138" s="590"/>
      <c r="BG138" s="591"/>
      <c r="BH138" s="491"/>
      <c r="BI138" s="589" t="s">
        <v>875</v>
      </c>
      <c r="BJ138" s="589"/>
      <c r="BK138" s="589"/>
      <c r="BL138" s="594" t="s">
        <v>876</v>
      </c>
      <c r="BM138" s="590"/>
      <c r="BN138" s="590"/>
      <c r="BO138" s="590"/>
      <c r="BP138" s="590"/>
      <c r="BQ138" s="591"/>
      <c r="BR138" s="491"/>
      <c r="BS138" s="491"/>
      <c r="BT138" s="491"/>
      <c r="BU138" s="491"/>
      <c r="BV138" s="491"/>
      <c r="BW138" s="491"/>
      <c r="BX138" s="491"/>
      <c r="BY138" s="491"/>
      <c r="BZ138" s="491"/>
      <c r="CA138" s="491"/>
      <c r="CB138" s="493"/>
    </row>
    <row r="139" spans="2:80" ht="12" customHeight="1" thickBot="1">
      <c r="C139" s="497"/>
      <c r="D139" s="588" t="s">
        <v>877</v>
      </c>
      <c r="CB139" s="499"/>
    </row>
    <row r="140" spans="2:80" ht="12" customHeight="1">
      <c r="C140" s="497"/>
      <c r="D140" s="1122" t="s">
        <v>878</v>
      </c>
      <c r="E140" s="1123"/>
      <c r="F140" s="1128" t="s">
        <v>879</v>
      </c>
      <c r="G140" s="1129"/>
      <c r="H140" s="1130"/>
      <c r="I140" s="1128" t="s">
        <v>880</v>
      </c>
      <c r="J140" s="1129"/>
      <c r="K140" s="1129"/>
      <c r="L140" s="1129"/>
      <c r="M140" s="1129"/>
      <c r="N140" s="1130"/>
      <c r="O140" s="1128" t="s">
        <v>881</v>
      </c>
      <c r="P140" s="1130"/>
      <c r="Q140" s="1128" t="s">
        <v>882</v>
      </c>
      <c r="R140" s="1129"/>
      <c r="S140" s="1129"/>
      <c r="T140" s="1129"/>
      <c r="U140" s="1129"/>
      <c r="V140" s="1113" t="s">
        <v>883</v>
      </c>
      <c r="W140" s="1130"/>
      <c r="X140" s="1113" t="s">
        <v>884</v>
      </c>
      <c r="Y140" s="1114"/>
      <c r="Z140" s="1114"/>
      <c r="AA140" s="1115"/>
      <c r="AB140" s="1138" t="s">
        <v>885</v>
      </c>
      <c r="AC140" s="1138"/>
      <c r="AD140" s="1138"/>
      <c r="AE140" s="1138"/>
      <c r="AF140" s="1139" t="s">
        <v>886</v>
      </c>
      <c r="AG140" s="1138"/>
      <c r="AH140" s="1138"/>
      <c r="AI140" s="1138"/>
      <c r="AJ140" s="1138"/>
      <c r="AK140" s="1138"/>
      <c r="AL140" s="1138"/>
      <c r="AM140" s="1138"/>
      <c r="AN140" s="1138"/>
      <c r="AO140" s="1138"/>
      <c r="AP140" s="1138"/>
      <c r="AQ140" s="1138"/>
      <c r="AR140" s="1138"/>
      <c r="AS140" s="1138"/>
      <c r="AT140" s="1138"/>
      <c r="AU140" s="1138"/>
      <c r="AV140" s="1138"/>
      <c r="AW140" s="1138"/>
      <c r="AX140" s="1138"/>
      <c r="AY140" s="1138"/>
      <c r="AZ140" s="1138"/>
      <c r="BA140" s="1138"/>
      <c r="BB140" s="1138"/>
      <c r="BC140" s="1138"/>
      <c r="BD140" s="1138"/>
      <c r="BE140" s="1138"/>
      <c r="BF140" s="1138"/>
      <c r="BG140" s="1138"/>
      <c r="BH140" s="1138" t="s">
        <v>887</v>
      </c>
      <c r="BI140" s="1138"/>
      <c r="BJ140" s="1138"/>
      <c r="BK140" s="1138"/>
      <c r="BL140" s="1138" t="s">
        <v>888</v>
      </c>
      <c r="BM140" s="1138"/>
      <c r="BN140" s="1138"/>
      <c r="BO140" s="1138"/>
      <c r="BP140" s="1138" t="s">
        <v>889</v>
      </c>
      <c r="BQ140" s="1138"/>
      <c r="BR140" s="1138"/>
      <c r="BS140" s="1138"/>
      <c r="BT140" s="1129" t="s">
        <v>890</v>
      </c>
      <c r="BU140" s="1129"/>
      <c r="BV140" s="1129"/>
      <c r="BW140" s="1129"/>
      <c r="BX140" s="1129"/>
      <c r="BY140" s="1137"/>
      <c r="BZ140" s="595" t="s">
        <v>891</v>
      </c>
      <c r="CB140" s="499"/>
    </row>
    <row r="141" spans="2:80" ht="12" customHeight="1">
      <c r="C141" s="497"/>
      <c r="D141" s="1124"/>
      <c r="E141" s="1125"/>
      <c r="F141" s="1131"/>
      <c r="G141" s="1132"/>
      <c r="H141" s="1133"/>
      <c r="I141" s="1131"/>
      <c r="J141" s="1132"/>
      <c r="K141" s="1132"/>
      <c r="L141" s="1132"/>
      <c r="M141" s="1132"/>
      <c r="N141" s="1133"/>
      <c r="O141" s="1131"/>
      <c r="P141" s="1133"/>
      <c r="Q141" s="1131"/>
      <c r="R141" s="1132"/>
      <c r="S141" s="1132"/>
      <c r="T141" s="1132"/>
      <c r="U141" s="1132"/>
      <c r="V141" s="1131"/>
      <c r="W141" s="1133"/>
      <c r="X141" s="1116"/>
      <c r="Y141" s="1117"/>
      <c r="Z141" s="1117"/>
      <c r="AA141" s="1118"/>
      <c r="AB141" s="1101" t="s">
        <v>885</v>
      </c>
      <c r="AC141" s="1105"/>
      <c r="AD141" s="1105"/>
      <c r="AE141" s="1102"/>
      <c r="AF141" s="1081" t="s">
        <v>892</v>
      </c>
      <c r="AG141" s="1082"/>
      <c r="AH141" s="1082"/>
      <c r="AI141" s="1083"/>
      <c r="AJ141" s="1081" t="s">
        <v>893</v>
      </c>
      <c r="AK141" s="1082"/>
      <c r="AL141" s="1082"/>
      <c r="AM141" s="1083"/>
      <c r="AN141" s="1081" t="s">
        <v>894</v>
      </c>
      <c r="AO141" s="1082"/>
      <c r="AP141" s="1082"/>
      <c r="AQ141" s="1083"/>
      <c r="AR141" s="1081" t="s">
        <v>895</v>
      </c>
      <c r="AS141" s="1082"/>
      <c r="AT141" s="1082"/>
      <c r="AU141" s="1082"/>
      <c r="AV141" s="1081" t="s">
        <v>896</v>
      </c>
      <c r="AW141" s="1082"/>
      <c r="AX141" s="1082"/>
      <c r="AY141" s="1083"/>
      <c r="AZ141" s="1081" t="s">
        <v>897</v>
      </c>
      <c r="BA141" s="1082"/>
      <c r="BB141" s="1082"/>
      <c r="BC141" s="1083"/>
      <c r="BD141" s="1081" t="s">
        <v>898</v>
      </c>
      <c r="BE141" s="1082"/>
      <c r="BF141" s="1082"/>
      <c r="BG141" s="1083"/>
      <c r="BH141" s="1101" t="s">
        <v>899</v>
      </c>
      <c r="BI141" s="1105"/>
      <c r="BJ141" s="1105"/>
      <c r="BK141" s="1102"/>
      <c r="BL141" s="1101" t="s">
        <v>900</v>
      </c>
      <c r="BM141" s="1105"/>
      <c r="BN141" s="1105"/>
      <c r="BO141" s="1102"/>
      <c r="BP141" s="1101" t="s">
        <v>901</v>
      </c>
      <c r="BQ141" s="1105"/>
      <c r="BR141" s="1105"/>
      <c r="BS141" s="1102"/>
      <c r="BT141" s="1101" t="s">
        <v>902</v>
      </c>
      <c r="BU141" s="1102"/>
      <c r="BV141" s="1105" t="s">
        <v>903</v>
      </c>
      <c r="BW141" s="1102"/>
      <c r="BX141" s="1101" t="s">
        <v>904</v>
      </c>
      <c r="BY141" s="1107"/>
      <c r="BZ141" s="596"/>
      <c r="CB141" s="499"/>
    </row>
    <row r="142" spans="2:80" ht="12" customHeight="1" thickBot="1">
      <c r="C142" s="497"/>
      <c r="D142" s="1126"/>
      <c r="E142" s="1127"/>
      <c r="F142" s="1134"/>
      <c r="G142" s="1135"/>
      <c r="H142" s="1136"/>
      <c r="I142" s="1134"/>
      <c r="J142" s="1135"/>
      <c r="K142" s="1135"/>
      <c r="L142" s="1135"/>
      <c r="M142" s="1135"/>
      <c r="N142" s="1136"/>
      <c r="O142" s="1134"/>
      <c r="P142" s="1136"/>
      <c r="Q142" s="1134"/>
      <c r="R142" s="1135"/>
      <c r="S142" s="1135"/>
      <c r="T142" s="1135"/>
      <c r="U142" s="1135"/>
      <c r="V142" s="1134"/>
      <c r="W142" s="1136"/>
      <c r="X142" s="1119"/>
      <c r="Y142" s="1120"/>
      <c r="Z142" s="1120"/>
      <c r="AA142" s="1121"/>
      <c r="AB142" s="1103"/>
      <c r="AC142" s="1106"/>
      <c r="AD142" s="1106"/>
      <c r="AE142" s="1104"/>
      <c r="AF142" s="597" t="s">
        <v>905</v>
      </c>
      <c r="AG142" s="598"/>
      <c r="AH142" s="598"/>
      <c r="AI142" s="598"/>
      <c r="AJ142" s="598"/>
      <c r="AK142" s="598"/>
      <c r="AL142" s="598"/>
      <c r="AM142" s="598"/>
      <c r="AN142" s="598"/>
      <c r="AO142" s="598"/>
      <c r="AP142" s="598"/>
      <c r="AQ142" s="598"/>
      <c r="AR142" s="598"/>
      <c r="AS142" s="598"/>
      <c r="AT142" s="598"/>
      <c r="AU142" s="598"/>
      <c r="AV142" s="597" t="s">
        <v>906</v>
      </c>
      <c r="AW142" s="598"/>
      <c r="AX142" s="598"/>
      <c r="AY142" s="598"/>
      <c r="AZ142" s="598"/>
      <c r="BA142" s="598"/>
      <c r="BB142" s="598"/>
      <c r="BC142" s="598"/>
      <c r="BD142" s="598"/>
      <c r="BE142" s="598"/>
      <c r="BF142" s="598"/>
      <c r="BG142" s="599"/>
      <c r="BH142" s="1103"/>
      <c r="BI142" s="1106"/>
      <c r="BJ142" s="1106"/>
      <c r="BK142" s="1104"/>
      <c r="BL142" s="1103"/>
      <c r="BM142" s="1106"/>
      <c r="BN142" s="1106"/>
      <c r="BO142" s="1104"/>
      <c r="BP142" s="1109" t="s">
        <v>907</v>
      </c>
      <c r="BQ142" s="1110"/>
      <c r="BR142" s="1110"/>
      <c r="BS142" s="1111"/>
      <c r="BT142" s="1103"/>
      <c r="BU142" s="1104"/>
      <c r="BV142" s="1106"/>
      <c r="BW142" s="1104"/>
      <c r="BX142" s="1103"/>
      <c r="BY142" s="1108"/>
      <c r="BZ142" s="595"/>
      <c r="CB142" s="499"/>
    </row>
    <row r="143" spans="2:80" ht="12" customHeight="1">
      <c r="C143" s="497"/>
      <c r="D143" s="1038" t="s">
        <v>908</v>
      </c>
      <c r="E143" s="1039"/>
      <c r="F143" s="981" t="s">
        <v>909</v>
      </c>
      <c r="G143" s="982"/>
      <c r="H143" s="983"/>
      <c r="I143" s="990" t="s">
        <v>910</v>
      </c>
      <c r="J143" s="991"/>
      <c r="K143" s="996" t="s">
        <v>911</v>
      </c>
      <c r="L143" s="997"/>
      <c r="M143" s="997"/>
      <c r="N143" s="997"/>
      <c r="O143" s="1100">
        <v>30</v>
      </c>
      <c r="P143" s="1025"/>
      <c r="Q143" s="1011" t="s">
        <v>912</v>
      </c>
      <c r="R143" s="1012"/>
      <c r="S143" s="1012"/>
      <c r="T143" s="1012"/>
      <c r="U143" s="1013"/>
      <c r="V143" s="602" t="s">
        <v>755</v>
      </c>
      <c r="W143" s="603"/>
      <c r="X143" s="1011" t="s">
        <v>913</v>
      </c>
      <c r="Y143" s="1012"/>
      <c r="Z143" s="1012"/>
      <c r="AA143" s="1020"/>
      <c r="AB143" s="1068"/>
      <c r="AC143" s="1024"/>
      <c r="AD143" s="1024"/>
      <c r="AE143" s="1025"/>
      <c r="AF143" s="604" t="s">
        <v>914</v>
      </c>
      <c r="AG143" s="605"/>
      <c r="AH143" s="605"/>
      <c r="AI143" s="606"/>
      <c r="AJ143" s="604" t="s">
        <v>915</v>
      </c>
      <c r="AK143" s="605"/>
      <c r="AL143" s="605"/>
      <c r="AM143" s="606"/>
      <c r="AN143" s="605" t="s">
        <v>916</v>
      </c>
      <c r="AO143" s="605"/>
      <c r="AP143" s="605"/>
      <c r="AQ143" s="605"/>
      <c r="AR143" s="604" t="s">
        <v>917</v>
      </c>
      <c r="AS143" s="605"/>
      <c r="AT143" s="605"/>
      <c r="AU143" s="606"/>
      <c r="AV143" s="604" t="s">
        <v>918</v>
      </c>
      <c r="AW143" s="605"/>
      <c r="AX143" s="605"/>
      <c r="AY143" s="606"/>
      <c r="AZ143" s="604"/>
      <c r="BA143" s="605"/>
      <c r="BB143" s="605"/>
      <c r="BC143" s="606"/>
      <c r="BD143" s="957"/>
      <c r="BE143" s="958"/>
      <c r="BF143" s="958"/>
      <c r="BG143" s="959"/>
      <c r="BH143" s="1100"/>
      <c r="BI143" s="1024"/>
      <c r="BJ143" s="1024"/>
      <c r="BK143" s="1025"/>
      <c r="BL143" s="1100"/>
      <c r="BM143" s="1024"/>
      <c r="BN143" s="1024"/>
      <c r="BO143" s="1025"/>
      <c r="BP143" s="607"/>
      <c r="BQ143" s="608"/>
      <c r="BR143" s="608"/>
      <c r="BS143" s="609"/>
      <c r="BT143" s="610"/>
      <c r="BU143" s="611"/>
      <c r="BV143" s="612"/>
      <c r="BW143" s="613"/>
      <c r="BX143" s="1100"/>
      <c r="BY143" s="964"/>
      <c r="BZ143" s="595"/>
      <c r="CB143" s="499"/>
    </row>
    <row r="144" spans="2:80" ht="12" customHeight="1">
      <c r="C144" s="497"/>
      <c r="D144" s="1040"/>
      <c r="E144" s="1041"/>
      <c r="F144" s="984"/>
      <c r="G144" s="985"/>
      <c r="H144" s="986"/>
      <c r="I144" s="992"/>
      <c r="J144" s="993"/>
      <c r="K144" s="999"/>
      <c r="L144" s="1000"/>
      <c r="M144" s="1000"/>
      <c r="N144" s="1000"/>
      <c r="O144" s="1096"/>
      <c r="P144" s="1070"/>
      <c r="Q144" s="1014"/>
      <c r="R144" s="1015"/>
      <c r="S144" s="1015"/>
      <c r="T144" s="1015"/>
      <c r="U144" s="1016"/>
      <c r="V144" s="617"/>
      <c r="W144" s="618"/>
      <c r="X144" s="1014"/>
      <c r="Y144" s="1015"/>
      <c r="Z144" s="1015"/>
      <c r="AA144" s="1021"/>
      <c r="AB144" s="1026"/>
      <c r="AC144" s="1027"/>
      <c r="AD144" s="1027"/>
      <c r="AE144" s="1028"/>
      <c r="AF144" s="619" t="s">
        <v>830</v>
      </c>
      <c r="AG144" s="620"/>
      <c r="AH144" s="620"/>
      <c r="AI144" s="621"/>
      <c r="AJ144" s="619" t="s">
        <v>919</v>
      </c>
      <c r="AK144" s="620"/>
      <c r="AL144" s="620"/>
      <c r="AM144" s="621"/>
      <c r="AN144" s="619" t="s">
        <v>920</v>
      </c>
      <c r="AO144" s="620"/>
      <c r="AP144" s="620"/>
      <c r="AQ144" s="621"/>
      <c r="AR144" s="619" t="s">
        <v>919</v>
      </c>
      <c r="AS144" s="620"/>
      <c r="AT144" s="620"/>
      <c r="AU144" s="621"/>
      <c r="AV144" s="622"/>
      <c r="AW144" s="620"/>
      <c r="AX144" s="620"/>
      <c r="AY144" s="621"/>
      <c r="AZ144" s="622"/>
      <c r="BA144" s="620"/>
      <c r="BB144" s="620"/>
      <c r="BC144" s="621"/>
      <c r="BD144" s="1084"/>
      <c r="BE144" s="1085"/>
      <c r="BF144" s="1085"/>
      <c r="BG144" s="1086"/>
      <c r="BH144" s="972"/>
      <c r="BI144" s="973"/>
      <c r="BJ144" s="973"/>
      <c r="BK144" s="974"/>
      <c r="BL144" s="972"/>
      <c r="BM144" s="973"/>
      <c r="BN144" s="973"/>
      <c r="BO144" s="974"/>
      <c r="BP144" s="623"/>
      <c r="BQ144" s="624"/>
      <c r="BR144" s="624"/>
      <c r="BS144" s="625"/>
      <c r="BT144" s="626"/>
      <c r="BU144" s="627"/>
      <c r="BV144" s="628"/>
      <c r="BW144" s="629"/>
      <c r="BX144" s="965"/>
      <c r="BY144" s="966"/>
      <c r="BZ144" s="595"/>
      <c r="CB144" s="499"/>
    </row>
    <row r="145" spans="3:80" ht="12" customHeight="1" thickBot="1">
      <c r="C145" s="497"/>
      <c r="D145" s="1042"/>
      <c r="E145" s="1043"/>
      <c r="F145" s="987"/>
      <c r="G145" s="988"/>
      <c r="H145" s="989"/>
      <c r="I145" s="994"/>
      <c r="J145" s="995"/>
      <c r="K145" s="1002"/>
      <c r="L145" s="1003"/>
      <c r="M145" s="1003"/>
      <c r="N145" s="1003"/>
      <c r="O145" s="1112"/>
      <c r="P145" s="1073"/>
      <c r="Q145" s="1017"/>
      <c r="R145" s="1018"/>
      <c r="S145" s="1018"/>
      <c r="T145" s="1018"/>
      <c r="U145" s="1019"/>
      <c r="V145" s="632"/>
      <c r="W145" s="633"/>
      <c r="X145" s="1017"/>
      <c r="Y145" s="1018"/>
      <c r="Z145" s="1018"/>
      <c r="AA145" s="1022"/>
      <c r="AB145" s="1029"/>
      <c r="AC145" s="1030"/>
      <c r="AD145" s="1030"/>
      <c r="AE145" s="1031"/>
      <c r="AF145" s="634" t="s">
        <v>921</v>
      </c>
      <c r="AG145" s="635"/>
      <c r="AH145" s="635"/>
      <c r="AI145" s="635"/>
      <c r="AJ145" s="635"/>
      <c r="AK145" s="635"/>
      <c r="AL145" s="635"/>
      <c r="AM145" s="635"/>
      <c r="AN145" s="635"/>
      <c r="AO145" s="635"/>
      <c r="AP145" s="635"/>
      <c r="AQ145" s="635"/>
      <c r="AR145" s="635"/>
      <c r="AS145" s="635"/>
      <c r="AT145" s="635"/>
      <c r="AU145" s="636"/>
      <c r="AV145" s="637" t="s">
        <v>922</v>
      </c>
      <c r="AW145" s="638"/>
      <c r="AX145" s="638"/>
      <c r="AY145" s="638"/>
      <c r="AZ145" s="638"/>
      <c r="BA145" s="638"/>
      <c r="BB145" s="638"/>
      <c r="BC145" s="638"/>
      <c r="BD145" s="638"/>
      <c r="BE145" s="638"/>
      <c r="BF145" s="638"/>
      <c r="BG145" s="639"/>
      <c r="BH145" s="952"/>
      <c r="BI145" s="953"/>
      <c r="BJ145" s="953"/>
      <c r="BK145" s="954"/>
      <c r="BL145" s="952"/>
      <c r="BM145" s="953"/>
      <c r="BN145" s="953"/>
      <c r="BO145" s="954"/>
      <c r="BP145" s="640"/>
      <c r="BQ145" s="641"/>
      <c r="BR145" s="641"/>
      <c r="BS145" s="642"/>
      <c r="BT145" s="643"/>
      <c r="BU145" s="644"/>
      <c r="BV145" s="645"/>
      <c r="BW145" s="646"/>
      <c r="BX145" s="967"/>
      <c r="BY145" s="968"/>
      <c r="BZ145" s="595"/>
      <c r="CB145" s="499"/>
    </row>
    <row r="146" spans="3:80" ht="12" customHeight="1">
      <c r="C146" s="497"/>
      <c r="D146" s="1040" t="s">
        <v>923</v>
      </c>
      <c r="E146" s="1041"/>
      <c r="F146" s="984" t="s">
        <v>924</v>
      </c>
      <c r="G146" s="985"/>
      <c r="H146" s="986"/>
      <c r="I146" s="992" t="s">
        <v>925</v>
      </c>
      <c r="J146" s="993"/>
      <c r="K146" s="999" t="s">
        <v>926</v>
      </c>
      <c r="L146" s="1000"/>
      <c r="M146" s="1000"/>
      <c r="N146" s="1000"/>
      <c r="O146" s="1096">
        <v>30</v>
      </c>
      <c r="P146" s="1070"/>
      <c r="Q146" s="1014" t="s">
        <v>927</v>
      </c>
      <c r="R146" s="1015"/>
      <c r="S146" s="1015"/>
      <c r="T146" s="1015"/>
      <c r="U146" s="1016"/>
      <c r="V146" s="617" t="s">
        <v>928</v>
      </c>
      <c r="W146" s="647"/>
      <c r="X146" s="1011" t="s">
        <v>928</v>
      </c>
      <c r="Y146" s="1012"/>
      <c r="Z146" s="1012"/>
      <c r="AA146" s="1020"/>
      <c r="AB146" s="1023">
        <v>44990</v>
      </c>
      <c r="AC146" s="1024"/>
      <c r="AD146" s="1024"/>
      <c r="AE146" s="1025"/>
      <c r="AF146" s="648"/>
      <c r="AG146" s="567"/>
      <c r="AH146" s="567"/>
      <c r="AI146" s="649"/>
      <c r="AJ146" s="650" t="s">
        <v>929</v>
      </c>
      <c r="AK146" s="540"/>
      <c r="AL146" s="540"/>
      <c r="AM146" s="651"/>
      <c r="AN146" s="540" t="s">
        <v>930</v>
      </c>
      <c r="AO146" s="540"/>
      <c r="AP146" s="540"/>
      <c r="AQ146" s="540"/>
      <c r="AR146" s="650" t="s">
        <v>931</v>
      </c>
      <c r="AS146" s="540"/>
      <c r="AT146" s="540"/>
      <c r="AU146" s="540"/>
      <c r="AV146" s="652"/>
      <c r="AW146" s="653"/>
      <c r="AX146" s="653"/>
      <c r="AY146" s="654"/>
      <c r="AZ146" s="650"/>
      <c r="BA146" s="540"/>
      <c r="BB146" s="540"/>
      <c r="BC146" s="651"/>
      <c r="BD146" s="652"/>
      <c r="BE146" s="653"/>
      <c r="BF146" s="653"/>
      <c r="BG146" s="654"/>
      <c r="BH146" s="1092"/>
      <c r="BI146" s="1093"/>
      <c r="BJ146" s="1093"/>
      <c r="BK146" s="1094"/>
      <c r="BL146" s="1092"/>
      <c r="BM146" s="1093"/>
      <c r="BN146" s="1093"/>
      <c r="BO146" s="1094"/>
      <c r="BP146" s="623"/>
      <c r="BQ146" s="624"/>
      <c r="BR146" s="624"/>
      <c r="BS146" s="625"/>
      <c r="BT146" s="628"/>
      <c r="BU146" s="629"/>
      <c r="BV146" s="628"/>
      <c r="BW146" s="629"/>
      <c r="BX146" s="963" t="s">
        <v>919</v>
      </c>
      <c r="BY146" s="964"/>
      <c r="BZ146" s="595"/>
      <c r="CB146" s="499"/>
    </row>
    <row r="147" spans="3:80" ht="12" customHeight="1">
      <c r="C147" s="497"/>
      <c r="D147" s="1040"/>
      <c r="E147" s="1041"/>
      <c r="F147" s="984"/>
      <c r="G147" s="985"/>
      <c r="H147" s="986"/>
      <c r="I147" s="992"/>
      <c r="J147" s="993"/>
      <c r="K147" s="999"/>
      <c r="L147" s="1000"/>
      <c r="M147" s="1000"/>
      <c r="N147" s="1000"/>
      <c r="O147" s="1096"/>
      <c r="P147" s="1070"/>
      <c r="Q147" s="1014"/>
      <c r="R147" s="1015"/>
      <c r="S147" s="1015"/>
      <c r="T147" s="1015"/>
      <c r="U147" s="1016"/>
      <c r="V147" s="617"/>
      <c r="W147" s="647"/>
      <c r="X147" s="1014"/>
      <c r="Y147" s="1015"/>
      <c r="Z147" s="1015"/>
      <c r="AA147" s="1021"/>
      <c r="AB147" s="1026"/>
      <c r="AC147" s="1027"/>
      <c r="AD147" s="1027"/>
      <c r="AE147" s="1028"/>
      <c r="AF147" s="656"/>
      <c r="AG147" s="657"/>
      <c r="AH147" s="657"/>
      <c r="AI147" s="657"/>
      <c r="AJ147" s="658" t="s">
        <v>932</v>
      </c>
      <c r="AK147" s="659"/>
      <c r="AL147" s="659"/>
      <c r="AM147" s="660"/>
      <c r="AN147" s="658" t="s">
        <v>933</v>
      </c>
      <c r="AO147" s="659"/>
      <c r="AP147" s="659"/>
      <c r="AQ147" s="660"/>
      <c r="AR147" s="661" t="s">
        <v>934</v>
      </c>
      <c r="AS147" s="659"/>
      <c r="AT147" s="659"/>
      <c r="AU147" s="659"/>
      <c r="AV147" s="662"/>
      <c r="AW147" s="663"/>
      <c r="AX147" s="663"/>
      <c r="AY147" s="664"/>
      <c r="AZ147" s="665"/>
      <c r="BA147" s="666"/>
      <c r="BB147" s="666"/>
      <c r="BC147" s="667"/>
      <c r="BD147" s="662"/>
      <c r="BE147" s="663"/>
      <c r="BF147" s="663"/>
      <c r="BG147" s="664"/>
      <c r="BH147" s="972"/>
      <c r="BI147" s="973"/>
      <c r="BJ147" s="973"/>
      <c r="BK147" s="974"/>
      <c r="BL147" s="972"/>
      <c r="BM147" s="973"/>
      <c r="BN147" s="973"/>
      <c r="BO147" s="974"/>
      <c r="BP147" s="623"/>
      <c r="BQ147" s="624"/>
      <c r="BR147" s="624"/>
      <c r="BS147" s="625"/>
      <c r="BT147" s="628"/>
      <c r="BU147" s="629"/>
      <c r="BV147" s="628"/>
      <c r="BW147" s="629"/>
      <c r="BX147" s="965"/>
      <c r="BY147" s="966"/>
      <c r="BZ147" s="595"/>
      <c r="CB147" s="499"/>
    </row>
    <row r="148" spans="3:80" ht="12" customHeight="1">
      <c r="C148" s="497"/>
      <c r="D148" s="1040"/>
      <c r="E148" s="1041"/>
      <c r="F148" s="984"/>
      <c r="G148" s="985"/>
      <c r="H148" s="986"/>
      <c r="I148" s="992"/>
      <c r="J148" s="993"/>
      <c r="K148" s="1066"/>
      <c r="L148" s="1067"/>
      <c r="M148" s="1067"/>
      <c r="N148" s="1067"/>
      <c r="O148" s="1096"/>
      <c r="P148" s="1070"/>
      <c r="Q148" s="1014"/>
      <c r="R148" s="1015"/>
      <c r="S148" s="1015"/>
      <c r="T148" s="1015"/>
      <c r="U148" s="1016"/>
      <c r="V148" s="617"/>
      <c r="W148" s="647"/>
      <c r="X148" s="1014"/>
      <c r="Y148" s="1015"/>
      <c r="Z148" s="1015"/>
      <c r="AA148" s="1021"/>
      <c r="AB148" s="1026"/>
      <c r="AC148" s="1027"/>
      <c r="AD148" s="1027"/>
      <c r="AE148" s="1028"/>
      <c r="AF148" s="1095"/>
      <c r="AG148" s="1095"/>
      <c r="AH148" s="1095"/>
      <c r="AI148" s="1095"/>
      <c r="AJ148" s="1095"/>
      <c r="AK148" s="1095"/>
      <c r="AL148" s="1095"/>
      <c r="AM148" s="1095"/>
      <c r="AN148" s="1095"/>
      <c r="AO148" s="1095"/>
      <c r="AP148" s="1095"/>
      <c r="AQ148" s="1095"/>
      <c r="AR148" s="1095"/>
      <c r="AS148" s="1095"/>
      <c r="AT148" s="1095"/>
      <c r="AU148" s="1095"/>
      <c r="AV148" s="668"/>
      <c r="AW148" s="669"/>
      <c r="AX148" s="669"/>
      <c r="AY148" s="669"/>
      <c r="AZ148" s="669"/>
      <c r="BA148" s="669"/>
      <c r="BB148" s="669"/>
      <c r="BC148" s="669"/>
      <c r="BD148" s="669"/>
      <c r="BE148" s="669"/>
      <c r="BF148" s="669"/>
      <c r="BG148" s="669"/>
      <c r="BH148" s="972"/>
      <c r="BI148" s="973"/>
      <c r="BJ148" s="973"/>
      <c r="BK148" s="974"/>
      <c r="BL148" s="972"/>
      <c r="BM148" s="973"/>
      <c r="BN148" s="973"/>
      <c r="BO148" s="974"/>
      <c r="BP148" s="670"/>
      <c r="BQ148" s="671"/>
      <c r="BR148" s="671"/>
      <c r="BS148" s="672"/>
      <c r="BT148" s="628"/>
      <c r="BU148" s="629"/>
      <c r="BV148" s="628"/>
      <c r="BW148" s="629"/>
      <c r="BX148" s="965"/>
      <c r="BY148" s="966"/>
      <c r="BZ148" s="595"/>
      <c r="CB148" s="499"/>
    </row>
    <row r="149" spans="3:80" ht="12" customHeight="1">
      <c r="C149" s="497"/>
      <c r="D149" s="1040"/>
      <c r="E149" s="1041"/>
      <c r="F149" s="984"/>
      <c r="G149" s="985"/>
      <c r="H149" s="986"/>
      <c r="I149" s="1075" t="s">
        <v>935</v>
      </c>
      <c r="J149" s="1076"/>
      <c r="K149" s="1079" t="s">
        <v>936</v>
      </c>
      <c r="L149" s="1080"/>
      <c r="M149" s="1080"/>
      <c r="N149" s="1080"/>
      <c r="O149" s="1096"/>
      <c r="P149" s="1070"/>
      <c r="Q149" s="1014"/>
      <c r="R149" s="1015"/>
      <c r="S149" s="1015"/>
      <c r="T149" s="1015"/>
      <c r="U149" s="1016"/>
      <c r="V149" s="617"/>
      <c r="W149" s="647"/>
      <c r="X149" s="1014"/>
      <c r="Y149" s="1015"/>
      <c r="Z149" s="1015"/>
      <c r="AA149" s="1021"/>
      <c r="AB149" s="1026"/>
      <c r="AC149" s="1027"/>
      <c r="AD149" s="1027"/>
      <c r="AE149" s="1028"/>
      <c r="AF149" s="673" t="s">
        <v>937</v>
      </c>
      <c r="AG149" s="674"/>
      <c r="AH149" s="674"/>
      <c r="AI149" s="674"/>
      <c r="AJ149" s="673" t="s">
        <v>938</v>
      </c>
      <c r="AK149" s="674"/>
      <c r="AL149" s="674"/>
      <c r="AM149" s="675"/>
      <c r="AN149" s="676" t="s">
        <v>939</v>
      </c>
      <c r="AO149" s="677"/>
      <c r="AP149" s="677"/>
      <c r="AQ149" s="678"/>
      <c r="AR149" s="676" t="s">
        <v>940</v>
      </c>
      <c r="AS149" s="677"/>
      <c r="AT149" s="677"/>
      <c r="AU149" s="678"/>
      <c r="AV149" s="676" t="s">
        <v>941</v>
      </c>
      <c r="AW149" s="677"/>
      <c r="AX149" s="677"/>
      <c r="AY149" s="678"/>
      <c r="AZ149" s="676" t="s">
        <v>936</v>
      </c>
      <c r="BA149" s="677"/>
      <c r="BB149" s="677"/>
      <c r="BC149" s="678"/>
      <c r="BD149" s="674" t="s">
        <v>942</v>
      </c>
      <c r="BE149" s="674"/>
      <c r="BF149" s="674"/>
      <c r="BG149" s="674"/>
      <c r="BH149" s="972"/>
      <c r="BI149" s="973"/>
      <c r="BJ149" s="973"/>
      <c r="BK149" s="974"/>
      <c r="BL149" s="972"/>
      <c r="BM149" s="973"/>
      <c r="BN149" s="973"/>
      <c r="BO149" s="974"/>
      <c r="BP149" s="679"/>
      <c r="BQ149" s="680"/>
      <c r="BR149" s="680"/>
      <c r="BS149" s="681"/>
      <c r="BT149" s="628"/>
      <c r="BU149" s="629"/>
      <c r="BV149" s="628"/>
      <c r="BW149" s="629"/>
      <c r="BX149" s="965"/>
      <c r="BY149" s="966"/>
      <c r="BZ149" s="596"/>
      <c r="CB149" s="499"/>
    </row>
    <row r="150" spans="3:80" ht="12" customHeight="1">
      <c r="C150" s="497"/>
      <c r="D150" s="1040"/>
      <c r="E150" s="1041"/>
      <c r="F150" s="984"/>
      <c r="G150" s="985"/>
      <c r="H150" s="986"/>
      <c r="I150" s="992"/>
      <c r="J150" s="993"/>
      <c r="K150" s="999"/>
      <c r="L150" s="1000"/>
      <c r="M150" s="1000"/>
      <c r="N150" s="1000"/>
      <c r="O150" s="1096"/>
      <c r="P150" s="1070"/>
      <c r="Q150" s="1014"/>
      <c r="R150" s="1015"/>
      <c r="S150" s="1015"/>
      <c r="T150" s="1015"/>
      <c r="U150" s="1016"/>
      <c r="V150" s="617"/>
      <c r="W150" s="647"/>
      <c r="X150" s="1014"/>
      <c r="Y150" s="1015"/>
      <c r="Z150" s="1015"/>
      <c r="AA150" s="1021"/>
      <c r="AB150" s="1026"/>
      <c r="AC150" s="1027"/>
      <c r="AD150" s="1027"/>
      <c r="AE150" s="1028"/>
      <c r="AF150" s="682"/>
      <c r="AG150" s="659"/>
      <c r="AH150" s="659"/>
      <c r="AI150" s="660"/>
      <c r="AJ150" s="658" t="s">
        <v>943</v>
      </c>
      <c r="AK150" s="659"/>
      <c r="AL150" s="659"/>
      <c r="AM150" s="660"/>
      <c r="AN150" s="658" t="s">
        <v>933</v>
      </c>
      <c r="AO150" s="659"/>
      <c r="AP150" s="659"/>
      <c r="AQ150" s="660"/>
      <c r="AR150" s="658"/>
      <c r="AS150" s="659"/>
      <c r="AT150" s="659"/>
      <c r="AU150" s="660"/>
      <c r="AV150" s="658"/>
      <c r="AW150" s="659"/>
      <c r="AX150" s="659"/>
      <c r="AY150" s="660"/>
      <c r="AZ150" s="661" t="s">
        <v>944</v>
      </c>
      <c r="BA150" s="659"/>
      <c r="BB150" s="659"/>
      <c r="BC150" s="660"/>
      <c r="BD150" s="658" t="s">
        <v>945</v>
      </c>
      <c r="BE150" s="659"/>
      <c r="BF150" s="659"/>
      <c r="BG150" s="660"/>
      <c r="BH150" s="972"/>
      <c r="BI150" s="973"/>
      <c r="BJ150" s="973"/>
      <c r="BK150" s="974"/>
      <c r="BL150" s="972"/>
      <c r="BM150" s="973"/>
      <c r="BN150" s="973"/>
      <c r="BO150" s="974"/>
      <c r="BP150" s="683"/>
      <c r="BQ150" s="684"/>
      <c r="BR150" s="684"/>
      <c r="BS150" s="685"/>
      <c r="BT150" s="628"/>
      <c r="BU150" s="629"/>
      <c r="BV150" s="628"/>
      <c r="BW150" s="629"/>
      <c r="BX150" s="965"/>
      <c r="BY150" s="966"/>
      <c r="BZ150" s="596"/>
      <c r="CB150" s="499"/>
    </row>
    <row r="151" spans="3:80" ht="12" customHeight="1" thickBot="1">
      <c r="C151" s="497"/>
      <c r="D151" s="1061"/>
      <c r="E151" s="1062"/>
      <c r="F151" s="1063"/>
      <c r="G151" s="1064"/>
      <c r="H151" s="1065"/>
      <c r="I151" s="1077"/>
      <c r="J151" s="1078"/>
      <c r="K151" s="1066"/>
      <c r="L151" s="1067"/>
      <c r="M151" s="1067"/>
      <c r="N151" s="1067"/>
      <c r="O151" s="1092"/>
      <c r="P151" s="1094"/>
      <c r="Q151" s="1097"/>
      <c r="R151" s="1098"/>
      <c r="S151" s="1098"/>
      <c r="T151" s="1098"/>
      <c r="U151" s="1099"/>
      <c r="V151" s="686"/>
      <c r="W151" s="687"/>
      <c r="X151" s="1017"/>
      <c r="Y151" s="1018"/>
      <c r="Z151" s="1018"/>
      <c r="AA151" s="1022"/>
      <c r="AB151" s="1029"/>
      <c r="AC151" s="1030"/>
      <c r="AD151" s="1030"/>
      <c r="AE151" s="1031"/>
      <c r="AF151" s="688" t="s">
        <v>921</v>
      </c>
      <c r="AG151" s="689"/>
      <c r="AH151" s="689"/>
      <c r="AI151" s="689"/>
      <c r="AJ151" s="689"/>
      <c r="AK151" s="689"/>
      <c r="AL151" s="689"/>
      <c r="AM151" s="689"/>
      <c r="AN151" s="689"/>
      <c r="AO151" s="689"/>
      <c r="AP151" s="689"/>
      <c r="AQ151" s="689"/>
      <c r="AR151" s="689"/>
      <c r="AS151" s="689"/>
      <c r="AT151" s="689"/>
      <c r="AU151" s="690"/>
      <c r="AV151" s="691" t="s">
        <v>922</v>
      </c>
      <c r="AW151" s="692"/>
      <c r="AX151" s="692"/>
      <c r="AY151" s="692"/>
      <c r="AZ151" s="692"/>
      <c r="BA151" s="692"/>
      <c r="BB151" s="692"/>
      <c r="BC151" s="692"/>
      <c r="BD151" s="692"/>
      <c r="BE151" s="692"/>
      <c r="BF151" s="692"/>
      <c r="BG151" s="693"/>
      <c r="BH151" s="972"/>
      <c r="BI151" s="973"/>
      <c r="BJ151" s="973"/>
      <c r="BK151" s="974"/>
      <c r="BL151" s="972"/>
      <c r="BM151" s="973"/>
      <c r="BN151" s="973"/>
      <c r="BO151" s="974"/>
      <c r="BP151" s="694"/>
      <c r="BQ151" s="695"/>
      <c r="BR151" s="695"/>
      <c r="BS151" s="696"/>
      <c r="BT151" s="697"/>
      <c r="BU151" s="698"/>
      <c r="BV151" s="697"/>
      <c r="BW151" s="698"/>
      <c r="BX151" s="967"/>
      <c r="BY151" s="968"/>
      <c r="BZ151" s="596"/>
      <c r="CB151" s="499"/>
    </row>
    <row r="152" spans="3:80" ht="12" customHeight="1">
      <c r="C152" s="497"/>
      <c r="D152" s="1038" t="s">
        <v>946</v>
      </c>
      <c r="E152" s="1039"/>
      <c r="F152" s="981" t="s">
        <v>947</v>
      </c>
      <c r="G152" s="982"/>
      <c r="H152" s="983"/>
      <c r="I152" s="990" t="s">
        <v>948</v>
      </c>
      <c r="J152" s="991"/>
      <c r="K152" s="996" t="s">
        <v>949</v>
      </c>
      <c r="L152" s="997"/>
      <c r="M152" s="997"/>
      <c r="N152" s="997"/>
      <c r="O152" s="1005">
        <v>40</v>
      </c>
      <c r="P152" s="1006"/>
      <c r="Q152" s="1048" t="s">
        <v>950</v>
      </c>
      <c r="R152" s="1049"/>
      <c r="S152" s="1049"/>
      <c r="T152" s="1049"/>
      <c r="U152" s="1050"/>
      <c r="V152" s="602" t="s">
        <v>928</v>
      </c>
      <c r="W152" s="699"/>
      <c r="X152" s="602" t="s">
        <v>928</v>
      </c>
      <c r="Y152" s="699"/>
      <c r="Z152" s="602" t="s">
        <v>928</v>
      </c>
      <c r="AA152" s="699"/>
      <c r="AB152" s="1068"/>
      <c r="AC152" s="1024"/>
      <c r="AD152" s="1024"/>
      <c r="AE152" s="1025"/>
      <c r="AF152" s="604" t="s">
        <v>951</v>
      </c>
      <c r="AG152" s="605"/>
      <c r="AH152" s="605"/>
      <c r="AI152" s="605"/>
      <c r="AJ152" s="604" t="s">
        <v>952</v>
      </c>
      <c r="AK152" s="605"/>
      <c r="AL152" s="605"/>
      <c r="AM152" s="606"/>
      <c r="AN152" s="700" t="s">
        <v>953</v>
      </c>
      <c r="AO152" s="701"/>
      <c r="AP152" s="701"/>
      <c r="AQ152" s="702"/>
      <c r="AR152" s="700" t="s">
        <v>954</v>
      </c>
      <c r="AS152" s="701"/>
      <c r="AT152" s="701"/>
      <c r="AU152" s="702"/>
      <c r="AV152" s="700" t="s">
        <v>955</v>
      </c>
      <c r="AW152" s="701"/>
      <c r="AX152" s="701"/>
      <c r="AY152" s="702"/>
      <c r="AZ152" s="700" t="s">
        <v>238</v>
      </c>
      <c r="BA152" s="701"/>
      <c r="BB152" s="701"/>
      <c r="BC152" s="702"/>
      <c r="BD152" s="605" t="s">
        <v>956</v>
      </c>
      <c r="BE152" s="605"/>
      <c r="BF152" s="605"/>
      <c r="BG152" s="605"/>
      <c r="BH152" s="960"/>
      <c r="BI152" s="961"/>
      <c r="BJ152" s="961"/>
      <c r="BK152" s="962"/>
      <c r="BL152" s="960"/>
      <c r="BM152" s="961"/>
      <c r="BN152" s="961"/>
      <c r="BO152" s="962"/>
      <c r="BP152" s="607"/>
      <c r="BQ152" s="608"/>
      <c r="BR152" s="608"/>
      <c r="BS152" s="609"/>
      <c r="BT152" s="612"/>
      <c r="BU152" s="613"/>
      <c r="BV152" s="612"/>
      <c r="BW152" s="613"/>
      <c r="BX152" s="600"/>
      <c r="BY152" s="703"/>
      <c r="BZ152" s="595"/>
      <c r="CB152" s="499"/>
    </row>
    <row r="153" spans="3:80" ht="12" customHeight="1">
      <c r="C153" s="497"/>
      <c r="D153" s="1040"/>
      <c r="E153" s="1041"/>
      <c r="F153" s="984"/>
      <c r="G153" s="985"/>
      <c r="H153" s="986"/>
      <c r="I153" s="992"/>
      <c r="J153" s="993"/>
      <c r="K153" s="999"/>
      <c r="L153" s="1000"/>
      <c r="M153" s="1000"/>
      <c r="N153" s="1000"/>
      <c r="O153" s="1007"/>
      <c r="P153" s="1008"/>
      <c r="Q153" s="1051"/>
      <c r="R153" s="1052"/>
      <c r="S153" s="1052"/>
      <c r="T153" s="1052"/>
      <c r="U153" s="1053"/>
      <c r="V153" s="617"/>
      <c r="W153" s="647"/>
      <c r="X153" s="617"/>
      <c r="Y153" s="647"/>
      <c r="Z153" s="617"/>
      <c r="AA153" s="647"/>
      <c r="AB153" s="1069"/>
      <c r="AC153" s="891"/>
      <c r="AD153" s="891"/>
      <c r="AE153" s="1070"/>
      <c r="AF153" s="658" t="s">
        <v>957</v>
      </c>
      <c r="AG153" s="659"/>
      <c r="AH153" s="659"/>
      <c r="AI153" s="660"/>
      <c r="AJ153" s="658" t="s">
        <v>958</v>
      </c>
      <c r="AK153" s="659"/>
      <c r="AL153" s="659"/>
      <c r="AM153" s="660"/>
      <c r="AN153" s="658" t="s">
        <v>959</v>
      </c>
      <c r="AO153" s="659"/>
      <c r="AP153" s="659"/>
      <c r="AQ153" s="660"/>
      <c r="AR153" s="658" t="s">
        <v>960</v>
      </c>
      <c r="AS153" s="659"/>
      <c r="AT153" s="659"/>
      <c r="AU153" s="660"/>
      <c r="AV153" s="658" t="s">
        <v>961</v>
      </c>
      <c r="AW153" s="659"/>
      <c r="AX153" s="659"/>
      <c r="AY153" s="660"/>
      <c r="AZ153" s="661" t="s">
        <v>962</v>
      </c>
      <c r="BA153" s="659"/>
      <c r="BB153" s="659"/>
      <c r="BC153" s="660"/>
      <c r="BD153" s="658"/>
      <c r="BE153" s="659"/>
      <c r="BF153" s="659"/>
      <c r="BG153" s="660"/>
      <c r="BH153" s="972"/>
      <c r="BI153" s="973"/>
      <c r="BJ153" s="973"/>
      <c r="BK153" s="974"/>
      <c r="BL153" s="972"/>
      <c r="BM153" s="973"/>
      <c r="BN153" s="973"/>
      <c r="BO153" s="974"/>
      <c r="BP153" s="623"/>
      <c r="BQ153" s="624"/>
      <c r="BR153" s="624"/>
      <c r="BS153" s="625"/>
      <c r="BT153" s="628"/>
      <c r="BU153" s="629"/>
      <c r="BV153" s="628"/>
      <c r="BW153" s="629"/>
      <c r="BX153" s="614"/>
      <c r="BY153" s="704"/>
      <c r="BZ153" s="595"/>
      <c r="CB153" s="499"/>
    </row>
    <row r="154" spans="3:80" ht="12" customHeight="1">
      <c r="C154" s="497"/>
      <c r="D154" s="1040"/>
      <c r="E154" s="1041"/>
      <c r="F154" s="984"/>
      <c r="G154" s="985"/>
      <c r="H154" s="986"/>
      <c r="I154" s="992"/>
      <c r="J154" s="993"/>
      <c r="K154" s="1066"/>
      <c r="L154" s="1067"/>
      <c r="M154" s="1067"/>
      <c r="N154" s="1067"/>
      <c r="O154" s="1007"/>
      <c r="P154" s="1008"/>
      <c r="Q154" s="1051"/>
      <c r="R154" s="1052"/>
      <c r="S154" s="1052"/>
      <c r="T154" s="1052"/>
      <c r="U154" s="1053"/>
      <c r="V154" s="617"/>
      <c r="W154" s="647"/>
      <c r="X154" s="617"/>
      <c r="Y154" s="647"/>
      <c r="Z154" s="617"/>
      <c r="AA154" s="647"/>
      <c r="AB154" s="1069"/>
      <c r="AC154" s="891"/>
      <c r="AD154" s="891"/>
      <c r="AE154" s="1070"/>
      <c r="AF154" s="1057"/>
      <c r="AG154" s="1057"/>
      <c r="AH154" s="1057"/>
      <c r="AI154" s="1057"/>
      <c r="AJ154" s="1057"/>
      <c r="AK154" s="1057"/>
      <c r="AL154" s="1057"/>
      <c r="AM154" s="1057"/>
      <c r="AN154" s="1057"/>
      <c r="AO154" s="1057"/>
      <c r="AP154" s="1057"/>
      <c r="AQ154" s="1057"/>
      <c r="AR154" s="1057"/>
      <c r="AS154" s="1057"/>
      <c r="AT154" s="1057"/>
      <c r="AU154" s="1057"/>
      <c r="AV154" s="1058"/>
      <c r="AW154" s="1059"/>
      <c r="AX154" s="1059"/>
      <c r="AY154" s="1059"/>
      <c r="AZ154" s="1059"/>
      <c r="BA154" s="1059"/>
      <c r="BB154" s="1059"/>
      <c r="BC154" s="1059"/>
      <c r="BD154" s="1059"/>
      <c r="BE154" s="1059"/>
      <c r="BF154" s="1059"/>
      <c r="BG154" s="1060"/>
      <c r="BH154" s="972"/>
      <c r="BI154" s="973"/>
      <c r="BJ154" s="973"/>
      <c r="BK154" s="974"/>
      <c r="BL154" s="972"/>
      <c r="BM154" s="973"/>
      <c r="BN154" s="973"/>
      <c r="BO154" s="974"/>
      <c r="BP154" s="670"/>
      <c r="BQ154" s="671"/>
      <c r="BR154" s="671"/>
      <c r="BS154" s="672"/>
      <c r="BT154" s="628"/>
      <c r="BU154" s="629"/>
      <c r="BV154" s="628"/>
      <c r="BW154" s="629"/>
      <c r="BX154" s="614"/>
      <c r="BY154" s="704"/>
      <c r="BZ154" s="595"/>
      <c r="CB154" s="499"/>
    </row>
    <row r="155" spans="3:80" ht="12" customHeight="1">
      <c r="C155" s="497"/>
      <c r="D155" s="1040"/>
      <c r="E155" s="1041"/>
      <c r="F155" s="984"/>
      <c r="G155" s="985"/>
      <c r="H155" s="986"/>
      <c r="I155" s="1075" t="s">
        <v>963</v>
      </c>
      <c r="J155" s="1076"/>
      <c r="K155" s="1079" t="s">
        <v>964</v>
      </c>
      <c r="L155" s="1080"/>
      <c r="M155" s="1080"/>
      <c r="N155" s="1080"/>
      <c r="O155" s="1007"/>
      <c r="P155" s="1008"/>
      <c r="Q155" s="1051"/>
      <c r="R155" s="1052"/>
      <c r="S155" s="1052"/>
      <c r="T155" s="1052"/>
      <c r="U155" s="1053"/>
      <c r="V155" s="617"/>
      <c r="W155" s="647"/>
      <c r="X155" s="617"/>
      <c r="Y155" s="647"/>
      <c r="Z155" s="617"/>
      <c r="AA155" s="647"/>
      <c r="AB155" s="1069"/>
      <c r="AC155" s="891"/>
      <c r="AD155" s="891"/>
      <c r="AE155" s="1070"/>
      <c r="AF155" s="673" t="s">
        <v>951</v>
      </c>
      <c r="AG155" s="674"/>
      <c r="AH155" s="674"/>
      <c r="AI155" s="674"/>
      <c r="AJ155" s="673" t="s">
        <v>952</v>
      </c>
      <c r="AK155" s="674"/>
      <c r="AL155" s="674"/>
      <c r="AM155" s="675"/>
      <c r="AN155" s="673"/>
      <c r="AO155" s="674"/>
      <c r="AP155" s="674"/>
      <c r="AQ155" s="675"/>
      <c r="AR155" s="673"/>
      <c r="AS155" s="674"/>
      <c r="AT155" s="674"/>
      <c r="AU155" s="675"/>
      <c r="AV155" s="1081"/>
      <c r="AW155" s="1082"/>
      <c r="AX155" s="1082"/>
      <c r="AY155" s="1083"/>
      <c r="AZ155" s="673"/>
      <c r="BA155" s="674"/>
      <c r="BB155" s="674"/>
      <c r="BC155" s="675"/>
      <c r="BD155" s="1081"/>
      <c r="BE155" s="1082"/>
      <c r="BF155" s="1082"/>
      <c r="BG155" s="1083"/>
      <c r="BH155" s="972"/>
      <c r="BI155" s="973"/>
      <c r="BJ155" s="973"/>
      <c r="BK155" s="974"/>
      <c r="BL155" s="972"/>
      <c r="BM155" s="973"/>
      <c r="BN155" s="973"/>
      <c r="BO155" s="974"/>
      <c r="BP155" s="679"/>
      <c r="BQ155" s="680"/>
      <c r="BR155" s="680"/>
      <c r="BS155" s="681"/>
      <c r="BT155" s="628"/>
      <c r="BU155" s="629"/>
      <c r="BV155" s="628"/>
      <c r="BW155" s="629"/>
      <c r="BX155" s="614"/>
      <c r="BY155" s="704"/>
      <c r="BZ155" s="596"/>
      <c r="CB155" s="499"/>
    </row>
    <row r="156" spans="3:80" ht="12" customHeight="1">
      <c r="C156" s="497"/>
      <c r="D156" s="1040"/>
      <c r="E156" s="1041"/>
      <c r="F156" s="984"/>
      <c r="G156" s="985"/>
      <c r="H156" s="986"/>
      <c r="I156" s="992"/>
      <c r="J156" s="993"/>
      <c r="K156" s="999"/>
      <c r="L156" s="1000"/>
      <c r="M156" s="1000"/>
      <c r="N156" s="1000"/>
      <c r="O156" s="1007"/>
      <c r="P156" s="1008"/>
      <c r="Q156" s="1051"/>
      <c r="R156" s="1052"/>
      <c r="S156" s="1052"/>
      <c r="T156" s="1052"/>
      <c r="U156" s="1053"/>
      <c r="V156" s="617"/>
      <c r="W156" s="647"/>
      <c r="X156" s="617"/>
      <c r="Y156" s="647"/>
      <c r="Z156" s="617"/>
      <c r="AA156" s="647"/>
      <c r="AB156" s="1069"/>
      <c r="AC156" s="891"/>
      <c r="AD156" s="891"/>
      <c r="AE156" s="1070"/>
      <c r="AF156" s="658" t="s">
        <v>957</v>
      </c>
      <c r="AG156" s="659"/>
      <c r="AH156" s="659"/>
      <c r="AI156" s="660"/>
      <c r="AJ156" s="658" t="s">
        <v>965</v>
      </c>
      <c r="AK156" s="659"/>
      <c r="AL156" s="659"/>
      <c r="AM156" s="660"/>
      <c r="AN156" s="665"/>
      <c r="AO156" s="666"/>
      <c r="AP156" s="666"/>
      <c r="AQ156" s="667"/>
      <c r="AR156" s="665"/>
      <c r="AS156" s="666"/>
      <c r="AT156" s="666"/>
      <c r="AU156" s="667"/>
      <c r="AV156" s="1045"/>
      <c r="AW156" s="1046"/>
      <c r="AX156" s="1046"/>
      <c r="AY156" s="1047"/>
      <c r="AZ156" s="665"/>
      <c r="BA156" s="666"/>
      <c r="BB156" s="666"/>
      <c r="BC156" s="667"/>
      <c r="BD156" s="1045"/>
      <c r="BE156" s="1046"/>
      <c r="BF156" s="1046"/>
      <c r="BG156" s="1047"/>
      <c r="BH156" s="972"/>
      <c r="BI156" s="973"/>
      <c r="BJ156" s="973"/>
      <c r="BK156" s="974"/>
      <c r="BL156" s="972"/>
      <c r="BM156" s="973"/>
      <c r="BN156" s="973"/>
      <c r="BO156" s="974"/>
      <c r="BP156" s="683"/>
      <c r="BQ156" s="684"/>
      <c r="BR156" s="684"/>
      <c r="BS156" s="685"/>
      <c r="BT156" s="628"/>
      <c r="BU156" s="629"/>
      <c r="BV156" s="628"/>
      <c r="BW156" s="629"/>
      <c r="BX156" s="614"/>
      <c r="BY156" s="704"/>
      <c r="BZ156" s="596"/>
      <c r="CB156" s="499"/>
    </row>
    <row r="157" spans="3:80" ht="12" customHeight="1" thickBot="1">
      <c r="C157" s="497"/>
      <c r="D157" s="1061"/>
      <c r="E157" s="1062"/>
      <c r="F157" s="1063"/>
      <c r="G157" s="1064"/>
      <c r="H157" s="1065"/>
      <c r="I157" s="1077"/>
      <c r="J157" s="1078"/>
      <c r="K157" s="1066"/>
      <c r="L157" s="1067"/>
      <c r="M157" s="1067"/>
      <c r="N157" s="1067"/>
      <c r="O157" s="1087"/>
      <c r="P157" s="1088"/>
      <c r="Q157" s="1089"/>
      <c r="R157" s="1090"/>
      <c r="S157" s="1090"/>
      <c r="T157" s="1090"/>
      <c r="U157" s="1091"/>
      <c r="V157" s="686"/>
      <c r="W157" s="687"/>
      <c r="X157" s="686"/>
      <c r="Y157" s="687"/>
      <c r="Z157" s="686"/>
      <c r="AA157" s="687"/>
      <c r="AB157" s="1071"/>
      <c r="AC157" s="1072"/>
      <c r="AD157" s="1072"/>
      <c r="AE157" s="1073"/>
      <c r="AF157" s="1074"/>
      <c r="AG157" s="1074"/>
      <c r="AH157" s="1074"/>
      <c r="AI157" s="1074"/>
      <c r="AJ157" s="1074"/>
      <c r="AK157" s="1074"/>
      <c r="AL157" s="1074"/>
      <c r="AM157" s="1074"/>
      <c r="AN157" s="1074"/>
      <c r="AO157" s="1074"/>
      <c r="AP157" s="1074"/>
      <c r="AQ157" s="1074"/>
      <c r="AR157" s="1074"/>
      <c r="AS157" s="1074"/>
      <c r="AT157" s="1074"/>
      <c r="AU157" s="1074"/>
      <c r="AV157" s="1058"/>
      <c r="AW157" s="1059"/>
      <c r="AX157" s="1059"/>
      <c r="AY157" s="1059"/>
      <c r="AZ157" s="1059"/>
      <c r="BA157" s="1059"/>
      <c r="BB157" s="1059"/>
      <c r="BC157" s="1059"/>
      <c r="BD157" s="1059"/>
      <c r="BE157" s="1059"/>
      <c r="BF157" s="1059"/>
      <c r="BG157" s="1060"/>
      <c r="BH157" s="972"/>
      <c r="BI157" s="973"/>
      <c r="BJ157" s="973"/>
      <c r="BK157" s="974"/>
      <c r="BL157" s="972"/>
      <c r="BM157" s="973"/>
      <c r="BN157" s="973"/>
      <c r="BO157" s="974"/>
      <c r="BP157" s="694"/>
      <c r="BQ157" s="695"/>
      <c r="BR157" s="695"/>
      <c r="BS157" s="696"/>
      <c r="BT157" s="697"/>
      <c r="BU157" s="698"/>
      <c r="BV157" s="697"/>
      <c r="BW157" s="698"/>
      <c r="BX157" s="655"/>
      <c r="BY157" s="705"/>
      <c r="BZ157" s="596"/>
      <c r="CB157" s="499"/>
    </row>
    <row r="158" spans="3:80" ht="12" customHeight="1">
      <c r="C158" s="497"/>
      <c r="D158" s="1038" t="s">
        <v>966</v>
      </c>
      <c r="E158" s="1039"/>
      <c r="F158" s="981" t="s">
        <v>967</v>
      </c>
      <c r="G158" s="982"/>
      <c r="H158" s="983"/>
      <c r="I158" s="990" t="s">
        <v>968</v>
      </c>
      <c r="J158" s="991"/>
      <c r="K158" s="996" t="s">
        <v>967</v>
      </c>
      <c r="L158" s="997"/>
      <c r="M158" s="997"/>
      <c r="N158" s="997"/>
      <c r="O158" s="1005">
        <v>40</v>
      </c>
      <c r="P158" s="1006"/>
      <c r="Q158" s="1048" t="s">
        <v>969</v>
      </c>
      <c r="R158" s="1049"/>
      <c r="S158" s="1049"/>
      <c r="T158" s="1049"/>
      <c r="U158" s="1050"/>
      <c r="V158" s="602" t="s">
        <v>755</v>
      </c>
      <c r="W158" s="699"/>
      <c r="X158" s="602" t="s">
        <v>755</v>
      </c>
      <c r="Y158" s="699"/>
      <c r="Z158" s="602" t="s">
        <v>755</v>
      </c>
      <c r="AA158" s="699"/>
      <c r="AB158" s="1068"/>
      <c r="AC158" s="1024"/>
      <c r="AD158" s="1024"/>
      <c r="AE158" s="1025"/>
      <c r="AF158" s="604" t="s">
        <v>970</v>
      </c>
      <c r="AG158" s="605"/>
      <c r="AH158" s="605"/>
      <c r="AI158" s="606"/>
      <c r="AJ158" s="604" t="s">
        <v>971</v>
      </c>
      <c r="AK158" s="605"/>
      <c r="AL158" s="605"/>
      <c r="AM158" s="606"/>
      <c r="AN158" s="604" t="s">
        <v>972</v>
      </c>
      <c r="AO158" s="605"/>
      <c r="AP158" s="605"/>
      <c r="AQ158" s="606"/>
      <c r="AR158" s="604" t="s">
        <v>973</v>
      </c>
      <c r="AS158" s="605"/>
      <c r="AT158" s="605"/>
      <c r="AU158" s="606"/>
      <c r="AV158" s="957" t="s">
        <v>974</v>
      </c>
      <c r="AW158" s="958"/>
      <c r="AX158" s="958"/>
      <c r="AY158" s="959"/>
      <c r="AZ158" s="604" t="s">
        <v>975</v>
      </c>
      <c r="BA158" s="605"/>
      <c r="BB158" s="605"/>
      <c r="BC158" s="606"/>
      <c r="BD158" s="957" t="s">
        <v>976</v>
      </c>
      <c r="BE158" s="958"/>
      <c r="BF158" s="958"/>
      <c r="BG158" s="959"/>
      <c r="BH158" s="960"/>
      <c r="BI158" s="961"/>
      <c r="BJ158" s="961"/>
      <c r="BK158" s="962"/>
      <c r="BL158" s="960"/>
      <c r="BM158" s="961"/>
      <c r="BN158" s="961"/>
      <c r="BO158" s="962"/>
      <c r="BP158" s="607"/>
      <c r="BQ158" s="608"/>
      <c r="BR158" s="608"/>
      <c r="BS158" s="609"/>
      <c r="BT158" s="600"/>
      <c r="BU158" s="601"/>
      <c r="BV158" s="600"/>
      <c r="BW158" s="601"/>
      <c r="BX158" s="600"/>
      <c r="BY158" s="703"/>
      <c r="BZ158" s="595"/>
      <c r="CB158" s="499"/>
    </row>
    <row r="159" spans="3:80" ht="12" customHeight="1">
      <c r="C159" s="497"/>
      <c r="D159" s="1040"/>
      <c r="E159" s="1041"/>
      <c r="F159" s="984"/>
      <c r="G159" s="985"/>
      <c r="H159" s="986"/>
      <c r="I159" s="992"/>
      <c r="J159" s="993"/>
      <c r="K159" s="999"/>
      <c r="L159" s="1000"/>
      <c r="M159" s="1000"/>
      <c r="N159" s="1000"/>
      <c r="O159" s="1007"/>
      <c r="P159" s="1008"/>
      <c r="Q159" s="1051"/>
      <c r="R159" s="1052"/>
      <c r="S159" s="1052"/>
      <c r="T159" s="1052"/>
      <c r="U159" s="1053"/>
      <c r="V159" s="617"/>
      <c r="W159" s="647"/>
      <c r="X159" s="617"/>
      <c r="Y159" s="647"/>
      <c r="Z159" s="617"/>
      <c r="AA159" s="647"/>
      <c r="AB159" s="1069"/>
      <c r="AC159" s="891"/>
      <c r="AD159" s="891"/>
      <c r="AE159" s="1070"/>
      <c r="AF159" s="661"/>
      <c r="AG159" s="659"/>
      <c r="AH159" s="659"/>
      <c r="AI159" s="660"/>
      <c r="AJ159" s="661" t="s">
        <v>977</v>
      </c>
      <c r="AK159" s="659"/>
      <c r="AL159" s="659"/>
      <c r="AM159" s="660"/>
      <c r="AN159" s="665" t="s">
        <v>978</v>
      </c>
      <c r="AO159" s="666"/>
      <c r="AP159" s="666"/>
      <c r="AQ159" s="667"/>
      <c r="AR159" s="665"/>
      <c r="AS159" s="666"/>
      <c r="AT159" s="666"/>
      <c r="AU159" s="667"/>
      <c r="AV159" s="1045" t="s">
        <v>979</v>
      </c>
      <c r="AW159" s="1046"/>
      <c r="AX159" s="1046"/>
      <c r="AY159" s="1047"/>
      <c r="AZ159" s="665" t="s">
        <v>979</v>
      </c>
      <c r="BA159" s="666"/>
      <c r="BB159" s="666"/>
      <c r="BC159" s="667"/>
      <c r="BD159" s="1045" t="s">
        <v>979</v>
      </c>
      <c r="BE159" s="1046"/>
      <c r="BF159" s="1046"/>
      <c r="BG159" s="1047"/>
      <c r="BH159" s="972"/>
      <c r="BI159" s="973"/>
      <c r="BJ159" s="973"/>
      <c r="BK159" s="974"/>
      <c r="BL159" s="972"/>
      <c r="BM159" s="973"/>
      <c r="BN159" s="973"/>
      <c r="BO159" s="974"/>
      <c r="BP159" s="623"/>
      <c r="BQ159" s="624"/>
      <c r="BR159" s="624"/>
      <c r="BS159" s="625"/>
      <c r="BT159" s="614"/>
      <c r="BU159" s="615"/>
      <c r="BV159" s="614"/>
      <c r="BW159" s="615"/>
      <c r="BX159" s="614"/>
      <c r="BY159" s="704"/>
      <c r="BZ159" s="596"/>
      <c r="CB159" s="499"/>
    </row>
    <row r="160" spans="3:80" ht="12" customHeight="1" thickBot="1">
      <c r="C160" s="497"/>
      <c r="D160" s="1061"/>
      <c r="E160" s="1062"/>
      <c r="F160" s="1063"/>
      <c r="G160" s="1064"/>
      <c r="H160" s="1065"/>
      <c r="I160" s="1077"/>
      <c r="J160" s="1078"/>
      <c r="K160" s="1066"/>
      <c r="L160" s="1067"/>
      <c r="M160" s="1067"/>
      <c r="N160" s="1067"/>
      <c r="O160" s="1007"/>
      <c r="P160" s="1008"/>
      <c r="Q160" s="1051"/>
      <c r="R160" s="1052"/>
      <c r="S160" s="1052"/>
      <c r="T160" s="1052"/>
      <c r="U160" s="1053"/>
      <c r="V160" s="617"/>
      <c r="W160" s="647"/>
      <c r="X160" s="617"/>
      <c r="Y160" s="647"/>
      <c r="Z160" s="617"/>
      <c r="AA160" s="647"/>
      <c r="AB160" s="1071"/>
      <c r="AC160" s="1072"/>
      <c r="AD160" s="1072"/>
      <c r="AE160" s="1073"/>
      <c r="AF160" s="1074"/>
      <c r="AG160" s="1074"/>
      <c r="AH160" s="1074"/>
      <c r="AI160" s="1074"/>
      <c r="AJ160" s="1074"/>
      <c r="AK160" s="1074"/>
      <c r="AL160" s="1074"/>
      <c r="AM160" s="1074"/>
      <c r="AN160" s="1074"/>
      <c r="AO160" s="1074"/>
      <c r="AP160" s="1074"/>
      <c r="AQ160" s="1074"/>
      <c r="AR160" s="1074"/>
      <c r="AS160" s="1074"/>
      <c r="AT160" s="1074"/>
      <c r="AU160" s="1074"/>
      <c r="AV160" s="1058"/>
      <c r="AW160" s="1059"/>
      <c r="AX160" s="1059"/>
      <c r="AY160" s="1059"/>
      <c r="AZ160" s="1059"/>
      <c r="BA160" s="1059"/>
      <c r="BB160" s="1059"/>
      <c r="BC160" s="1059"/>
      <c r="BD160" s="1059"/>
      <c r="BE160" s="1059"/>
      <c r="BF160" s="1059"/>
      <c r="BG160" s="1060"/>
      <c r="BH160" s="972"/>
      <c r="BI160" s="973"/>
      <c r="BJ160" s="973"/>
      <c r="BK160" s="974"/>
      <c r="BL160" s="972"/>
      <c r="BM160" s="973"/>
      <c r="BN160" s="973"/>
      <c r="BO160" s="974"/>
      <c r="BP160" s="670"/>
      <c r="BQ160" s="671"/>
      <c r="BR160" s="671"/>
      <c r="BS160" s="672"/>
      <c r="BT160" s="614"/>
      <c r="BU160" s="615"/>
      <c r="BV160" s="614"/>
      <c r="BW160" s="615"/>
      <c r="BX160" s="614"/>
      <c r="BY160" s="704"/>
      <c r="BZ160" s="595"/>
      <c r="CB160" s="499"/>
    </row>
    <row r="161" spans="3:80" ht="12" customHeight="1">
      <c r="C161" s="497"/>
      <c r="D161" s="1038" t="s">
        <v>980</v>
      </c>
      <c r="E161" s="1039"/>
      <c r="F161" s="981" t="s">
        <v>981</v>
      </c>
      <c r="G161" s="982"/>
      <c r="H161" s="983"/>
      <c r="I161" s="990" t="s">
        <v>982</v>
      </c>
      <c r="J161" s="991"/>
      <c r="K161" s="996" t="s">
        <v>983</v>
      </c>
      <c r="L161" s="997"/>
      <c r="M161" s="997"/>
      <c r="N161" s="997"/>
      <c r="O161" s="1005">
        <v>40</v>
      </c>
      <c r="P161" s="1006"/>
      <c r="Q161" s="1048" t="s">
        <v>950</v>
      </c>
      <c r="R161" s="1049"/>
      <c r="S161" s="1049"/>
      <c r="T161" s="1049"/>
      <c r="U161" s="1050"/>
      <c r="V161" s="602" t="s">
        <v>928</v>
      </c>
      <c r="W161" s="699"/>
      <c r="X161" s="602" t="s">
        <v>928</v>
      </c>
      <c r="Y161" s="699"/>
      <c r="Z161" s="602" t="s">
        <v>928</v>
      </c>
      <c r="AA161" s="699"/>
      <c r="AB161" s="1068"/>
      <c r="AC161" s="1024"/>
      <c r="AD161" s="1024"/>
      <c r="AE161" s="1025"/>
      <c r="AF161" s="604" t="s">
        <v>984</v>
      </c>
      <c r="AG161" s="605"/>
      <c r="AH161" s="605"/>
      <c r="AI161" s="605"/>
      <c r="AJ161" s="604" t="s">
        <v>985</v>
      </c>
      <c r="AK161" s="605"/>
      <c r="AL161" s="605"/>
      <c r="AM161" s="606"/>
      <c r="AN161" s="604" t="s">
        <v>986</v>
      </c>
      <c r="AO161" s="605"/>
      <c r="AP161" s="605"/>
      <c r="AQ161" s="606"/>
      <c r="AR161" s="604"/>
      <c r="AS161" s="605"/>
      <c r="AT161" s="605"/>
      <c r="AU161" s="606"/>
      <c r="AV161" s="957"/>
      <c r="AW161" s="958"/>
      <c r="AX161" s="958"/>
      <c r="AY161" s="959"/>
      <c r="AZ161" s="604"/>
      <c r="BA161" s="605"/>
      <c r="BB161" s="605"/>
      <c r="BC161" s="606"/>
      <c r="BD161" s="957"/>
      <c r="BE161" s="958"/>
      <c r="BF161" s="958"/>
      <c r="BG161" s="959"/>
      <c r="BH161" s="960"/>
      <c r="BI161" s="961"/>
      <c r="BJ161" s="961"/>
      <c r="BK161" s="962"/>
      <c r="BL161" s="960"/>
      <c r="BM161" s="961"/>
      <c r="BN161" s="961"/>
      <c r="BO161" s="962"/>
      <c r="BP161" s="607"/>
      <c r="BQ161" s="608"/>
      <c r="BR161" s="608"/>
      <c r="BS161" s="609"/>
      <c r="BT161" s="612"/>
      <c r="BU161" s="613"/>
      <c r="BV161" s="612"/>
      <c r="BW161" s="613"/>
      <c r="BX161" s="600"/>
      <c r="BY161" s="703"/>
      <c r="BZ161" s="595"/>
      <c r="CB161" s="499"/>
    </row>
    <row r="162" spans="3:80" ht="12" customHeight="1">
      <c r="C162" s="497"/>
      <c r="D162" s="1040"/>
      <c r="E162" s="1041"/>
      <c r="F162" s="984"/>
      <c r="G162" s="985"/>
      <c r="H162" s="986"/>
      <c r="I162" s="992"/>
      <c r="J162" s="993"/>
      <c r="K162" s="999"/>
      <c r="L162" s="1000"/>
      <c r="M162" s="1000"/>
      <c r="N162" s="1000"/>
      <c r="O162" s="1007"/>
      <c r="P162" s="1008"/>
      <c r="Q162" s="1051"/>
      <c r="R162" s="1052"/>
      <c r="S162" s="1052"/>
      <c r="T162" s="1052"/>
      <c r="U162" s="1053"/>
      <c r="V162" s="617"/>
      <c r="W162" s="647"/>
      <c r="X162" s="617"/>
      <c r="Y162" s="647"/>
      <c r="Z162" s="617"/>
      <c r="AA162" s="647"/>
      <c r="AB162" s="1069"/>
      <c r="AC162" s="891"/>
      <c r="AD162" s="891"/>
      <c r="AE162" s="1070"/>
      <c r="AF162" s="658" t="s">
        <v>987</v>
      </c>
      <c r="AG162" s="659"/>
      <c r="AH162" s="659"/>
      <c r="AI162" s="660"/>
      <c r="AJ162" s="658" t="s">
        <v>988</v>
      </c>
      <c r="AK162" s="659"/>
      <c r="AL162" s="659"/>
      <c r="AM162" s="660"/>
      <c r="AN162" s="658" t="s">
        <v>989</v>
      </c>
      <c r="AO162" s="659"/>
      <c r="AP162" s="659"/>
      <c r="AQ162" s="660"/>
      <c r="AR162" s="622"/>
      <c r="AS162" s="620"/>
      <c r="AT162" s="620"/>
      <c r="AU162" s="621"/>
      <c r="AV162" s="1084"/>
      <c r="AW162" s="1085"/>
      <c r="AX162" s="1085"/>
      <c r="AY162" s="1086"/>
      <c r="AZ162" s="622"/>
      <c r="BA162" s="620"/>
      <c r="BB162" s="620"/>
      <c r="BC162" s="621"/>
      <c r="BD162" s="1084"/>
      <c r="BE162" s="1085"/>
      <c r="BF162" s="1085"/>
      <c r="BG162" s="1086"/>
      <c r="BH162" s="972"/>
      <c r="BI162" s="973"/>
      <c r="BJ162" s="973"/>
      <c r="BK162" s="974"/>
      <c r="BL162" s="972"/>
      <c r="BM162" s="973"/>
      <c r="BN162" s="973"/>
      <c r="BO162" s="974"/>
      <c r="BP162" s="623"/>
      <c r="BQ162" s="624"/>
      <c r="BR162" s="624"/>
      <c r="BS162" s="625"/>
      <c r="BT162" s="628"/>
      <c r="BU162" s="629"/>
      <c r="BV162" s="628"/>
      <c r="BW162" s="629"/>
      <c r="BX162" s="614"/>
      <c r="BY162" s="704"/>
      <c r="BZ162" s="595"/>
      <c r="CB162" s="499"/>
    </row>
    <row r="163" spans="3:80" ht="12" customHeight="1">
      <c r="C163" s="497"/>
      <c r="D163" s="1040"/>
      <c r="E163" s="1041"/>
      <c r="F163" s="984"/>
      <c r="G163" s="985"/>
      <c r="H163" s="986"/>
      <c r="I163" s="992"/>
      <c r="J163" s="993"/>
      <c r="K163" s="1066"/>
      <c r="L163" s="1067"/>
      <c r="M163" s="1067"/>
      <c r="N163" s="1067"/>
      <c r="O163" s="1007"/>
      <c r="P163" s="1008"/>
      <c r="Q163" s="1051"/>
      <c r="R163" s="1052"/>
      <c r="S163" s="1052"/>
      <c r="T163" s="1052"/>
      <c r="U163" s="1053"/>
      <c r="V163" s="617"/>
      <c r="W163" s="647"/>
      <c r="X163" s="617"/>
      <c r="Y163" s="647"/>
      <c r="Z163" s="617"/>
      <c r="AA163" s="647"/>
      <c r="AB163" s="1069"/>
      <c r="AC163" s="891"/>
      <c r="AD163" s="891"/>
      <c r="AE163" s="1070"/>
      <c r="AF163" s="1057"/>
      <c r="AG163" s="1057"/>
      <c r="AH163" s="1057"/>
      <c r="AI163" s="1057"/>
      <c r="AJ163" s="1057"/>
      <c r="AK163" s="1057"/>
      <c r="AL163" s="1057"/>
      <c r="AM163" s="1057"/>
      <c r="AN163" s="1057"/>
      <c r="AO163" s="1057"/>
      <c r="AP163" s="1057"/>
      <c r="AQ163" s="1057"/>
      <c r="AR163" s="1057"/>
      <c r="AS163" s="1057"/>
      <c r="AT163" s="1057"/>
      <c r="AU163" s="1057"/>
      <c r="AV163" s="1058"/>
      <c r="AW163" s="1059"/>
      <c r="AX163" s="1059"/>
      <c r="AY163" s="1059"/>
      <c r="AZ163" s="1059"/>
      <c r="BA163" s="1059"/>
      <c r="BB163" s="1059"/>
      <c r="BC163" s="1059"/>
      <c r="BD163" s="1059"/>
      <c r="BE163" s="1059"/>
      <c r="BF163" s="1059"/>
      <c r="BG163" s="1060"/>
      <c r="BH163" s="972"/>
      <c r="BI163" s="973"/>
      <c r="BJ163" s="973"/>
      <c r="BK163" s="974"/>
      <c r="BL163" s="972"/>
      <c r="BM163" s="973"/>
      <c r="BN163" s="973"/>
      <c r="BO163" s="974"/>
      <c r="BP163" s="670"/>
      <c r="BQ163" s="671"/>
      <c r="BR163" s="671"/>
      <c r="BS163" s="672"/>
      <c r="BT163" s="628"/>
      <c r="BU163" s="629"/>
      <c r="BV163" s="628"/>
      <c r="BW163" s="629"/>
      <c r="BX163" s="614"/>
      <c r="BY163" s="704"/>
      <c r="BZ163" s="595"/>
      <c r="CB163" s="499"/>
    </row>
    <row r="164" spans="3:80" ht="12" customHeight="1">
      <c r="C164" s="497"/>
      <c r="D164" s="1040"/>
      <c r="E164" s="1041"/>
      <c r="F164" s="984"/>
      <c r="G164" s="985"/>
      <c r="H164" s="986"/>
      <c r="I164" s="1075" t="s">
        <v>990</v>
      </c>
      <c r="J164" s="1076"/>
      <c r="K164" s="1079" t="s">
        <v>991</v>
      </c>
      <c r="L164" s="1080"/>
      <c r="M164" s="1080"/>
      <c r="N164" s="1080"/>
      <c r="O164" s="1007"/>
      <c r="P164" s="1008"/>
      <c r="Q164" s="1051"/>
      <c r="R164" s="1052"/>
      <c r="S164" s="1052"/>
      <c r="T164" s="1052"/>
      <c r="U164" s="1053"/>
      <c r="V164" s="617"/>
      <c r="W164" s="647"/>
      <c r="X164" s="617"/>
      <c r="Y164" s="647"/>
      <c r="Z164" s="617"/>
      <c r="AA164" s="647"/>
      <c r="AB164" s="1069"/>
      <c r="AC164" s="891"/>
      <c r="AD164" s="891"/>
      <c r="AE164" s="1070"/>
      <c r="AF164" s="673" t="s">
        <v>992</v>
      </c>
      <c r="AG164" s="674"/>
      <c r="AH164" s="674"/>
      <c r="AI164" s="674"/>
      <c r="AJ164" s="673" t="s">
        <v>993</v>
      </c>
      <c r="AK164" s="674"/>
      <c r="AL164" s="674"/>
      <c r="AM164" s="675"/>
      <c r="AN164" s="676" t="s">
        <v>994</v>
      </c>
      <c r="AO164" s="677"/>
      <c r="AP164" s="677"/>
      <c r="AQ164" s="678"/>
      <c r="AR164" s="676" t="s">
        <v>995</v>
      </c>
      <c r="AS164" s="677"/>
      <c r="AT164" s="677"/>
      <c r="AU164" s="678"/>
      <c r="AV164" s="676" t="s">
        <v>996</v>
      </c>
      <c r="AW164" s="677"/>
      <c r="AX164" s="677"/>
      <c r="AY164" s="678"/>
      <c r="AZ164" s="673"/>
      <c r="BA164" s="674"/>
      <c r="BB164" s="674"/>
      <c r="BC164" s="675"/>
      <c r="BD164" s="1081"/>
      <c r="BE164" s="1082"/>
      <c r="BF164" s="1082"/>
      <c r="BG164" s="1083"/>
      <c r="BH164" s="972"/>
      <c r="BI164" s="973"/>
      <c r="BJ164" s="973"/>
      <c r="BK164" s="974"/>
      <c r="BL164" s="972"/>
      <c r="BM164" s="973"/>
      <c r="BN164" s="973"/>
      <c r="BO164" s="974"/>
      <c r="BP164" s="679"/>
      <c r="BQ164" s="680"/>
      <c r="BR164" s="680"/>
      <c r="BS164" s="681"/>
      <c r="BT164" s="628"/>
      <c r="BU164" s="629"/>
      <c r="BV164" s="628"/>
      <c r="BW164" s="629"/>
      <c r="BX164" s="614"/>
      <c r="BY164" s="704"/>
      <c r="BZ164" s="596"/>
      <c r="CB164" s="499"/>
    </row>
    <row r="165" spans="3:80" ht="12" customHeight="1">
      <c r="C165" s="497"/>
      <c r="D165" s="1040"/>
      <c r="E165" s="1041"/>
      <c r="F165" s="984"/>
      <c r="G165" s="985"/>
      <c r="H165" s="986"/>
      <c r="I165" s="992"/>
      <c r="J165" s="993"/>
      <c r="K165" s="999"/>
      <c r="L165" s="1000"/>
      <c r="M165" s="1000"/>
      <c r="N165" s="1000"/>
      <c r="O165" s="1007"/>
      <c r="P165" s="1008"/>
      <c r="Q165" s="1051"/>
      <c r="R165" s="1052"/>
      <c r="S165" s="1052"/>
      <c r="T165" s="1052"/>
      <c r="U165" s="1053"/>
      <c r="V165" s="617"/>
      <c r="W165" s="647"/>
      <c r="X165" s="617"/>
      <c r="Y165" s="647"/>
      <c r="Z165" s="617"/>
      <c r="AA165" s="647"/>
      <c r="AB165" s="1069"/>
      <c r="AC165" s="891"/>
      <c r="AD165" s="891"/>
      <c r="AE165" s="1070"/>
      <c r="AF165" s="658" t="s">
        <v>919</v>
      </c>
      <c r="AG165" s="659"/>
      <c r="AH165" s="659"/>
      <c r="AI165" s="660"/>
      <c r="AJ165" s="658"/>
      <c r="AK165" s="659"/>
      <c r="AL165" s="659"/>
      <c r="AM165" s="660"/>
      <c r="AN165" s="658"/>
      <c r="AO165" s="659"/>
      <c r="AP165" s="659"/>
      <c r="AQ165" s="660"/>
      <c r="AR165" s="658" t="s">
        <v>997</v>
      </c>
      <c r="AS165" s="659"/>
      <c r="AT165" s="659"/>
      <c r="AU165" s="660"/>
      <c r="AV165" s="658" t="s">
        <v>998</v>
      </c>
      <c r="AW165" s="659"/>
      <c r="AX165" s="659"/>
      <c r="AY165" s="660"/>
      <c r="AZ165" s="622"/>
      <c r="BA165" s="620"/>
      <c r="BB165" s="620"/>
      <c r="BC165" s="621"/>
      <c r="BD165" s="1084"/>
      <c r="BE165" s="1085"/>
      <c r="BF165" s="1085"/>
      <c r="BG165" s="1086"/>
      <c r="BH165" s="972"/>
      <c r="BI165" s="973"/>
      <c r="BJ165" s="973"/>
      <c r="BK165" s="974"/>
      <c r="BL165" s="972"/>
      <c r="BM165" s="973"/>
      <c r="BN165" s="973"/>
      <c r="BO165" s="974"/>
      <c r="BP165" s="683"/>
      <c r="BQ165" s="684"/>
      <c r="BR165" s="684"/>
      <c r="BS165" s="685"/>
      <c r="BT165" s="628"/>
      <c r="BU165" s="629"/>
      <c r="BV165" s="628"/>
      <c r="BW165" s="629"/>
      <c r="BX165" s="614"/>
      <c r="BY165" s="704"/>
      <c r="BZ165" s="596"/>
      <c r="CB165" s="499"/>
    </row>
    <row r="166" spans="3:80" ht="12" customHeight="1">
      <c r="C166" s="497"/>
      <c r="D166" s="1040"/>
      <c r="E166" s="1041"/>
      <c r="F166" s="984"/>
      <c r="G166" s="985"/>
      <c r="H166" s="986"/>
      <c r="I166" s="1077"/>
      <c r="J166" s="1078"/>
      <c r="K166" s="1066"/>
      <c r="L166" s="1067"/>
      <c r="M166" s="1067"/>
      <c r="N166" s="1067"/>
      <c r="O166" s="1007"/>
      <c r="P166" s="1008"/>
      <c r="Q166" s="1051"/>
      <c r="R166" s="1052"/>
      <c r="S166" s="1052"/>
      <c r="T166" s="1052"/>
      <c r="U166" s="1053"/>
      <c r="V166" s="617"/>
      <c r="W166" s="647"/>
      <c r="X166" s="617"/>
      <c r="Y166" s="647"/>
      <c r="Z166" s="617"/>
      <c r="AA166" s="647"/>
      <c r="AB166" s="1069"/>
      <c r="AC166" s="891"/>
      <c r="AD166" s="891"/>
      <c r="AE166" s="1070"/>
      <c r="AF166" s="1057"/>
      <c r="AG166" s="1057"/>
      <c r="AH166" s="1057"/>
      <c r="AI166" s="1057"/>
      <c r="AJ166" s="1057"/>
      <c r="AK166" s="1057"/>
      <c r="AL166" s="1057"/>
      <c r="AM166" s="1057"/>
      <c r="AN166" s="1057"/>
      <c r="AO166" s="1057"/>
      <c r="AP166" s="1057"/>
      <c r="AQ166" s="1057"/>
      <c r="AR166" s="1057"/>
      <c r="AS166" s="1057"/>
      <c r="AT166" s="1057"/>
      <c r="AU166" s="1057"/>
      <c r="AV166" s="1058"/>
      <c r="AW166" s="1059"/>
      <c r="AX166" s="1059"/>
      <c r="AY166" s="1059"/>
      <c r="AZ166" s="1059"/>
      <c r="BA166" s="1059"/>
      <c r="BB166" s="1059"/>
      <c r="BC166" s="1059"/>
      <c r="BD166" s="1059"/>
      <c r="BE166" s="1059"/>
      <c r="BF166" s="1059"/>
      <c r="BG166" s="1060"/>
      <c r="BH166" s="972"/>
      <c r="BI166" s="973"/>
      <c r="BJ166" s="973"/>
      <c r="BK166" s="974"/>
      <c r="BL166" s="972"/>
      <c r="BM166" s="973"/>
      <c r="BN166" s="973"/>
      <c r="BO166" s="974"/>
      <c r="BP166" s="694"/>
      <c r="BQ166" s="695"/>
      <c r="BR166" s="695"/>
      <c r="BS166" s="696"/>
      <c r="BT166" s="628"/>
      <c r="BU166" s="629"/>
      <c r="BV166" s="628"/>
      <c r="BW166" s="629"/>
      <c r="BX166" s="614"/>
      <c r="BY166" s="704"/>
      <c r="BZ166" s="596"/>
      <c r="CB166" s="499"/>
    </row>
    <row r="167" spans="3:80" ht="12" customHeight="1">
      <c r="C167" s="497"/>
      <c r="D167" s="1040"/>
      <c r="E167" s="1041"/>
      <c r="F167" s="984"/>
      <c r="G167" s="985"/>
      <c r="H167" s="986"/>
      <c r="I167" s="992" t="s">
        <v>999</v>
      </c>
      <c r="J167" s="993"/>
      <c r="K167" s="1079" t="s">
        <v>1000</v>
      </c>
      <c r="L167" s="1080"/>
      <c r="M167" s="1080"/>
      <c r="N167" s="1080"/>
      <c r="O167" s="1007"/>
      <c r="P167" s="1008"/>
      <c r="Q167" s="1051"/>
      <c r="R167" s="1052"/>
      <c r="S167" s="1052"/>
      <c r="T167" s="1052"/>
      <c r="U167" s="1053"/>
      <c r="V167" s="617"/>
      <c r="W167" s="647"/>
      <c r="X167" s="617"/>
      <c r="Y167" s="647"/>
      <c r="Z167" s="617"/>
      <c r="AA167" s="647"/>
      <c r="AB167" s="1069"/>
      <c r="AC167" s="891"/>
      <c r="AD167" s="891"/>
      <c r="AE167" s="1070"/>
      <c r="AF167" s="673" t="s">
        <v>1001</v>
      </c>
      <c r="AG167" s="674"/>
      <c r="AH167" s="674"/>
      <c r="AI167" s="674"/>
      <c r="AJ167" s="673" t="s">
        <v>1002</v>
      </c>
      <c r="AK167" s="674"/>
      <c r="AL167" s="674"/>
      <c r="AM167" s="675"/>
      <c r="AN167" s="673" t="s">
        <v>1003</v>
      </c>
      <c r="AO167" s="674"/>
      <c r="AP167" s="674"/>
      <c r="AQ167" s="675"/>
      <c r="AR167" s="673"/>
      <c r="AS167" s="674"/>
      <c r="AT167" s="674"/>
      <c r="AU167" s="675"/>
      <c r="AV167" s="1081"/>
      <c r="AW167" s="1082"/>
      <c r="AX167" s="1082"/>
      <c r="AY167" s="1083"/>
      <c r="AZ167" s="673"/>
      <c r="BA167" s="674"/>
      <c r="BB167" s="674"/>
      <c r="BC167" s="675"/>
      <c r="BD167" s="1081"/>
      <c r="BE167" s="1082"/>
      <c r="BF167" s="1082"/>
      <c r="BG167" s="1083"/>
      <c r="BH167" s="972"/>
      <c r="BI167" s="973"/>
      <c r="BJ167" s="973"/>
      <c r="BK167" s="974"/>
      <c r="BL167" s="972"/>
      <c r="BM167" s="973"/>
      <c r="BN167" s="973"/>
      <c r="BO167" s="974"/>
      <c r="BP167" s="679"/>
      <c r="BQ167" s="680"/>
      <c r="BR167" s="680"/>
      <c r="BS167" s="681"/>
      <c r="BT167" s="628"/>
      <c r="BU167" s="629"/>
      <c r="BV167" s="628"/>
      <c r="BW167" s="629"/>
      <c r="BX167" s="614"/>
      <c r="BY167" s="704"/>
      <c r="BZ167" s="596"/>
      <c r="CB167" s="499"/>
    </row>
    <row r="168" spans="3:80" ht="12" customHeight="1">
      <c r="C168" s="497"/>
      <c r="D168" s="1040"/>
      <c r="E168" s="1041"/>
      <c r="F168" s="984"/>
      <c r="G168" s="985"/>
      <c r="H168" s="986"/>
      <c r="I168" s="992"/>
      <c r="J168" s="993"/>
      <c r="K168" s="999"/>
      <c r="L168" s="1000"/>
      <c r="M168" s="1000"/>
      <c r="N168" s="1000"/>
      <c r="O168" s="1007"/>
      <c r="P168" s="1008"/>
      <c r="Q168" s="1051"/>
      <c r="R168" s="1052"/>
      <c r="S168" s="1052"/>
      <c r="T168" s="1052"/>
      <c r="U168" s="1053"/>
      <c r="V168" s="617"/>
      <c r="W168" s="647"/>
      <c r="X168" s="617"/>
      <c r="Y168" s="647"/>
      <c r="Z168" s="617"/>
      <c r="AA168" s="647"/>
      <c r="AB168" s="1069"/>
      <c r="AC168" s="891"/>
      <c r="AD168" s="891"/>
      <c r="AE168" s="1070"/>
      <c r="AF168" s="658" t="s">
        <v>1004</v>
      </c>
      <c r="AG168" s="659"/>
      <c r="AH168" s="659"/>
      <c r="AI168" s="660"/>
      <c r="AJ168" s="658" t="s">
        <v>1005</v>
      </c>
      <c r="AK168" s="659"/>
      <c r="AL168" s="659"/>
      <c r="AM168" s="660"/>
      <c r="AN168" s="658" t="s">
        <v>1006</v>
      </c>
      <c r="AO168" s="659"/>
      <c r="AP168" s="659"/>
      <c r="AQ168" s="660"/>
      <c r="AR168" s="665"/>
      <c r="AS168" s="666"/>
      <c r="AT168" s="666"/>
      <c r="AU168" s="667"/>
      <c r="AV168" s="1045"/>
      <c r="AW168" s="1046"/>
      <c r="AX168" s="1046"/>
      <c r="AY168" s="1047"/>
      <c r="AZ168" s="665"/>
      <c r="BA168" s="666"/>
      <c r="BB168" s="666"/>
      <c r="BC168" s="667"/>
      <c r="BD168" s="1045"/>
      <c r="BE168" s="1046"/>
      <c r="BF168" s="1046"/>
      <c r="BG168" s="1047"/>
      <c r="BH168" s="972"/>
      <c r="BI168" s="973"/>
      <c r="BJ168" s="973"/>
      <c r="BK168" s="974"/>
      <c r="BL168" s="972"/>
      <c r="BM168" s="973"/>
      <c r="BN168" s="973"/>
      <c r="BO168" s="974"/>
      <c r="BP168" s="683"/>
      <c r="BQ168" s="684"/>
      <c r="BR168" s="684"/>
      <c r="BS168" s="685"/>
      <c r="BT168" s="628"/>
      <c r="BU168" s="629"/>
      <c r="BV168" s="628"/>
      <c r="BW168" s="629"/>
      <c r="BX168" s="614"/>
      <c r="BY168" s="704"/>
      <c r="BZ168" s="596"/>
      <c r="CB168" s="499"/>
    </row>
    <row r="169" spans="3:80" ht="12" customHeight="1" thickBot="1">
      <c r="C169" s="497"/>
      <c r="D169" s="1061"/>
      <c r="E169" s="1062"/>
      <c r="F169" s="1063"/>
      <c r="G169" s="1064"/>
      <c r="H169" s="1065"/>
      <c r="I169" s="1077"/>
      <c r="J169" s="1078"/>
      <c r="K169" s="1066"/>
      <c r="L169" s="1067"/>
      <c r="M169" s="1067"/>
      <c r="N169" s="1067"/>
      <c r="O169" s="1087"/>
      <c r="P169" s="1088"/>
      <c r="Q169" s="1089"/>
      <c r="R169" s="1090"/>
      <c r="S169" s="1090"/>
      <c r="T169" s="1090"/>
      <c r="U169" s="1091"/>
      <c r="V169" s="686"/>
      <c r="W169" s="687"/>
      <c r="X169" s="686"/>
      <c r="Y169" s="687"/>
      <c r="Z169" s="686"/>
      <c r="AA169" s="687"/>
      <c r="AB169" s="1071"/>
      <c r="AC169" s="1072"/>
      <c r="AD169" s="1072"/>
      <c r="AE169" s="1073"/>
      <c r="AF169" s="1074"/>
      <c r="AG169" s="1074"/>
      <c r="AH169" s="1074"/>
      <c r="AI169" s="1074"/>
      <c r="AJ169" s="1074"/>
      <c r="AK169" s="1074"/>
      <c r="AL169" s="1074"/>
      <c r="AM169" s="1074"/>
      <c r="AN169" s="1074"/>
      <c r="AO169" s="1074"/>
      <c r="AP169" s="1074"/>
      <c r="AQ169" s="1074"/>
      <c r="AR169" s="1074"/>
      <c r="AS169" s="1074"/>
      <c r="AT169" s="1074"/>
      <c r="AU169" s="1074"/>
      <c r="AV169" s="1058"/>
      <c r="AW169" s="1059"/>
      <c r="AX169" s="1059"/>
      <c r="AY169" s="1059"/>
      <c r="AZ169" s="1059"/>
      <c r="BA169" s="1059"/>
      <c r="BB169" s="1059"/>
      <c r="BC169" s="1059"/>
      <c r="BD169" s="1059"/>
      <c r="BE169" s="1059"/>
      <c r="BF169" s="1059"/>
      <c r="BG169" s="1060"/>
      <c r="BH169" s="972"/>
      <c r="BI169" s="973"/>
      <c r="BJ169" s="973"/>
      <c r="BK169" s="974"/>
      <c r="BL169" s="972"/>
      <c r="BM169" s="973"/>
      <c r="BN169" s="973"/>
      <c r="BO169" s="974"/>
      <c r="BP169" s="694"/>
      <c r="BQ169" s="695"/>
      <c r="BR169" s="695"/>
      <c r="BS169" s="696"/>
      <c r="BT169" s="697"/>
      <c r="BU169" s="698"/>
      <c r="BV169" s="697"/>
      <c r="BW169" s="698"/>
      <c r="BX169" s="655"/>
      <c r="BY169" s="705"/>
      <c r="BZ169" s="596"/>
      <c r="CB169" s="499"/>
    </row>
    <row r="170" spans="3:80" ht="12" customHeight="1">
      <c r="C170" s="497"/>
      <c r="D170" s="1038" t="s">
        <v>1007</v>
      </c>
      <c r="E170" s="1039"/>
      <c r="F170" s="981" t="s">
        <v>1008</v>
      </c>
      <c r="G170" s="982"/>
      <c r="H170" s="983"/>
      <c r="I170" s="990" t="s">
        <v>1009</v>
      </c>
      <c r="J170" s="991"/>
      <c r="K170" s="996" t="s">
        <v>1008</v>
      </c>
      <c r="L170" s="997"/>
      <c r="M170" s="997"/>
      <c r="N170" s="997"/>
      <c r="O170" s="1005">
        <v>40</v>
      </c>
      <c r="P170" s="1006"/>
      <c r="Q170" s="1011" t="s">
        <v>1010</v>
      </c>
      <c r="R170" s="1012"/>
      <c r="S170" s="1012"/>
      <c r="T170" s="1012"/>
      <c r="U170" s="1013"/>
      <c r="V170" s="602" t="s">
        <v>755</v>
      </c>
      <c r="W170" s="699"/>
      <c r="X170" s="602" t="s">
        <v>755</v>
      </c>
      <c r="Y170" s="699"/>
      <c r="Z170" s="602" t="s">
        <v>755</v>
      </c>
      <c r="AA170" s="699"/>
      <c r="AB170" s="1068"/>
      <c r="AC170" s="1024"/>
      <c r="AD170" s="1024"/>
      <c r="AE170" s="1025"/>
      <c r="AF170" s="604" t="s">
        <v>1011</v>
      </c>
      <c r="AG170" s="605"/>
      <c r="AH170" s="605"/>
      <c r="AI170" s="606"/>
      <c r="AJ170" s="604" t="s">
        <v>1012</v>
      </c>
      <c r="AK170" s="605"/>
      <c r="AL170" s="605"/>
      <c r="AM170" s="606"/>
      <c r="AN170" s="604"/>
      <c r="AO170" s="605"/>
      <c r="AP170" s="605"/>
      <c r="AQ170" s="606"/>
      <c r="AR170" s="604"/>
      <c r="AS170" s="605"/>
      <c r="AT170" s="605"/>
      <c r="AU170" s="606"/>
      <c r="AV170" s="957"/>
      <c r="AW170" s="958"/>
      <c r="AX170" s="958"/>
      <c r="AY170" s="959"/>
      <c r="AZ170" s="604"/>
      <c r="BA170" s="605"/>
      <c r="BB170" s="605"/>
      <c r="BC170" s="606"/>
      <c r="BD170" s="957"/>
      <c r="BE170" s="958"/>
      <c r="BF170" s="958"/>
      <c r="BG170" s="959"/>
      <c r="BH170" s="960"/>
      <c r="BI170" s="961"/>
      <c r="BJ170" s="961"/>
      <c r="BK170" s="962"/>
      <c r="BL170" s="960"/>
      <c r="BM170" s="961"/>
      <c r="BN170" s="961"/>
      <c r="BO170" s="962"/>
      <c r="BP170" s="607"/>
      <c r="BQ170" s="608"/>
      <c r="BR170" s="608"/>
      <c r="BS170" s="609"/>
      <c r="BT170" s="600"/>
      <c r="BU170" s="601"/>
      <c r="BV170" s="600"/>
      <c r="BW170" s="601"/>
      <c r="BX170" s="600"/>
      <c r="BY170" s="703"/>
      <c r="BZ170" s="595"/>
      <c r="CB170" s="499"/>
    </row>
    <row r="171" spans="3:80" ht="12" customHeight="1">
      <c r="C171" s="497"/>
      <c r="D171" s="1040"/>
      <c r="E171" s="1041"/>
      <c r="F171" s="984"/>
      <c r="G171" s="985"/>
      <c r="H171" s="986"/>
      <c r="I171" s="992"/>
      <c r="J171" s="993"/>
      <c r="K171" s="999"/>
      <c r="L171" s="1000"/>
      <c r="M171" s="1000"/>
      <c r="N171" s="1000"/>
      <c r="O171" s="1007"/>
      <c r="P171" s="1008"/>
      <c r="Q171" s="1014"/>
      <c r="R171" s="1015"/>
      <c r="S171" s="1015"/>
      <c r="T171" s="1015"/>
      <c r="U171" s="1016"/>
      <c r="V171" s="617"/>
      <c r="W171" s="647"/>
      <c r="X171" s="617"/>
      <c r="Y171" s="647"/>
      <c r="Z171" s="617"/>
      <c r="AA171" s="647"/>
      <c r="AB171" s="1069"/>
      <c r="AC171" s="891"/>
      <c r="AD171" s="891"/>
      <c r="AE171" s="1070"/>
      <c r="AF171" s="661" t="s">
        <v>1013</v>
      </c>
      <c r="AG171" s="659"/>
      <c r="AH171" s="659"/>
      <c r="AI171" s="660"/>
      <c r="AJ171" s="661" t="s">
        <v>1014</v>
      </c>
      <c r="AK171" s="659"/>
      <c r="AL171" s="659"/>
      <c r="AM171" s="660"/>
      <c r="AN171" s="665"/>
      <c r="AO171" s="666"/>
      <c r="AP171" s="666"/>
      <c r="AQ171" s="667"/>
      <c r="AR171" s="665"/>
      <c r="AS171" s="666"/>
      <c r="AT171" s="666"/>
      <c r="AU171" s="667"/>
      <c r="AV171" s="1045"/>
      <c r="AW171" s="1046"/>
      <c r="AX171" s="1046"/>
      <c r="AY171" s="1047"/>
      <c r="AZ171" s="665"/>
      <c r="BA171" s="666"/>
      <c r="BB171" s="666"/>
      <c r="BC171" s="667"/>
      <c r="BD171" s="1045"/>
      <c r="BE171" s="1046"/>
      <c r="BF171" s="1046"/>
      <c r="BG171" s="1047"/>
      <c r="BH171" s="972"/>
      <c r="BI171" s="973"/>
      <c r="BJ171" s="973"/>
      <c r="BK171" s="974"/>
      <c r="BL171" s="972"/>
      <c r="BM171" s="973"/>
      <c r="BN171" s="973"/>
      <c r="BO171" s="974"/>
      <c r="BP171" s="623"/>
      <c r="BQ171" s="624"/>
      <c r="BR171" s="624"/>
      <c r="BS171" s="625"/>
      <c r="BT171" s="614"/>
      <c r="BU171" s="615"/>
      <c r="BV171" s="614"/>
      <c r="BW171" s="615"/>
      <c r="BX171" s="614"/>
      <c r="BY171" s="704"/>
      <c r="BZ171" s="596"/>
      <c r="CB171" s="499"/>
    </row>
    <row r="172" spans="3:80" ht="12" customHeight="1" thickBot="1">
      <c r="C172" s="497"/>
      <c r="D172" s="1061"/>
      <c r="E172" s="1062"/>
      <c r="F172" s="1063"/>
      <c r="G172" s="1064"/>
      <c r="H172" s="1065"/>
      <c r="I172" s="1077"/>
      <c r="J172" s="1078"/>
      <c r="K172" s="1066"/>
      <c r="L172" s="1067"/>
      <c r="M172" s="1067"/>
      <c r="N172" s="1067"/>
      <c r="O172" s="1007"/>
      <c r="P172" s="1008"/>
      <c r="Q172" s="1014"/>
      <c r="R172" s="1015"/>
      <c r="S172" s="1015"/>
      <c r="T172" s="1015"/>
      <c r="U172" s="1016"/>
      <c r="V172" s="617"/>
      <c r="W172" s="647"/>
      <c r="X172" s="617"/>
      <c r="Y172" s="647"/>
      <c r="Z172" s="617"/>
      <c r="AA172" s="647"/>
      <c r="AB172" s="1071"/>
      <c r="AC172" s="1072"/>
      <c r="AD172" s="1072"/>
      <c r="AE172" s="1073"/>
      <c r="AF172" s="1074"/>
      <c r="AG172" s="1074"/>
      <c r="AH172" s="1074"/>
      <c r="AI172" s="1074"/>
      <c r="AJ172" s="1074"/>
      <c r="AK172" s="1074"/>
      <c r="AL172" s="1074"/>
      <c r="AM172" s="1074"/>
      <c r="AN172" s="1074"/>
      <c r="AO172" s="1074"/>
      <c r="AP172" s="1074"/>
      <c r="AQ172" s="1074"/>
      <c r="AR172" s="1074"/>
      <c r="AS172" s="1074"/>
      <c r="AT172" s="1074"/>
      <c r="AU172" s="1074"/>
      <c r="AV172" s="1058"/>
      <c r="AW172" s="1059"/>
      <c r="AX172" s="1059"/>
      <c r="AY172" s="1059"/>
      <c r="AZ172" s="1059"/>
      <c r="BA172" s="1059"/>
      <c r="BB172" s="1059"/>
      <c r="BC172" s="1059"/>
      <c r="BD172" s="1059"/>
      <c r="BE172" s="1059"/>
      <c r="BF172" s="1059"/>
      <c r="BG172" s="1060"/>
      <c r="BH172" s="972"/>
      <c r="BI172" s="973"/>
      <c r="BJ172" s="973"/>
      <c r="BK172" s="974"/>
      <c r="BL172" s="972"/>
      <c r="BM172" s="973"/>
      <c r="BN172" s="973"/>
      <c r="BO172" s="974"/>
      <c r="BP172" s="670"/>
      <c r="BQ172" s="671"/>
      <c r="BR172" s="671"/>
      <c r="BS172" s="672"/>
      <c r="BT172" s="614"/>
      <c r="BU172" s="615"/>
      <c r="BV172" s="614"/>
      <c r="BW172" s="615"/>
      <c r="BX172" s="614"/>
      <c r="BY172" s="704"/>
      <c r="BZ172" s="595"/>
      <c r="CB172" s="499"/>
    </row>
    <row r="173" spans="3:80" ht="12" customHeight="1">
      <c r="C173" s="497"/>
      <c r="D173" s="1038" t="s">
        <v>1015</v>
      </c>
      <c r="E173" s="1039"/>
      <c r="F173" s="981" t="s">
        <v>1016</v>
      </c>
      <c r="G173" s="982"/>
      <c r="H173" s="983"/>
      <c r="I173" s="990" t="s">
        <v>1017</v>
      </c>
      <c r="J173" s="991"/>
      <c r="K173" s="996" t="s">
        <v>1018</v>
      </c>
      <c r="L173" s="997"/>
      <c r="M173" s="997"/>
      <c r="N173" s="997"/>
      <c r="O173" s="1005">
        <v>40</v>
      </c>
      <c r="P173" s="1006"/>
      <c r="Q173" s="1011" t="s">
        <v>1019</v>
      </c>
      <c r="R173" s="1012"/>
      <c r="S173" s="1012"/>
      <c r="T173" s="1012"/>
      <c r="U173" s="1013"/>
      <c r="V173" s="602" t="s">
        <v>928</v>
      </c>
      <c r="W173" s="699"/>
      <c r="X173" s="1011"/>
      <c r="Y173" s="1012"/>
      <c r="Z173" s="1012"/>
      <c r="AA173" s="1020"/>
      <c r="AB173" s="1023">
        <v>44991</v>
      </c>
      <c r="AC173" s="1024"/>
      <c r="AD173" s="1024"/>
      <c r="AE173" s="1025"/>
      <c r="AF173" s="957"/>
      <c r="AG173" s="958"/>
      <c r="AH173" s="958"/>
      <c r="AI173" s="959"/>
      <c r="AJ173" s="957"/>
      <c r="AK173" s="958"/>
      <c r="AL173" s="958"/>
      <c r="AM173" s="959"/>
      <c r="AN173" s="957"/>
      <c r="AO173" s="958"/>
      <c r="AP173" s="958"/>
      <c r="AQ173" s="959"/>
      <c r="AR173" s="604"/>
      <c r="AS173" s="605"/>
      <c r="AT173" s="605"/>
      <c r="AU173" s="606"/>
      <c r="AV173" s="957"/>
      <c r="AW173" s="958"/>
      <c r="AX173" s="958"/>
      <c r="AY173" s="959"/>
      <c r="AZ173" s="604"/>
      <c r="BA173" s="605"/>
      <c r="BB173" s="605"/>
      <c r="BC173" s="606"/>
      <c r="BD173" s="957"/>
      <c r="BE173" s="958"/>
      <c r="BF173" s="958"/>
      <c r="BG173" s="959"/>
      <c r="BH173" s="960"/>
      <c r="BI173" s="961"/>
      <c r="BJ173" s="961"/>
      <c r="BK173" s="962"/>
      <c r="BL173" s="960"/>
      <c r="BM173" s="961"/>
      <c r="BN173" s="961"/>
      <c r="BO173" s="962"/>
      <c r="BP173" s="607"/>
      <c r="BQ173" s="608"/>
      <c r="BR173" s="608"/>
      <c r="BS173" s="609"/>
      <c r="BT173" s="612"/>
      <c r="BU173" s="613"/>
      <c r="BV173" s="612"/>
      <c r="BW173" s="613"/>
      <c r="BX173" s="963" t="s">
        <v>919</v>
      </c>
      <c r="BY173" s="964"/>
      <c r="BZ173" s="595"/>
      <c r="CB173" s="499"/>
    </row>
    <row r="174" spans="3:80" ht="12" customHeight="1">
      <c r="C174" s="497"/>
      <c r="D174" s="1040"/>
      <c r="E174" s="1041"/>
      <c r="F174" s="984"/>
      <c r="G174" s="985"/>
      <c r="H174" s="986"/>
      <c r="I174" s="992"/>
      <c r="J174" s="993"/>
      <c r="K174" s="999"/>
      <c r="L174" s="1000"/>
      <c r="M174" s="1000"/>
      <c r="N174" s="1000"/>
      <c r="O174" s="1007"/>
      <c r="P174" s="1008"/>
      <c r="Q174" s="1014"/>
      <c r="R174" s="1015"/>
      <c r="S174" s="1015"/>
      <c r="T174" s="1015"/>
      <c r="U174" s="1016"/>
      <c r="V174" s="617"/>
      <c r="W174" s="647"/>
      <c r="X174" s="1014"/>
      <c r="Y174" s="1015"/>
      <c r="Z174" s="1015"/>
      <c r="AA174" s="1021"/>
      <c r="AB174" s="1026"/>
      <c r="AC174" s="1027"/>
      <c r="AD174" s="1027"/>
      <c r="AE174" s="1028"/>
      <c r="AF174" s="1045"/>
      <c r="AG174" s="1046"/>
      <c r="AH174" s="1046"/>
      <c r="AI174" s="1047"/>
      <c r="AJ174" s="1045"/>
      <c r="AK174" s="1046"/>
      <c r="AL174" s="1046"/>
      <c r="AM174" s="1047"/>
      <c r="AN174" s="1045"/>
      <c r="AO174" s="1046"/>
      <c r="AP174" s="1046"/>
      <c r="AQ174" s="1047"/>
      <c r="AR174" s="665"/>
      <c r="AS174" s="666"/>
      <c r="AT174" s="666"/>
      <c r="AU174" s="667"/>
      <c r="AV174" s="1045"/>
      <c r="AW174" s="1046"/>
      <c r="AX174" s="1046"/>
      <c r="AY174" s="1047"/>
      <c r="AZ174" s="665"/>
      <c r="BA174" s="666"/>
      <c r="BB174" s="666"/>
      <c r="BC174" s="667"/>
      <c r="BD174" s="1045"/>
      <c r="BE174" s="1046"/>
      <c r="BF174" s="1046"/>
      <c r="BG174" s="1047"/>
      <c r="BH174" s="972"/>
      <c r="BI174" s="973"/>
      <c r="BJ174" s="973"/>
      <c r="BK174" s="974"/>
      <c r="BL174" s="972"/>
      <c r="BM174" s="973"/>
      <c r="BN174" s="973"/>
      <c r="BO174" s="974"/>
      <c r="BP174" s="623"/>
      <c r="BQ174" s="624"/>
      <c r="BR174" s="624"/>
      <c r="BS174" s="625"/>
      <c r="BT174" s="628"/>
      <c r="BU174" s="629"/>
      <c r="BV174" s="628"/>
      <c r="BW174" s="629"/>
      <c r="BX174" s="965"/>
      <c r="BY174" s="966"/>
      <c r="BZ174" s="595"/>
      <c r="CB174" s="499"/>
    </row>
    <row r="175" spans="3:80" ht="12" customHeight="1">
      <c r="C175" s="497"/>
      <c r="D175" s="1040"/>
      <c r="E175" s="1041"/>
      <c r="F175" s="984"/>
      <c r="G175" s="985"/>
      <c r="H175" s="986"/>
      <c r="I175" s="992"/>
      <c r="J175" s="993"/>
      <c r="K175" s="1066"/>
      <c r="L175" s="1067"/>
      <c r="M175" s="1067"/>
      <c r="N175" s="1067"/>
      <c r="O175" s="1007"/>
      <c r="P175" s="1008"/>
      <c r="Q175" s="1014"/>
      <c r="R175" s="1015"/>
      <c r="S175" s="1015"/>
      <c r="T175" s="1015"/>
      <c r="U175" s="1016"/>
      <c r="V175" s="617"/>
      <c r="W175" s="647"/>
      <c r="X175" s="1014"/>
      <c r="Y175" s="1015"/>
      <c r="Z175" s="1015"/>
      <c r="AA175" s="1021"/>
      <c r="AB175" s="1026"/>
      <c r="AC175" s="1027"/>
      <c r="AD175" s="1027"/>
      <c r="AE175" s="1028"/>
      <c r="AF175" s="1057"/>
      <c r="AG175" s="1057"/>
      <c r="AH175" s="1057"/>
      <c r="AI175" s="1057"/>
      <c r="AJ175" s="1057"/>
      <c r="AK175" s="1057"/>
      <c r="AL175" s="1057"/>
      <c r="AM175" s="1057"/>
      <c r="AN175" s="1057"/>
      <c r="AO175" s="1057"/>
      <c r="AP175" s="1057"/>
      <c r="AQ175" s="1057"/>
      <c r="AR175" s="1057"/>
      <c r="AS175" s="1057"/>
      <c r="AT175" s="1057"/>
      <c r="AU175" s="1057"/>
      <c r="AV175" s="1058"/>
      <c r="AW175" s="1059"/>
      <c r="AX175" s="1059"/>
      <c r="AY175" s="1059"/>
      <c r="AZ175" s="1059"/>
      <c r="BA175" s="1059"/>
      <c r="BB175" s="1059"/>
      <c r="BC175" s="1059"/>
      <c r="BD175" s="1059"/>
      <c r="BE175" s="1059"/>
      <c r="BF175" s="1059"/>
      <c r="BG175" s="1060"/>
      <c r="BH175" s="972"/>
      <c r="BI175" s="973"/>
      <c r="BJ175" s="973"/>
      <c r="BK175" s="974"/>
      <c r="BL175" s="972"/>
      <c r="BM175" s="973"/>
      <c r="BN175" s="973"/>
      <c r="BO175" s="974"/>
      <c r="BP175" s="670"/>
      <c r="BQ175" s="671"/>
      <c r="BR175" s="671"/>
      <c r="BS175" s="672"/>
      <c r="BT175" s="628"/>
      <c r="BU175" s="629"/>
      <c r="BV175" s="628"/>
      <c r="BW175" s="629"/>
      <c r="BX175" s="965"/>
      <c r="BY175" s="966"/>
      <c r="BZ175" s="595"/>
      <c r="CB175" s="499"/>
    </row>
    <row r="176" spans="3:80" ht="12" customHeight="1">
      <c r="C176" s="497"/>
      <c r="D176" s="1040"/>
      <c r="E176" s="1041"/>
      <c r="F176" s="984"/>
      <c r="G176" s="985"/>
      <c r="H176" s="986"/>
      <c r="I176" s="1075" t="s">
        <v>1020</v>
      </c>
      <c r="J176" s="1076"/>
      <c r="K176" s="1079" t="s">
        <v>1016</v>
      </c>
      <c r="L176" s="1080"/>
      <c r="M176" s="1080"/>
      <c r="N176" s="1080"/>
      <c r="O176" s="1007"/>
      <c r="P176" s="1008"/>
      <c r="Q176" s="1014"/>
      <c r="R176" s="1015"/>
      <c r="S176" s="1015"/>
      <c r="T176" s="1015"/>
      <c r="U176" s="1016"/>
      <c r="V176" s="617"/>
      <c r="W176" s="647"/>
      <c r="X176" s="1014"/>
      <c r="Y176" s="1015"/>
      <c r="Z176" s="1015"/>
      <c r="AA176" s="1021"/>
      <c r="AB176" s="1026"/>
      <c r="AC176" s="1027"/>
      <c r="AD176" s="1027"/>
      <c r="AE176" s="1028"/>
      <c r="AF176" s="673" t="s">
        <v>1021</v>
      </c>
      <c r="AG176" s="674"/>
      <c r="AH176" s="674"/>
      <c r="AI176" s="674"/>
      <c r="AJ176" s="673" t="s">
        <v>1022</v>
      </c>
      <c r="AK176" s="674"/>
      <c r="AL176" s="674"/>
      <c r="AM176" s="675"/>
      <c r="AN176" s="706" t="s">
        <v>1023</v>
      </c>
      <c r="AO176" s="677"/>
      <c r="AP176" s="677"/>
      <c r="AQ176" s="678"/>
      <c r="AR176" s="706" t="s">
        <v>1024</v>
      </c>
      <c r="AS176" s="677"/>
      <c r="AT176" s="677"/>
      <c r="AU176" s="678"/>
      <c r="AV176" s="676" t="s">
        <v>1025</v>
      </c>
      <c r="AW176" s="677"/>
      <c r="AX176" s="677"/>
      <c r="AY176" s="678"/>
      <c r="AZ176" s="676" t="s">
        <v>1026</v>
      </c>
      <c r="BA176" s="677"/>
      <c r="BB176" s="677"/>
      <c r="BC176" s="678"/>
      <c r="BD176" s="676" t="s">
        <v>1027</v>
      </c>
      <c r="BE176" s="677"/>
      <c r="BF176" s="677"/>
      <c r="BG176" s="678"/>
      <c r="BH176" s="972"/>
      <c r="BI176" s="973"/>
      <c r="BJ176" s="973"/>
      <c r="BK176" s="974"/>
      <c r="BL176" s="972"/>
      <c r="BM176" s="973"/>
      <c r="BN176" s="973"/>
      <c r="BO176" s="974"/>
      <c r="BP176" s="679"/>
      <c r="BQ176" s="680"/>
      <c r="BR176" s="680"/>
      <c r="BS176" s="681"/>
      <c r="BT176" s="628"/>
      <c r="BU176" s="629"/>
      <c r="BV176" s="628"/>
      <c r="BW176" s="629"/>
      <c r="BX176" s="965"/>
      <c r="BY176" s="966"/>
      <c r="BZ176" s="596"/>
      <c r="CB176" s="499"/>
    </row>
    <row r="177" spans="3:80" ht="12" customHeight="1">
      <c r="C177" s="497"/>
      <c r="D177" s="1040"/>
      <c r="E177" s="1041"/>
      <c r="F177" s="984"/>
      <c r="G177" s="985"/>
      <c r="H177" s="986"/>
      <c r="I177" s="992"/>
      <c r="J177" s="993"/>
      <c r="K177" s="999"/>
      <c r="L177" s="1000"/>
      <c r="M177" s="1000"/>
      <c r="N177" s="1000"/>
      <c r="O177" s="1007"/>
      <c r="P177" s="1008"/>
      <c r="Q177" s="1014"/>
      <c r="R177" s="1015"/>
      <c r="S177" s="1015"/>
      <c r="T177" s="1015"/>
      <c r="U177" s="1016"/>
      <c r="V177" s="617"/>
      <c r="W177" s="647"/>
      <c r="X177" s="1014"/>
      <c r="Y177" s="1015"/>
      <c r="Z177" s="1015"/>
      <c r="AA177" s="1021"/>
      <c r="AB177" s="1026"/>
      <c r="AC177" s="1027"/>
      <c r="AD177" s="1027"/>
      <c r="AE177" s="1028"/>
      <c r="AF177" s="658" t="s">
        <v>919</v>
      </c>
      <c r="AG177" s="659"/>
      <c r="AH177" s="659"/>
      <c r="AI177" s="660"/>
      <c r="AJ177" s="658" t="s">
        <v>919</v>
      </c>
      <c r="AK177" s="659"/>
      <c r="AL177" s="659"/>
      <c r="AM177" s="660"/>
      <c r="AN177" s="658" t="s">
        <v>1028</v>
      </c>
      <c r="AO177" s="659"/>
      <c r="AP177" s="659"/>
      <c r="AQ177" s="660"/>
      <c r="AR177" s="658" t="s">
        <v>1029</v>
      </c>
      <c r="AS177" s="659"/>
      <c r="AT177" s="659"/>
      <c r="AU177" s="660"/>
      <c r="AV177" s="658" t="s">
        <v>1030</v>
      </c>
      <c r="AW177" s="659"/>
      <c r="AX177" s="659"/>
      <c r="AY177" s="660"/>
      <c r="AZ177" s="658"/>
      <c r="BA177" s="659"/>
      <c r="BB177" s="659"/>
      <c r="BC177" s="660"/>
      <c r="BD177" s="658" t="s">
        <v>1031</v>
      </c>
      <c r="BE177" s="659"/>
      <c r="BF177" s="659"/>
      <c r="BG177" s="660"/>
      <c r="BH177" s="972"/>
      <c r="BI177" s="973"/>
      <c r="BJ177" s="973"/>
      <c r="BK177" s="974"/>
      <c r="BL177" s="972"/>
      <c r="BM177" s="973"/>
      <c r="BN177" s="973"/>
      <c r="BO177" s="974"/>
      <c r="BP177" s="683"/>
      <c r="BQ177" s="684"/>
      <c r="BR177" s="684"/>
      <c r="BS177" s="685"/>
      <c r="BT177" s="628"/>
      <c r="BU177" s="629"/>
      <c r="BV177" s="628"/>
      <c r="BW177" s="629"/>
      <c r="BX177" s="965"/>
      <c r="BY177" s="966"/>
      <c r="BZ177" s="596"/>
      <c r="CB177" s="499"/>
    </row>
    <row r="178" spans="3:80" ht="12" customHeight="1" thickBot="1">
      <c r="C178" s="497"/>
      <c r="D178" s="1061"/>
      <c r="E178" s="1062"/>
      <c r="F178" s="1063"/>
      <c r="G178" s="1064"/>
      <c r="H178" s="1065"/>
      <c r="I178" s="1077"/>
      <c r="J178" s="1078"/>
      <c r="K178" s="1066"/>
      <c r="L178" s="1067"/>
      <c r="M178" s="1067"/>
      <c r="N178" s="1067"/>
      <c r="O178" s="1007"/>
      <c r="P178" s="1008"/>
      <c r="Q178" s="1014"/>
      <c r="R178" s="1015"/>
      <c r="S178" s="1015"/>
      <c r="T178" s="1015"/>
      <c r="U178" s="1016"/>
      <c r="V178" s="617"/>
      <c r="W178" s="647"/>
      <c r="X178" s="1017"/>
      <c r="Y178" s="1018"/>
      <c r="Z178" s="1018"/>
      <c r="AA178" s="1022"/>
      <c r="AB178" s="1029"/>
      <c r="AC178" s="1030"/>
      <c r="AD178" s="1030"/>
      <c r="AE178" s="1031"/>
      <c r="AF178" s="1057"/>
      <c r="AG178" s="1057"/>
      <c r="AH178" s="1057"/>
      <c r="AI178" s="1057"/>
      <c r="AJ178" s="1057"/>
      <c r="AK178" s="1057"/>
      <c r="AL178" s="1057"/>
      <c r="AM178" s="1057"/>
      <c r="AN178" s="1057"/>
      <c r="AO178" s="1057"/>
      <c r="AP178" s="1057"/>
      <c r="AQ178" s="1057"/>
      <c r="AR178" s="1057"/>
      <c r="AS178" s="1057"/>
      <c r="AT178" s="1057"/>
      <c r="AU178" s="1057"/>
      <c r="AV178" s="1058"/>
      <c r="AW178" s="1059"/>
      <c r="AX178" s="1059"/>
      <c r="AY178" s="1059"/>
      <c r="AZ178" s="1059"/>
      <c r="BA178" s="1059"/>
      <c r="BB178" s="1059"/>
      <c r="BC178" s="1059"/>
      <c r="BD178" s="1059"/>
      <c r="BE178" s="1059"/>
      <c r="BF178" s="1059"/>
      <c r="BG178" s="1060"/>
      <c r="BH178" s="972"/>
      <c r="BI178" s="973"/>
      <c r="BJ178" s="973"/>
      <c r="BK178" s="974"/>
      <c r="BL178" s="972"/>
      <c r="BM178" s="973"/>
      <c r="BN178" s="973"/>
      <c r="BO178" s="974"/>
      <c r="BP178" s="694"/>
      <c r="BQ178" s="695"/>
      <c r="BR178" s="695"/>
      <c r="BS178" s="696"/>
      <c r="BT178" s="628"/>
      <c r="BU178" s="629"/>
      <c r="BV178" s="628"/>
      <c r="BW178" s="629"/>
      <c r="BX178" s="967"/>
      <c r="BY178" s="968"/>
      <c r="BZ178" s="596"/>
      <c r="CB178" s="499"/>
    </row>
    <row r="179" spans="3:80" ht="12" customHeight="1">
      <c r="C179" s="497"/>
      <c r="D179" s="1038" t="s">
        <v>1032</v>
      </c>
      <c r="E179" s="1039"/>
      <c r="F179" s="981" t="s">
        <v>1033</v>
      </c>
      <c r="G179" s="982"/>
      <c r="H179" s="983"/>
      <c r="I179" s="990" t="s">
        <v>1034</v>
      </c>
      <c r="J179" s="991"/>
      <c r="K179" s="996" t="s">
        <v>1035</v>
      </c>
      <c r="L179" s="997"/>
      <c r="M179" s="997"/>
      <c r="N179" s="997"/>
      <c r="O179" s="1005">
        <v>40</v>
      </c>
      <c r="P179" s="1006"/>
      <c r="Q179" s="1011" t="s">
        <v>1036</v>
      </c>
      <c r="R179" s="1012"/>
      <c r="S179" s="1012"/>
      <c r="T179" s="1012"/>
      <c r="U179" s="1013"/>
      <c r="V179" s="602" t="s">
        <v>755</v>
      </c>
      <c r="W179" s="603"/>
      <c r="X179" s="1011"/>
      <c r="Y179" s="1012"/>
      <c r="Z179" s="1012"/>
      <c r="AA179" s="1020"/>
      <c r="AB179" s="1023">
        <v>44992</v>
      </c>
      <c r="AC179" s="1024"/>
      <c r="AD179" s="1024"/>
      <c r="AE179" s="1025"/>
      <c r="AF179" s="604" t="s">
        <v>1037</v>
      </c>
      <c r="AG179" s="605"/>
      <c r="AH179" s="605"/>
      <c r="AI179" s="606"/>
      <c r="AJ179" s="604" t="s">
        <v>1038</v>
      </c>
      <c r="AK179" s="605"/>
      <c r="AL179" s="605"/>
      <c r="AM179" s="606"/>
      <c r="AN179" s="604" t="s">
        <v>1039</v>
      </c>
      <c r="AO179" s="605"/>
      <c r="AP179" s="605"/>
      <c r="AQ179" s="606"/>
      <c r="AR179" s="604" t="s">
        <v>1040</v>
      </c>
      <c r="AS179" s="605"/>
      <c r="AT179" s="605"/>
      <c r="AU179" s="606"/>
      <c r="AV179" s="957" t="s">
        <v>1041</v>
      </c>
      <c r="AW179" s="958"/>
      <c r="AX179" s="958"/>
      <c r="AY179" s="959"/>
      <c r="AZ179" s="604" t="s">
        <v>1042</v>
      </c>
      <c r="BA179" s="605"/>
      <c r="BB179" s="605"/>
      <c r="BC179" s="606"/>
      <c r="BD179" s="957" t="s">
        <v>1043</v>
      </c>
      <c r="BE179" s="958"/>
      <c r="BF179" s="958"/>
      <c r="BG179" s="959"/>
      <c r="BH179" s="960"/>
      <c r="BI179" s="961"/>
      <c r="BJ179" s="961"/>
      <c r="BK179" s="962"/>
      <c r="BL179" s="960"/>
      <c r="BM179" s="961"/>
      <c r="BN179" s="961"/>
      <c r="BO179" s="962"/>
      <c r="BP179" s="607"/>
      <c r="BQ179" s="608"/>
      <c r="BR179" s="608"/>
      <c r="BS179" s="609"/>
      <c r="BT179" s="600"/>
      <c r="BU179" s="601"/>
      <c r="BV179" s="600"/>
      <c r="BW179" s="601"/>
      <c r="BX179" s="963" t="s">
        <v>1044</v>
      </c>
      <c r="BY179" s="964"/>
      <c r="BZ179" s="595"/>
      <c r="CB179" s="499"/>
    </row>
    <row r="180" spans="3:80" ht="12" customHeight="1">
      <c r="C180" s="497"/>
      <c r="D180" s="1040"/>
      <c r="E180" s="1041"/>
      <c r="F180" s="984"/>
      <c r="G180" s="985"/>
      <c r="H180" s="986"/>
      <c r="I180" s="992"/>
      <c r="J180" s="993"/>
      <c r="K180" s="999"/>
      <c r="L180" s="1000"/>
      <c r="M180" s="1000"/>
      <c r="N180" s="1000"/>
      <c r="O180" s="1007"/>
      <c r="P180" s="1008"/>
      <c r="Q180" s="1014"/>
      <c r="R180" s="1015"/>
      <c r="S180" s="1015"/>
      <c r="T180" s="1015"/>
      <c r="U180" s="1016"/>
      <c r="V180" s="617"/>
      <c r="W180" s="618"/>
      <c r="X180" s="1014"/>
      <c r="Y180" s="1015"/>
      <c r="Z180" s="1015"/>
      <c r="AA180" s="1021"/>
      <c r="AB180" s="1026"/>
      <c r="AC180" s="1027"/>
      <c r="AD180" s="1027"/>
      <c r="AE180" s="1028"/>
      <c r="AF180" s="661" t="s">
        <v>1045</v>
      </c>
      <c r="AG180" s="659"/>
      <c r="AH180" s="659"/>
      <c r="AI180" s="660"/>
      <c r="AJ180" s="661" t="s">
        <v>1028</v>
      </c>
      <c r="AK180" s="659"/>
      <c r="AL180" s="659"/>
      <c r="AM180" s="660"/>
      <c r="AN180" s="665" t="s">
        <v>1029</v>
      </c>
      <c r="AO180" s="666"/>
      <c r="AP180" s="666"/>
      <c r="AQ180" s="667"/>
      <c r="AR180" s="665" t="s">
        <v>1046</v>
      </c>
      <c r="AS180" s="666"/>
      <c r="AT180" s="666"/>
      <c r="AU180" s="667"/>
      <c r="AV180" s="1045"/>
      <c r="AW180" s="1046"/>
      <c r="AX180" s="1046"/>
      <c r="AY180" s="1047"/>
      <c r="AZ180" s="665" t="s">
        <v>1047</v>
      </c>
      <c r="BA180" s="666"/>
      <c r="BB180" s="666"/>
      <c r="BC180" s="667"/>
      <c r="BD180" s="1045"/>
      <c r="BE180" s="1046"/>
      <c r="BF180" s="1046"/>
      <c r="BG180" s="1047"/>
      <c r="BH180" s="972"/>
      <c r="BI180" s="973"/>
      <c r="BJ180" s="973"/>
      <c r="BK180" s="974"/>
      <c r="BL180" s="972"/>
      <c r="BM180" s="973"/>
      <c r="BN180" s="973"/>
      <c r="BO180" s="974"/>
      <c r="BP180" s="623"/>
      <c r="BQ180" s="624"/>
      <c r="BR180" s="624"/>
      <c r="BS180" s="625"/>
      <c r="BT180" s="614"/>
      <c r="BU180" s="615"/>
      <c r="BV180" s="614"/>
      <c r="BW180" s="615"/>
      <c r="BX180" s="965"/>
      <c r="BY180" s="966"/>
      <c r="BZ180" s="596"/>
      <c r="CB180" s="499"/>
    </row>
    <row r="181" spans="3:80" ht="12" customHeight="1" thickBot="1">
      <c r="C181" s="497"/>
      <c r="D181" s="1042"/>
      <c r="E181" s="1043"/>
      <c r="F181" s="987"/>
      <c r="G181" s="988"/>
      <c r="H181" s="989"/>
      <c r="I181" s="994"/>
      <c r="J181" s="995"/>
      <c r="K181" s="1002"/>
      <c r="L181" s="1003"/>
      <c r="M181" s="1003"/>
      <c r="N181" s="1003"/>
      <c r="O181" s="1009"/>
      <c r="P181" s="1010"/>
      <c r="Q181" s="1017"/>
      <c r="R181" s="1018"/>
      <c r="S181" s="1018"/>
      <c r="T181" s="1018"/>
      <c r="U181" s="1019"/>
      <c r="V181" s="632"/>
      <c r="W181" s="633"/>
      <c r="X181" s="1017"/>
      <c r="Y181" s="1018"/>
      <c r="Z181" s="1018"/>
      <c r="AA181" s="1022"/>
      <c r="AB181" s="1029"/>
      <c r="AC181" s="1030"/>
      <c r="AD181" s="1030"/>
      <c r="AE181" s="1031"/>
      <c r="AF181" s="1044"/>
      <c r="AG181" s="1044"/>
      <c r="AH181" s="1044"/>
      <c r="AI181" s="1044"/>
      <c r="AJ181" s="1044"/>
      <c r="AK181" s="1044"/>
      <c r="AL181" s="1044"/>
      <c r="AM181" s="1044"/>
      <c r="AN181" s="1044"/>
      <c r="AO181" s="1044"/>
      <c r="AP181" s="1044"/>
      <c r="AQ181" s="1044"/>
      <c r="AR181" s="1044"/>
      <c r="AS181" s="1044"/>
      <c r="AT181" s="1044"/>
      <c r="AU181" s="1044"/>
      <c r="AV181" s="1035"/>
      <c r="AW181" s="1036"/>
      <c r="AX181" s="1036"/>
      <c r="AY181" s="1036"/>
      <c r="AZ181" s="1036"/>
      <c r="BA181" s="1036"/>
      <c r="BB181" s="1036"/>
      <c r="BC181" s="1036"/>
      <c r="BD181" s="1036"/>
      <c r="BE181" s="1036"/>
      <c r="BF181" s="1036"/>
      <c r="BG181" s="1037"/>
      <c r="BH181" s="952"/>
      <c r="BI181" s="953"/>
      <c r="BJ181" s="953"/>
      <c r="BK181" s="954"/>
      <c r="BL181" s="952"/>
      <c r="BM181" s="953"/>
      <c r="BN181" s="953"/>
      <c r="BO181" s="954"/>
      <c r="BP181" s="640"/>
      <c r="BQ181" s="641"/>
      <c r="BR181" s="641"/>
      <c r="BS181" s="642"/>
      <c r="BT181" s="630"/>
      <c r="BU181" s="631"/>
      <c r="BV181" s="630"/>
      <c r="BW181" s="631"/>
      <c r="BX181" s="967"/>
      <c r="BY181" s="968"/>
      <c r="BZ181" s="595"/>
      <c r="CB181" s="499"/>
    </row>
    <row r="182" spans="3:80" ht="12" customHeight="1">
      <c r="C182" s="497"/>
      <c r="D182" s="1038" t="s">
        <v>1048</v>
      </c>
      <c r="E182" s="1039"/>
      <c r="F182" s="981" t="s">
        <v>1049</v>
      </c>
      <c r="G182" s="982"/>
      <c r="H182" s="983"/>
      <c r="I182" s="990" t="s">
        <v>1050</v>
      </c>
      <c r="J182" s="991"/>
      <c r="K182" s="996" t="s">
        <v>1051</v>
      </c>
      <c r="L182" s="997"/>
      <c r="M182" s="997"/>
      <c r="N182" s="997"/>
      <c r="O182" s="1005">
        <v>40</v>
      </c>
      <c r="P182" s="1006"/>
      <c r="Q182" s="1048" t="s">
        <v>1052</v>
      </c>
      <c r="R182" s="1049"/>
      <c r="S182" s="1049"/>
      <c r="T182" s="1049"/>
      <c r="U182" s="1050"/>
      <c r="V182" s="602" t="s">
        <v>755</v>
      </c>
      <c r="W182" s="603"/>
      <c r="X182" s="1011"/>
      <c r="Y182" s="1012"/>
      <c r="Z182" s="1012"/>
      <c r="AA182" s="1020"/>
      <c r="AB182" s="1023">
        <v>44992</v>
      </c>
      <c r="AC182" s="1024"/>
      <c r="AD182" s="1024"/>
      <c r="AE182" s="1025"/>
      <c r="AF182" s="604" t="s">
        <v>1053</v>
      </c>
      <c r="AG182" s="605"/>
      <c r="AH182" s="605"/>
      <c r="AI182" s="606"/>
      <c r="AJ182" s="604" t="s">
        <v>1054</v>
      </c>
      <c r="AK182" s="605"/>
      <c r="AL182" s="605"/>
      <c r="AM182" s="606"/>
      <c r="AN182" s="604" t="s">
        <v>1055</v>
      </c>
      <c r="AO182" s="605"/>
      <c r="AP182" s="605"/>
      <c r="AQ182" s="606"/>
      <c r="AR182" s="604" t="s">
        <v>1056</v>
      </c>
      <c r="AS182" s="605"/>
      <c r="AT182" s="605"/>
      <c r="AU182" s="606"/>
      <c r="AV182" s="957" t="s">
        <v>1057</v>
      </c>
      <c r="AW182" s="958"/>
      <c r="AX182" s="958"/>
      <c r="AY182" s="959"/>
      <c r="AZ182" s="604" t="s">
        <v>1058</v>
      </c>
      <c r="BA182" s="605"/>
      <c r="BB182" s="605"/>
      <c r="BC182" s="606"/>
      <c r="BD182" s="957" t="s">
        <v>1059</v>
      </c>
      <c r="BE182" s="958"/>
      <c r="BF182" s="958"/>
      <c r="BG182" s="959"/>
      <c r="BH182" s="960"/>
      <c r="BI182" s="961"/>
      <c r="BJ182" s="961"/>
      <c r="BK182" s="962"/>
      <c r="BL182" s="960"/>
      <c r="BM182" s="961"/>
      <c r="BN182" s="961"/>
      <c r="BO182" s="962"/>
      <c r="BP182" s="607"/>
      <c r="BQ182" s="608"/>
      <c r="BR182" s="608"/>
      <c r="BS182" s="609"/>
      <c r="BT182" s="600"/>
      <c r="BU182" s="601"/>
      <c r="BV182" s="600"/>
      <c r="BW182" s="601"/>
      <c r="BX182" s="963" t="s">
        <v>1044</v>
      </c>
      <c r="BY182" s="964"/>
      <c r="BZ182" s="595"/>
      <c r="CB182" s="499"/>
    </row>
    <row r="183" spans="3:80" ht="12" customHeight="1">
      <c r="C183" s="497"/>
      <c r="D183" s="1040"/>
      <c r="E183" s="1041"/>
      <c r="F183" s="984"/>
      <c r="G183" s="985"/>
      <c r="H183" s="986"/>
      <c r="I183" s="992"/>
      <c r="J183" s="993"/>
      <c r="K183" s="999"/>
      <c r="L183" s="1000"/>
      <c r="M183" s="1000"/>
      <c r="N183" s="1000"/>
      <c r="O183" s="1007"/>
      <c r="P183" s="1008"/>
      <c r="Q183" s="1051"/>
      <c r="R183" s="1052"/>
      <c r="S183" s="1052"/>
      <c r="T183" s="1052"/>
      <c r="U183" s="1053"/>
      <c r="V183" s="617"/>
      <c r="W183" s="618"/>
      <c r="X183" s="1014"/>
      <c r="Y183" s="1015"/>
      <c r="Z183" s="1015"/>
      <c r="AA183" s="1021"/>
      <c r="AB183" s="1026"/>
      <c r="AC183" s="1027"/>
      <c r="AD183" s="1027"/>
      <c r="AE183" s="1028"/>
      <c r="AF183" s="661" t="s">
        <v>1060</v>
      </c>
      <c r="AG183" s="659"/>
      <c r="AH183" s="659"/>
      <c r="AI183" s="660"/>
      <c r="AJ183" s="661" t="s">
        <v>1061</v>
      </c>
      <c r="AK183" s="659"/>
      <c r="AL183" s="659"/>
      <c r="AM183" s="660"/>
      <c r="AN183" s="665" t="s">
        <v>1062</v>
      </c>
      <c r="AO183" s="666"/>
      <c r="AP183" s="666"/>
      <c r="AQ183" s="667"/>
      <c r="AR183" s="665" t="s">
        <v>1063</v>
      </c>
      <c r="AS183" s="666"/>
      <c r="AT183" s="666"/>
      <c r="AU183" s="667"/>
      <c r="AV183" s="1045"/>
      <c r="AW183" s="1046"/>
      <c r="AX183" s="1046"/>
      <c r="AY183" s="1047"/>
      <c r="AZ183" s="665"/>
      <c r="BA183" s="666"/>
      <c r="BB183" s="666"/>
      <c r="BC183" s="667"/>
      <c r="BD183" s="1045"/>
      <c r="BE183" s="1046"/>
      <c r="BF183" s="1046"/>
      <c r="BG183" s="1047"/>
      <c r="BH183" s="972"/>
      <c r="BI183" s="973"/>
      <c r="BJ183" s="973"/>
      <c r="BK183" s="974"/>
      <c r="BL183" s="972"/>
      <c r="BM183" s="973"/>
      <c r="BN183" s="973"/>
      <c r="BO183" s="974"/>
      <c r="BP183" s="623"/>
      <c r="BQ183" s="624"/>
      <c r="BR183" s="624"/>
      <c r="BS183" s="625"/>
      <c r="BT183" s="614"/>
      <c r="BU183" s="615"/>
      <c r="BV183" s="614"/>
      <c r="BW183" s="615"/>
      <c r="BX183" s="965"/>
      <c r="BY183" s="966"/>
      <c r="BZ183" s="596"/>
      <c r="CB183" s="499"/>
    </row>
    <row r="184" spans="3:80" ht="12" customHeight="1" thickBot="1">
      <c r="C184" s="497"/>
      <c r="D184" s="1042"/>
      <c r="E184" s="1043"/>
      <c r="F184" s="987"/>
      <c r="G184" s="988"/>
      <c r="H184" s="989"/>
      <c r="I184" s="994"/>
      <c r="J184" s="995"/>
      <c r="K184" s="1002"/>
      <c r="L184" s="1003"/>
      <c r="M184" s="1003"/>
      <c r="N184" s="1003"/>
      <c r="O184" s="1009"/>
      <c r="P184" s="1010"/>
      <c r="Q184" s="1054"/>
      <c r="R184" s="1055"/>
      <c r="S184" s="1055"/>
      <c r="T184" s="1055"/>
      <c r="U184" s="1056"/>
      <c r="V184" s="632"/>
      <c r="W184" s="633"/>
      <c r="X184" s="1017"/>
      <c r="Y184" s="1018"/>
      <c r="Z184" s="1018"/>
      <c r="AA184" s="1022"/>
      <c r="AB184" s="1029"/>
      <c r="AC184" s="1030"/>
      <c r="AD184" s="1030"/>
      <c r="AE184" s="1031"/>
      <c r="AF184" s="1044"/>
      <c r="AG184" s="1044"/>
      <c r="AH184" s="1044"/>
      <c r="AI184" s="1044"/>
      <c r="AJ184" s="1044"/>
      <c r="AK184" s="1044"/>
      <c r="AL184" s="1044"/>
      <c r="AM184" s="1044"/>
      <c r="AN184" s="1044"/>
      <c r="AO184" s="1044"/>
      <c r="AP184" s="1044"/>
      <c r="AQ184" s="1044"/>
      <c r="AR184" s="1044"/>
      <c r="AS184" s="1044"/>
      <c r="AT184" s="1044"/>
      <c r="AU184" s="1044"/>
      <c r="AV184" s="1035"/>
      <c r="AW184" s="1036"/>
      <c r="AX184" s="1036"/>
      <c r="AY184" s="1036"/>
      <c r="AZ184" s="1036"/>
      <c r="BA184" s="1036"/>
      <c r="BB184" s="1036"/>
      <c r="BC184" s="1036"/>
      <c r="BD184" s="1036"/>
      <c r="BE184" s="1036"/>
      <c r="BF184" s="1036"/>
      <c r="BG184" s="1037"/>
      <c r="BH184" s="952"/>
      <c r="BI184" s="953"/>
      <c r="BJ184" s="953"/>
      <c r="BK184" s="954"/>
      <c r="BL184" s="952"/>
      <c r="BM184" s="953"/>
      <c r="BN184" s="953"/>
      <c r="BO184" s="954"/>
      <c r="BP184" s="640"/>
      <c r="BQ184" s="641"/>
      <c r="BR184" s="641"/>
      <c r="BS184" s="642"/>
      <c r="BT184" s="630"/>
      <c r="BU184" s="631"/>
      <c r="BV184" s="630"/>
      <c r="BW184" s="631"/>
      <c r="BX184" s="967"/>
      <c r="BY184" s="968"/>
      <c r="BZ184" s="595"/>
      <c r="CB184" s="499"/>
    </row>
    <row r="185" spans="3:80" ht="12" customHeight="1">
      <c r="C185" s="497"/>
      <c r="D185" s="1038" t="s">
        <v>1064</v>
      </c>
      <c r="E185" s="1039"/>
      <c r="F185" s="981" t="s">
        <v>1065</v>
      </c>
      <c r="G185" s="982"/>
      <c r="H185" s="983"/>
      <c r="I185" s="990" t="s">
        <v>1066</v>
      </c>
      <c r="J185" s="991"/>
      <c r="K185" s="996" t="s">
        <v>1067</v>
      </c>
      <c r="L185" s="997"/>
      <c r="M185" s="997"/>
      <c r="N185" s="998"/>
      <c r="O185" s="1005">
        <v>40</v>
      </c>
      <c r="P185" s="1006"/>
      <c r="Q185" s="1011" t="s">
        <v>1036</v>
      </c>
      <c r="R185" s="1012"/>
      <c r="S185" s="1012"/>
      <c r="T185" s="1012"/>
      <c r="U185" s="1013"/>
      <c r="V185" s="602" t="s">
        <v>928</v>
      </c>
      <c r="W185" s="603"/>
      <c r="X185" s="1011"/>
      <c r="Y185" s="1012"/>
      <c r="Z185" s="1012"/>
      <c r="AA185" s="1020"/>
      <c r="AB185" s="1023">
        <v>44992</v>
      </c>
      <c r="AC185" s="1024"/>
      <c r="AD185" s="1024"/>
      <c r="AE185" s="1025"/>
      <c r="AF185" s="604" t="s">
        <v>1068</v>
      </c>
      <c r="AG185" s="605"/>
      <c r="AH185" s="605"/>
      <c r="AI185" s="605"/>
      <c r="AJ185" s="604" t="s">
        <v>1069</v>
      </c>
      <c r="AK185" s="605"/>
      <c r="AL185" s="605"/>
      <c r="AM185" s="606"/>
      <c r="AN185" s="605" t="s">
        <v>1070</v>
      </c>
      <c r="AO185" s="605"/>
      <c r="AP185" s="605"/>
      <c r="AQ185" s="605"/>
      <c r="AR185" s="604"/>
      <c r="AS185" s="605"/>
      <c r="AT185" s="605"/>
      <c r="AU185" s="606"/>
      <c r="AV185" s="604"/>
      <c r="AW185" s="605"/>
      <c r="AX185" s="605"/>
      <c r="AY185" s="606"/>
      <c r="AZ185" s="605" t="s">
        <v>1071</v>
      </c>
      <c r="BA185" s="605"/>
      <c r="BB185" s="605"/>
      <c r="BC185" s="606"/>
      <c r="BD185" s="605" t="s">
        <v>1072</v>
      </c>
      <c r="BE185" s="605"/>
      <c r="BF185" s="605"/>
      <c r="BG185" s="605"/>
      <c r="BH185" s="960"/>
      <c r="BI185" s="961"/>
      <c r="BJ185" s="961"/>
      <c r="BK185" s="962"/>
      <c r="BL185" s="960"/>
      <c r="BM185" s="961"/>
      <c r="BN185" s="961"/>
      <c r="BO185" s="962"/>
      <c r="BP185" s="607"/>
      <c r="BQ185" s="608"/>
      <c r="BR185" s="608"/>
      <c r="BS185" s="609"/>
      <c r="BT185" s="612"/>
      <c r="BU185" s="613"/>
      <c r="BV185" s="612"/>
      <c r="BW185" s="613"/>
      <c r="BX185" s="963" t="s">
        <v>1044</v>
      </c>
      <c r="BY185" s="964"/>
      <c r="BZ185" s="595"/>
      <c r="CB185" s="499"/>
    </row>
    <row r="186" spans="3:80" ht="12" customHeight="1">
      <c r="C186" s="497"/>
      <c r="D186" s="1040"/>
      <c r="E186" s="1041"/>
      <c r="F186" s="984"/>
      <c r="G186" s="985"/>
      <c r="H186" s="986"/>
      <c r="I186" s="992"/>
      <c r="J186" s="993"/>
      <c r="K186" s="999"/>
      <c r="L186" s="1000"/>
      <c r="M186" s="1000"/>
      <c r="N186" s="1001"/>
      <c r="O186" s="1007"/>
      <c r="P186" s="1008"/>
      <c r="Q186" s="1014"/>
      <c r="R186" s="1015"/>
      <c r="S186" s="1015"/>
      <c r="T186" s="1015"/>
      <c r="U186" s="1016"/>
      <c r="V186" s="617"/>
      <c r="W186" s="618"/>
      <c r="X186" s="1014"/>
      <c r="Y186" s="1015"/>
      <c r="Z186" s="1015"/>
      <c r="AA186" s="1021"/>
      <c r="AB186" s="1026"/>
      <c r="AC186" s="1027"/>
      <c r="AD186" s="1027"/>
      <c r="AE186" s="1028"/>
      <c r="AF186" s="682" t="s">
        <v>1073</v>
      </c>
      <c r="AG186" s="659"/>
      <c r="AH186" s="659"/>
      <c r="AI186" s="660"/>
      <c r="AJ186" s="658" t="s">
        <v>1074</v>
      </c>
      <c r="AK186" s="659"/>
      <c r="AL186" s="659"/>
      <c r="AM186" s="660"/>
      <c r="AN186" s="661" t="s">
        <v>1075</v>
      </c>
      <c r="AO186" s="659"/>
      <c r="AP186" s="659"/>
      <c r="AQ186" s="660"/>
      <c r="AR186" s="661"/>
      <c r="AS186" s="659"/>
      <c r="AT186" s="659"/>
      <c r="AU186" s="659"/>
      <c r="AV186" s="661"/>
      <c r="AW186" s="659"/>
      <c r="AX186" s="659"/>
      <c r="AY186" s="659"/>
      <c r="AZ186" s="661" t="s">
        <v>1076</v>
      </c>
      <c r="BA186" s="659"/>
      <c r="BB186" s="659"/>
      <c r="BC186" s="660"/>
      <c r="BD186" s="659"/>
      <c r="BE186" s="659"/>
      <c r="BF186" s="659"/>
      <c r="BG186" s="660"/>
      <c r="BH186" s="972"/>
      <c r="BI186" s="973"/>
      <c r="BJ186" s="973"/>
      <c r="BK186" s="974"/>
      <c r="BL186" s="972"/>
      <c r="BM186" s="973"/>
      <c r="BN186" s="973"/>
      <c r="BO186" s="974"/>
      <c r="BP186" s="623"/>
      <c r="BQ186" s="624"/>
      <c r="BR186" s="624"/>
      <c r="BS186" s="625"/>
      <c r="BT186" s="628"/>
      <c r="BU186" s="629"/>
      <c r="BV186" s="628"/>
      <c r="BW186" s="629"/>
      <c r="BX186" s="965"/>
      <c r="BY186" s="966"/>
      <c r="BZ186" s="595"/>
      <c r="CB186" s="499"/>
    </row>
    <row r="187" spans="3:80" ht="12" customHeight="1" thickBot="1">
      <c r="C187" s="497"/>
      <c r="D187" s="1042"/>
      <c r="E187" s="1043"/>
      <c r="F187" s="987"/>
      <c r="G187" s="988"/>
      <c r="H187" s="989"/>
      <c r="I187" s="994"/>
      <c r="J187" s="995"/>
      <c r="K187" s="1002"/>
      <c r="L187" s="1003"/>
      <c r="M187" s="1003"/>
      <c r="N187" s="1004"/>
      <c r="O187" s="1009"/>
      <c r="P187" s="1010"/>
      <c r="Q187" s="1017"/>
      <c r="R187" s="1018"/>
      <c r="S187" s="1018"/>
      <c r="T187" s="1018"/>
      <c r="U187" s="1019"/>
      <c r="V187" s="632"/>
      <c r="W187" s="633"/>
      <c r="X187" s="1017"/>
      <c r="Y187" s="1018"/>
      <c r="Z187" s="1018"/>
      <c r="AA187" s="1022"/>
      <c r="AB187" s="1029"/>
      <c r="AC187" s="1030"/>
      <c r="AD187" s="1030"/>
      <c r="AE187" s="1031"/>
      <c r="AF187" s="1032"/>
      <c r="AG187" s="1033"/>
      <c r="AH187" s="1033"/>
      <c r="AI187" s="1033"/>
      <c r="AJ187" s="1033"/>
      <c r="AK187" s="1033"/>
      <c r="AL187" s="1033"/>
      <c r="AM187" s="1033"/>
      <c r="AN187" s="1033"/>
      <c r="AO187" s="1033"/>
      <c r="AP187" s="1033"/>
      <c r="AQ187" s="1033"/>
      <c r="AR187" s="1033"/>
      <c r="AS187" s="1033"/>
      <c r="AT187" s="1033"/>
      <c r="AU187" s="1034"/>
      <c r="AV187" s="1035"/>
      <c r="AW187" s="1036"/>
      <c r="AX187" s="1036"/>
      <c r="AY187" s="1036"/>
      <c r="AZ187" s="1036"/>
      <c r="BA187" s="1036"/>
      <c r="BB187" s="1036"/>
      <c r="BC187" s="1036"/>
      <c r="BD187" s="1036"/>
      <c r="BE187" s="1036"/>
      <c r="BF187" s="1036"/>
      <c r="BG187" s="1037"/>
      <c r="BH187" s="952"/>
      <c r="BI187" s="953"/>
      <c r="BJ187" s="953"/>
      <c r="BK187" s="954"/>
      <c r="BL187" s="952"/>
      <c r="BM187" s="953"/>
      <c r="BN187" s="953"/>
      <c r="BO187" s="954"/>
      <c r="BP187" s="640"/>
      <c r="BQ187" s="641"/>
      <c r="BR187" s="641"/>
      <c r="BS187" s="642"/>
      <c r="BT187" s="645"/>
      <c r="BU187" s="646"/>
      <c r="BV187" s="645"/>
      <c r="BW187" s="646"/>
      <c r="BX187" s="967"/>
      <c r="BY187" s="968"/>
      <c r="BZ187" s="595"/>
      <c r="CB187" s="499"/>
    </row>
    <row r="188" spans="3:80" ht="12" customHeight="1">
      <c r="C188" s="497"/>
      <c r="D188" s="975" t="s">
        <v>1077</v>
      </c>
      <c r="E188" s="976"/>
      <c r="F188" s="981" t="s">
        <v>1078</v>
      </c>
      <c r="G188" s="982"/>
      <c r="H188" s="983"/>
      <c r="I188" s="990" t="s">
        <v>1079</v>
      </c>
      <c r="J188" s="991"/>
      <c r="K188" s="996" t="s">
        <v>1078</v>
      </c>
      <c r="L188" s="997"/>
      <c r="M188" s="997"/>
      <c r="N188" s="998"/>
      <c r="O188" s="1005">
        <v>40</v>
      </c>
      <c r="P188" s="1006"/>
      <c r="Q188" s="1011" t="s">
        <v>1036</v>
      </c>
      <c r="R188" s="1012"/>
      <c r="S188" s="1012"/>
      <c r="T188" s="1012"/>
      <c r="U188" s="1013"/>
      <c r="V188" s="602" t="s">
        <v>928</v>
      </c>
      <c r="W188" s="603"/>
      <c r="X188" s="1011" t="s">
        <v>1080</v>
      </c>
      <c r="Y188" s="1012"/>
      <c r="Z188" s="1012"/>
      <c r="AA188" s="1020"/>
      <c r="AB188" s="1023">
        <v>44992</v>
      </c>
      <c r="AC188" s="1024"/>
      <c r="AD188" s="1024"/>
      <c r="AE188" s="1025"/>
      <c r="AF188" s="604" t="s">
        <v>1081</v>
      </c>
      <c r="AG188" s="605"/>
      <c r="AH188" s="605"/>
      <c r="AI188" s="606"/>
      <c r="AJ188" s="604" t="s">
        <v>1082</v>
      </c>
      <c r="AK188" s="605"/>
      <c r="AL188" s="605"/>
      <c r="AM188" s="606"/>
      <c r="AN188" s="604" t="s">
        <v>1083</v>
      </c>
      <c r="AO188" s="605"/>
      <c r="AP188" s="605"/>
      <c r="AQ188" s="606"/>
      <c r="AR188" s="604" t="s">
        <v>1084</v>
      </c>
      <c r="AS188" s="605"/>
      <c r="AT188" s="605"/>
      <c r="AU188" s="606"/>
      <c r="AV188" s="957" t="s">
        <v>1085</v>
      </c>
      <c r="AW188" s="958"/>
      <c r="AX188" s="958"/>
      <c r="AY188" s="959"/>
      <c r="AZ188" s="604" t="s">
        <v>1086</v>
      </c>
      <c r="BA188" s="605"/>
      <c r="BB188" s="605"/>
      <c r="BC188" s="606"/>
      <c r="BD188" s="957"/>
      <c r="BE188" s="958"/>
      <c r="BF188" s="958"/>
      <c r="BG188" s="959"/>
      <c r="BH188" s="960"/>
      <c r="BI188" s="961"/>
      <c r="BJ188" s="961"/>
      <c r="BK188" s="962"/>
      <c r="BL188" s="960"/>
      <c r="BM188" s="961"/>
      <c r="BN188" s="961"/>
      <c r="BO188" s="962"/>
      <c r="BP188" s="607"/>
      <c r="BQ188" s="608"/>
      <c r="BR188" s="608"/>
      <c r="BS188" s="609"/>
      <c r="BT188" s="600"/>
      <c r="BU188" s="601"/>
      <c r="BV188" s="600"/>
      <c r="BW188" s="601"/>
      <c r="BX188" s="963" t="s">
        <v>1044</v>
      </c>
      <c r="BY188" s="964"/>
      <c r="BZ188" s="596"/>
      <c r="CB188" s="499"/>
    </row>
    <row r="189" spans="3:80" ht="12" customHeight="1">
      <c r="C189" s="497"/>
      <c r="D189" s="977"/>
      <c r="E189" s="978"/>
      <c r="F189" s="984"/>
      <c r="G189" s="985"/>
      <c r="H189" s="986"/>
      <c r="I189" s="992"/>
      <c r="J189" s="993"/>
      <c r="K189" s="999"/>
      <c r="L189" s="1000"/>
      <c r="M189" s="1000"/>
      <c r="N189" s="1001"/>
      <c r="O189" s="1007"/>
      <c r="P189" s="1008"/>
      <c r="Q189" s="1014"/>
      <c r="R189" s="1015"/>
      <c r="S189" s="1015"/>
      <c r="T189" s="1015"/>
      <c r="U189" s="1016"/>
      <c r="V189" s="617"/>
      <c r="W189" s="618"/>
      <c r="X189" s="1014"/>
      <c r="Y189" s="1015"/>
      <c r="Z189" s="1015"/>
      <c r="AA189" s="1021"/>
      <c r="AB189" s="1026"/>
      <c r="AC189" s="1027"/>
      <c r="AD189" s="1027"/>
      <c r="AE189" s="1028"/>
      <c r="AF189" s="682" t="s">
        <v>1087</v>
      </c>
      <c r="AG189" s="707"/>
      <c r="AH189" s="707"/>
      <c r="AI189" s="708"/>
      <c r="AJ189" s="682" t="s">
        <v>1088</v>
      </c>
      <c r="AK189" s="707"/>
      <c r="AL189" s="707"/>
      <c r="AM189" s="708"/>
      <c r="AN189" s="709" t="s">
        <v>1089</v>
      </c>
      <c r="AO189" s="710"/>
      <c r="AP189" s="710"/>
      <c r="AQ189" s="711"/>
      <c r="AR189" s="709" t="s">
        <v>1090</v>
      </c>
      <c r="AS189" s="710"/>
      <c r="AT189" s="710"/>
      <c r="AU189" s="711"/>
      <c r="AV189" s="969" t="s">
        <v>1090</v>
      </c>
      <c r="AW189" s="970"/>
      <c r="AX189" s="970"/>
      <c r="AY189" s="971"/>
      <c r="AZ189" s="665" t="s">
        <v>1091</v>
      </c>
      <c r="BA189" s="666"/>
      <c r="BB189" s="666"/>
      <c r="BC189" s="667"/>
      <c r="BD189" s="969"/>
      <c r="BE189" s="970"/>
      <c r="BF189" s="970"/>
      <c r="BG189" s="971"/>
      <c r="BH189" s="972"/>
      <c r="BI189" s="973"/>
      <c r="BJ189" s="973"/>
      <c r="BK189" s="974"/>
      <c r="BL189" s="972"/>
      <c r="BM189" s="973"/>
      <c r="BN189" s="973"/>
      <c r="BO189" s="974"/>
      <c r="BP189" s="623"/>
      <c r="BQ189" s="624"/>
      <c r="BR189" s="624"/>
      <c r="BS189" s="625"/>
      <c r="BT189" s="614"/>
      <c r="BU189" s="615"/>
      <c r="BV189" s="614"/>
      <c r="BW189" s="615"/>
      <c r="BX189" s="965"/>
      <c r="BY189" s="966"/>
      <c r="BZ189" s="596"/>
      <c r="CB189" s="499"/>
    </row>
    <row r="190" spans="3:80" ht="12" customHeight="1" thickBot="1">
      <c r="C190" s="497"/>
      <c r="D190" s="979"/>
      <c r="E190" s="980"/>
      <c r="F190" s="987"/>
      <c r="G190" s="988"/>
      <c r="H190" s="989"/>
      <c r="I190" s="994"/>
      <c r="J190" s="995"/>
      <c r="K190" s="1002"/>
      <c r="L190" s="1003"/>
      <c r="M190" s="1003"/>
      <c r="N190" s="1004"/>
      <c r="O190" s="1009"/>
      <c r="P190" s="1010"/>
      <c r="Q190" s="1017"/>
      <c r="R190" s="1018"/>
      <c r="S190" s="1018"/>
      <c r="T190" s="1018"/>
      <c r="U190" s="1019"/>
      <c r="V190" s="632"/>
      <c r="W190" s="633"/>
      <c r="X190" s="1017"/>
      <c r="Y190" s="1018"/>
      <c r="Z190" s="1018"/>
      <c r="AA190" s="1022"/>
      <c r="AB190" s="1029"/>
      <c r="AC190" s="1030"/>
      <c r="AD190" s="1030"/>
      <c r="AE190" s="1031"/>
      <c r="AF190" s="1032"/>
      <c r="AG190" s="1033"/>
      <c r="AH190" s="1033"/>
      <c r="AI190" s="1033"/>
      <c r="AJ190" s="1033"/>
      <c r="AK190" s="1033"/>
      <c r="AL190" s="1033"/>
      <c r="AM190" s="1033"/>
      <c r="AN190" s="1033"/>
      <c r="AO190" s="1033"/>
      <c r="AP190" s="1033"/>
      <c r="AQ190" s="1033"/>
      <c r="AR190" s="1033"/>
      <c r="AS190" s="1033"/>
      <c r="AT190" s="1033"/>
      <c r="AU190" s="1034"/>
      <c r="AV190" s="1035"/>
      <c r="AW190" s="1036"/>
      <c r="AX190" s="1036"/>
      <c r="AY190" s="1036"/>
      <c r="AZ190" s="1036"/>
      <c r="BA190" s="1036"/>
      <c r="BB190" s="1036"/>
      <c r="BC190" s="1036"/>
      <c r="BD190" s="1036"/>
      <c r="BE190" s="1036"/>
      <c r="BF190" s="1036"/>
      <c r="BG190" s="1037"/>
      <c r="BH190" s="952"/>
      <c r="BI190" s="953"/>
      <c r="BJ190" s="953"/>
      <c r="BK190" s="954"/>
      <c r="BL190" s="952"/>
      <c r="BM190" s="953"/>
      <c r="BN190" s="953"/>
      <c r="BO190" s="954"/>
      <c r="BP190" s="640"/>
      <c r="BQ190" s="641"/>
      <c r="BR190" s="641"/>
      <c r="BS190" s="642"/>
      <c r="BT190" s="630"/>
      <c r="BU190" s="631"/>
      <c r="BV190" s="630"/>
      <c r="BW190" s="631"/>
      <c r="BX190" s="967"/>
      <c r="BY190" s="968"/>
      <c r="BZ190" s="596" t="s">
        <v>1092</v>
      </c>
      <c r="CB190" s="499"/>
    </row>
    <row r="191" spans="3:80" ht="12" customHeight="1">
      <c r="C191" s="497"/>
      <c r="D191" s="588"/>
      <c r="CB191" s="499"/>
    </row>
    <row r="192" spans="3:80" ht="12" customHeight="1">
      <c r="C192" s="712"/>
      <c r="D192" s="713"/>
      <c r="E192" s="714"/>
      <c r="F192" s="714"/>
      <c r="G192" s="715"/>
      <c r="H192" s="715"/>
      <c r="I192" s="715"/>
      <c r="J192" s="716"/>
      <c r="K192" s="616"/>
      <c r="L192" s="616"/>
      <c r="M192" s="616"/>
      <c r="N192" s="616"/>
      <c r="O192" s="579"/>
      <c r="P192" s="579"/>
      <c r="Q192" s="616"/>
      <c r="R192" s="616"/>
      <c r="S192" s="616"/>
      <c r="T192" s="616"/>
      <c r="U192" s="616"/>
      <c r="V192" s="579"/>
      <c r="W192" s="579"/>
      <c r="X192" s="579"/>
      <c r="Y192" s="579"/>
      <c r="Z192" s="579"/>
      <c r="AA192" s="579"/>
      <c r="AB192" s="579"/>
      <c r="AC192" s="579"/>
      <c r="AD192" s="717"/>
      <c r="AE192" s="717"/>
      <c r="AF192" s="717"/>
      <c r="AG192" s="579"/>
      <c r="AH192" s="579"/>
      <c r="AI192" s="579"/>
      <c r="AJ192" s="579"/>
      <c r="AK192" s="579"/>
      <c r="AL192" s="579"/>
      <c r="AM192" s="579"/>
      <c r="AN192" s="579"/>
      <c r="AO192" s="579"/>
      <c r="AP192" s="579"/>
      <c r="AQ192" s="579"/>
      <c r="AR192" s="579"/>
      <c r="AS192" s="579"/>
      <c r="AT192" s="579"/>
      <c r="AU192" s="579"/>
      <c r="AV192" s="579"/>
      <c r="AW192" s="579"/>
      <c r="AX192" s="718"/>
      <c r="AY192" s="718"/>
      <c r="AZ192" s="718"/>
      <c r="BA192" s="718"/>
      <c r="BB192" s="718"/>
      <c r="BC192" s="718"/>
      <c r="BD192" s="718"/>
      <c r="BE192" s="718"/>
      <c r="BF192" s="718"/>
      <c r="BG192" s="718"/>
      <c r="BH192" s="718"/>
      <c r="BI192" s="718"/>
      <c r="BJ192" s="579"/>
      <c r="BK192" s="579"/>
      <c r="BL192" s="579"/>
      <c r="BM192" s="579"/>
      <c r="BN192" s="579"/>
      <c r="BO192" s="719"/>
      <c r="BP192" s="719"/>
      <c r="BQ192" s="719"/>
      <c r="BR192" s="719"/>
      <c r="BS192" s="719"/>
      <c r="BT192" s="719"/>
      <c r="BU192" s="719"/>
      <c r="BV192" s="719"/>
      <c r="BW192" s="719"/>
      <c r="BX192" s="719"/>
      <c r="BY192" s="719"/>
      <c r="BZ192" s="719"/>
      <c r="CA192" s="719"/>
      <c r="CB192" s="499"/>
    </row>
    <row r="193" spans="2:80" ht="12" customHeight="1">
      <c r="C193" s="50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7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09"/>
    </row>
    <row r="194" spans="2:80" ht="12" customHeight="1" thickBot="1">
      <c r="C194" s="531"/>
      <c r="D194" s="532"/>
      <c r="E194" s="532"/>
      <c r="F194" s="532"/>
      <c r="G194" s="532"/>
      <c r="H194" s="532"/>
      <c r="I194" s="532"/>
      <c r="J194" s="532"/>
      <c r="K194" s="532"/>
      <c r="L194" s="532"/>
      <c r="M194" s="532"/>
      <c r="N194" s="532"/>
      <c r="O194" s="532"/>
      <c r="P194" s="532"/>
      <c r="Q194" s="532"/>
      <c r="R194" s="532"/>
      <c r="S194" s="532"/>
      <c r="T194" s="532"/>
      <c r="U194" s="532"/>
      <c r="V194" s="532"/>
      <c r="W194" s="532"/>
      <c r="X194" s="532"/>
      <c r="Y194" s="532"/>
      <c r="Z194" s="532"/>
      <c r="AA194" s="532"/>
      <c r="AB194" s="532"/>
      <c r="AC194" s="532"/>
      <c r="AD194" s="532"/>
      <c r="AE194" s="532"/>
      <c r="AF194" s="532"/>
      <c r="AG194" s="532"/>
      <c r="AH194" s="532"/>
      <c r="AI194" s="532"/>
      <c r="AJ194" s="532"/>
      <c r="AK194" s="532"/>
      <c r="AL194" s="532"/>
      <c r="AM194" s="532"/>
      <c r="AN194" s="532"/>
      <c r="AO194" s="532"/>
      <c r="AP194" s="532"/>
      <c r="AQ194" s="532"/>
      <c r="AR194" s="532"/>
      <c r="AS194" s="532"/>
      <c r="AT194" s="532"/>
      <c r="AU194" s="532"/>
      <c r="AV194" s="532"/>
      <c r="AW194" s="532"/>
      <c r="AX194" s="532"/>
      <c r="AY194" s="532"/>
      <c r="AZ194" s="532"/>
      <c r="BA194" s="532"/>
      <c r="BB194" s="532"/>
      <c r="BC194" s="532"/>
      <c r="BD194" s="532"/>
      <c r="BE194" s="532"/>
      <c r="BF194" s="532"/>
      <c r="BG194" s="532"/>
      <c r="BH194" s="532"/>
      <c r="BI194" s="532"/>
      <c r="BJ194" s="532"/>
      <c r="BK194" s="532"/>
      <c r="BL194" s="532"/>
      <c r="BM194" s="532"/>
      <c r="BN194" s="532"/>
      <c r="BO194" s="532"/>
      <c r="BP194" s="532"/>
      <c r="BQ194" s="532"/>
      <c r="BR194" s="532"/>
      <c r="BS194" s="532"/>
      <c r="BT194" s="532"/>
      <c r="BU194" s="532"/>
      <c r="BV194" s="532"/>
      <c r="BW194" s="532"/>
      <c r="BX194" s="532"/>
      <c r="BY194" s="532"/>
      <c r="BZ194" s="532"/>
      <c r="CA194" s="532"/>
      <c r="CB194" s="534"/>
    </row>
    <row r="200" spans="2:80" ht="28.5">
      <c r="B200" s="488" t="s">
        <v>1093</v>
      </c>
    </row>
    <row r="203" spans="2:80" ht="12" customHeight="1">
      <c r="C203" s="489" t="s">
        <v>1094</v>
      </c>
      <c r="D203" s="588"/>
    </row>
    <row r="204" spans="2:80" ht="12" customHeight="1">
      <c r="C204" s="489" t="s">
        <v>1095</v>
      </c>
    </row>
    <row r="252" spans="2:53" ht="28.5">
      <c r="B252" s="488" t="s">
        <v>1096</v>
      </c>
    </row>
    <row r="253" spans="2:53" ht="28.5">
      <c r="B253" s="488"/>
      <c r="D253" s="8" t="s">
        <v>1097</v>
      </c>
    </row>
    <row r="254" spans="2:53" ht="12" customHeight="1" thickBot="1">
      <c r="C254" s="489" t="s">
        <v>1098</v>
      </c>
      <c r="D254" s="588"/>
      <c r="Q254" s="8"/>
      <c r="S254" s="10"/>
      <c r="X254" s="10"/>
    </row>
    <row r="255" spans="2:53" ht="12" customHeight="1">
      <c r="C255" s="490"/>
      <c r="D255" s="589" t="s">
        <v>735</v>
      </c>
      <c r="E255" s="589"/>
      <c r="F255" s="589"/>
      <c r="G255" s="589"/>
      <c r="H255" s="589"/>
      <c r="I255" s="589"/>
      <c r="J255" s="589"/>
      <c r="K255" s="720" t="s">
        <v>1099</v>
      </c>
      <c r="L255" s="590"/>
      <c r="M255" s="590"/>
      <c r="N255" s="591"/>
      <c r="O255" s="491"/>
      <c r="P255" s="589" t="s">
        <v>697</v>
      </c>
      <c r="Q255" s="589"/>
      <c r="R255" s="589"/>
      <c r="S255" s="594" t="s">
        <v>1100</v>
      </c>
      <c r="T255" s="590"/>
      <c r="U255" s="590"/>
      <c r="V255" s="590"/>
      <c r="W255" s="590"/>
      <c r="X255" s="594" t="s">
        <v>1100</v>
      </c>
      <c r="Y255" s="590"/>
      <c r="Z255" s="590"/>
      <c r="AA255" s="590"/>
      <c r="AB255" s="590"/>
      <c r="AC255" s="591"/>
      <c r="AD255" s="491"/>
      <c r="AE255" s="589" t="s">
        <v>874</v>
      </c>
      <c r="AF255" s="589"/>
      <c r="AG255" s="589"/>
      <c r="AH255" s="589"/>
      <c r="AI255" s="589"/>
      <c r="AJ255" s="589"/>
      <c r="AK255" s="593" t="s">
        <v>1101</v>
      </c>
      <c r="AL255" s="590"/>
      <c r="AM255" s="590"/>
      <c r="AN255" s="590"/>
      <c r="AO255" s="590"/>
      <c r="AP255" s="590"/>
      <c r="AQ255" s="590"/>
      <c r="AR255" s="590"/>
      <c r="AS255" s="590"/>
      <c r="AT255" s="590"/>
      <c r="AU255" s="590"/>
      <c r="AV255" s="590"/>
      <c r="AW255" s="721"/>
      <c r="AX255" s="491"/>
      <c r="AY255" s="491"/>
      <c r="AZ255" s="491"/>
      <c r="BA255" s="493"/>
    </row>
    <row r="256" spans="2:53" ht="12" customHeight="1" thickBot="1">
      <c r="C256" s="497"/>
      <c r="D256" s="588"/>
      <c r="Q256" s="8"/>
      <c r="S256" s="10"/>
      <c r="X256" s="10"/>
      <c r="BA256" s="499"/>
    </row>
    <row r="257" spans="3:53" ht="12" customHeight="1">
      <c r="C257" s="712"/>
      <c r="D257" s="955" t="s">
        <v>878</v>
      </c>
      <c r="E257" s="956"/>
      <c r="F257" s="722" t="s">
        <v>879</v>
      </c>
      <c r="G257" s="723"/>
      <c r="H257" s="723"/>
      <c r="I257" s="723"/>
      <c r="J257" s="723"/>
      <c r="K257" s="723"/>
      <c r="L257" s="724"/>
      <c r="M257" s="722" t="s">
        <v>1102</v>
      </c>
      <c r="N257" s="723"/>
      <c r="O257" s="723"/>
      <c r="P257" s="723"/>
      <c r="Q257" s="723"/>
      <c r="R257" s="723"/>
      <c r="S257" s="723"/>
      <c r="T257" s="723"/>
      <c r="U257" s="723"/>
      <c r="V257" s="723"/>
      <c r="W257" s="722" t="s">
        <v>1103</v>
      </c>
      <c r="X257" s="723"/>
      <c r="Y257" s="723"/>
      <c r="Z257" s="723"/>
      <c r="AA257" s="723"/>
      <c r="AB257" s="723"/>
      <c r="AC257" s="723"/>
      <c r="AD257" s="723"/>
      <c r="AE257" s="723"/>
      <c r="AF257" s="723"/>
      <c r="AG257" s="723"/>
      <c r="AH257" s="723"/>
      <c r="AI257" s="723"/>
      <c r="AJ257" s="723"/>
      <c r="AK257" s="725" t="s">
        <v>1104</v>
      </c>
      <c r="AL257" s="723"/>
      <c r="AM257" s="723"/>
      <c r="AN257" s="723"/>
      <c r="AO257" s="723"/>
      <c r="AP257" s="723"/>
      <c r="AQ257" s="726"/>
      <c r="AR257" s="725" t="s">
        <v>1105</v>
      </c>
      <c r="AS257" s="723"/>
      <c r="AT257" s="723"/>
      <c r="AU257" s="723"/>
      <c r="AV257" s="723"/>
      <c r="AW257" s="723"/>
      <c r="AX257" s="726"/>
      <c r="AY257" s="595" t="s">
        <v>891</v>
      </c>
      <c r="BA257" s="499"/>
    </row>
    <row r="258" spans="3:53" ht="12" customHeight="1">
      <c r="C258" s="712"/>
      <c r="D258" s="727" t="s">
        <v>908</v>
      </c>
      <c r="E258" s="728"/>
      <c r="F258" s="729" t="s">
        <v>909</v>
      </c>
      <c r="G258" s="730"/>
      <c r="H258" s="730"/>
      <c r="I258" s="730"/>
      <c r="J258" s="730"/>
      <c r="K258" s="730"/>
      <c r="L258" s="731"/>
      <c r="M258" s="732"/>
      <c r="N258" s="543"/>
      <c r="O258" s="543"/>
      <c r="P258" s="543"/>
      <c r="Q258" s="543"/>
      <c r="R258" s="543"/>
      <c r="S258" s="543"/>
      <c r="T258" s="543"/>
      <c r="U258" s="543"/>
      <c r="V258" s="543"/>
      <c r="W258" s="732" t="s">
        <v>1106</v>
      </c>
      <c r="X258" s="543"/>
      <c r="Y258" s="543"/>
      <c r="Z258" s="543"/>
      <c r="AA258" s="543"/>
      <c r="AB258" s="543"/>
      <c r="AC258" s="543"/>
      <c r="AD258" s="543"/>
      <c r="AE258" s="543"/>
      <c r="AF258" s="543"/>
      <c r="AG258" s="543"/>
      <c r="AH258" s="543"/>
      <c r="AI258" s="543"/>
      <c r="AJ258" s="543"/>
      <c r="AK258" s="733"/>
      <c r="AL258" s="543"/>
      <c r="AM258" s="543"/>
      <c r="AN258" s="543"/>
      <c r="AO258" s="543"/>
      <c r="AP258" s="543"/>
      <c r="AQ258" s="734"/>
      <c r="AR258" s="733"/>
      <c r="AS258" s="543"/>
      <c r="AT258" s="543"/>
      <c r="AU258" s="543"/>
      <c r="AV258" s="543"/>
      <c r="AW258" s="543"/>
      <c r="AX258" s="544"/>
      <c r="AY258" s="595"/>
      <c r="BA258" s="499"/>
    </row>
    <row r="259" spans="3:53" ht="12" customHeight="1">
      <c r="C259" s="712"/>
      <c r="D259" s="727" t="s">
        <v>1107</v>
      </c>
      <c r="E259" s="728"/>
      <c r="F259" s="729" t="s">
        <v>1108</v>
      </c>
      <c r="G259" s="730"/>
      <c r="H259" s="730"/>
      <c r="I259" s="730"/>
      <c r="J259" s="730"/>
      <c r="K259" s="730"/>
      <c r="L259" s="731"/>
      <c r="M259" s="732" t="s">
        <v>1109</v>
      </c>
      <c r="N259" s="543"/>
      <c r="O259" s="543"/>
      <c r="P259" s="543"/>
      <c r="Q259" s="543"/>
      <c r="R259" s="543"/>
      <c r="S259" s="543"/>
      <c r="T259" s="543"/>
      <c r="U259" s="543"/>
      <c r="V259" s="543"/>
      <c r="W259" s="732"/>
      <c r="X259" s="543"/>
      <c r="Y259" s="543"/>
      <c r="Z259" s="543"/>
      <c r="AA259" s="543"/>
      <c r="AB259" s="543"/>
      <c r="AC259" s="543"/>
      <c r="AD259" s="543"/>
      <c r="AE259" s="543"/>
      <c r="AF259" s="543"/>
      <c r="AG259" s="543"/>
      <c r="AH259" s="543"/>
      <c r="AI259" s="543"/>
      <c r="AJ259" s="543"/>
      <c r="AK259" s="733"/>
      <c r="AL259" s="543"/>
      <c r="AM259" s="543"/>
      <c r="AN259" s="543"/>
      <c r="AO259" s="543"/>
      <c r="AP259" s="543"/>
      <c r="AQ259" s="734"/>
      <c r="AR259" s="733"/>
      <c r="AS259" s="543"/>
      <c r="AT259" s="543"/>
      <c r="AU259" s="543"/>
      <c r="AV259" s="543"/>
      <c r="AW259" s="543"/>
      <c r="AX259" s="544"/>
      <c r="AY259" s="595"/>
      <c r="BA259" s="499"/>
    </row>
    <row r="260" spans="3:53" ht="12" customHeight="1">
      <c r="C260" s="712"/>
      <c r="D260" s="727" t="s">
        <v>923</v>
      </c>
      <c r="E260" s="728"/>
      <c r="F260" s="729" t="s">
        <v>924</v>
      </c>
      <c r="G260" s="730"/>
      <c r="H260" s="730"/>
      <c r="I260" s="730"/>
      <c r="J260" s="730"/>
      <c r="K260" s="730"/>
      <c r="L260" s="731"/>
      <c r="M260" s="732" t="s">
        <v>1110</v>
      </c>
      <c r="N260" s="543"/>
      <c r="O260" s="543"/>
      <c r="P260" s="543"/>
      <c r="Q260" s="543"/>
      <c r="R260" s="543"/>
      <c r="S260" s="543"/>
      <c r="T260" s="543"/>
      <c r="U260" s="543"/>
      <c r="V260" s="543"/>
      <c r="W260" s="732"/>
      <c r="X260" s="543"/>
      <c r="Y260" s="543"/>
      <c r="Z260" s="543"/>
      <c r="AA260" s="543"/>
      <c r="AB260" s="543"/>
      <c r="AC260" s="543"/>
      <c r="AD260" s="543"/>
      <c r="AE260" s="543"/>
      <c r="AF260" s="543"/>
      <c r="AG260" s="543"/>
      <c r="AH260" s="543"/>
      <c r="AI260" s="543"/>
      <c r="AJ260" s="543"/>
      <c r="AK260" s="733"/>
      <c r="AL260" s="543"/>
      <c r="AM260" s="543"/>
      <c r="AN260" s="543"/>
      <c r="AO260" s="543"/>
      <c r="AP260" s="543"/>
      <c r="AQ260" s="544"/>
      <c r="AR260" s="733"/>
      <c r="AS260" s="543"/>
      <c r="AT260" s="543"/>
      <c r="AU260" s="543"/>
      <c r="AV260" s="543"/>
      <c r="AW260" s="543"/>
      <c r="AX260" s="544"/>
      <c r="AY260" s="595"/>
      <c r="BA260" s="499"/>
    </row>
    <row r="261" spans="3:53" ht="12" customHeight="1">
      <c r="C261" s="712"/>
      <c r="D261" s="727" t="s">
        <v>923</v>
      </c>
      <c r="E261" s="728"/>
      <c r="F261" s="729" t="s">
        <v>924</v>
      </c>
      <c r="G261" s="730"/>
      <c r="H261" s="730"/>
      <c r="I261" s="730"/>
      <c r="J261" s="730"/>
      <c r="K261" s="730"/>
      <c r="L261" s="731"/>
      <c r="M261" s="732"/>
      <c r="N261" s="543"/>
      <c r="O261" s="543"/>
      <c r="P261" s="543"/>
      <c r="Q261" s="543"/>
      <c r="R261" s="543"/>
      <c r="S261" s="543"/>
      <c r="T261" s="543"/>
      <c r="U261" s="543"/>
      <c r="V261" s="543"/>
      <c r="W261" s="732" t="s">
        <v>1111</v>
      </c>
      <c r="X261" s="543"/>
      <c r="Y261" s="543"/>
      <c r="Z261" s="543"/>
      <c r="AA261" s="543"/>
      <c r="AB261" s="543"/>
      <c r="AC261" s="543"/>
      <c r="AD261" s="543"/>
      <c r="AE261" s="543"/>
      <c r="AF261" s="543"/>
      <c r="AG261" s="543"/>
      <c r="AH261" s="543"/>
      <c r="AI261" s="543"/>
      <c r="AJ261" s="543"/>
      <c r="AK261" s="733"/>
      <c r="AL261" s="543"/>
      <c r="AM261" s="543"/>
      <c r="AN261" s="543"/>
      <c r="AO261" s="543"/>
      <c r="AP261" s="543"/>
      <c r="AQ261" s="544"/>
      <c r="AR261" s="733"/>
      <c r="AS261" s="543"/>
      <c r="AT261" s="543"/>
      <c r="AU261" s="543"/>
      <c r="AV261" s="543"/>
      <c r="AW261" s="543"/>
      <c r="AX261" s="544"/>
      <c r="AY261" s="595"/>
      <c r="BA261" s="499"/>
    </row>
    <row r="262" spans="3:53" ht="12" customHeight="1">
      <c r="C262" s="712"/>
      <c r="D262" s="727" t="s">
        <v>1112</v>
      </c>
      <c r="E262" s="728"/>
      <c r="F262" s="729" t="s">
        <v>1113</v>
      </c>
      <c r="G262" s="730"/>
      <c r="H262" s="730"/>
      <c r="I262" s="730"/>
      <c r="J262" s="730"/>
      <c r="K262" s="730"/>
      <c r="L262" s="731"/>
      <c r="M262" s="732" t="s">
        <v>1114</v>
      </c>
      <c r="N262" s="543"/>
      <c r="O262" s="543"/>
      <c r="P262" s="543"/>
      <c r="Q262" s="543"/>
      <c r="R262" s="543"/>
      <c r="S262" s="543"/>
      <c r="T262" s="543"/>
      <c r="U262" s="543"/>
      <c r="V262" s="543"/>
      <c r="W262" s="732"/>
      <c r="X262" s="543"/>
      <c r="Y262" s="543"/>
      <c r="Z262" s="543"/>
      <c r="AA262" s="543"/>
      <c r="AB262" s="543"/>
      <c r="AC262" s="543"/>
      <c r="AD262" s="543"/>
      <c r="AE262" s="543"/>
      <c r="AF262" s="543"/>
      <c r="AG262" s="543"/>
      <c r="AH262" s="543"/>
      <c r="AI262" s="543"/>
      <c r="AJ262" s="543"/>
      <c r="AK262" s="733"/>
      <c r="AL262" s="543"/>
      <c r="AM262" s="543"/>
      <c r="AN262" s="543"/>
      <c r="AO262" s="543"/>
      <c r="AP262" s="543"/>
      <c r="AQ262" s="544"/>
      <c r="AR262" s="733"/>
      <c r="AS262" s="543"/>
      <c r="AT262" s="543"/>
      <c r="AU262" s="543"/>
      <c r="AV262" s="543"/>
      <c r="AW262" s="543"/>
      <c r="AX262" s="544"/>
      <c r="AY262" s="596"/>
      <c r="AZ262" s="735"/>
      <c r="BA262" s="499"/>
    </row>
    <row r="263" spans="3:53" ht="12" customHeight="1">
      <c r="C263" s="712"/>
      <c r="D263" s="727" t="s">
        <v>1115</v>
      </c>
      <c r="E263" s="728"/>
      <c r="F263" s="729" t="s">
        <v>1116</v>
      </c>
      <c r="G263" s="730"/>
      <c r="H263" s="730"/>
      <c r="I263" s="730"/>
      <c r="J263" s="730"/>
      <c r="K263" s="730"/>
      <c r="L263" s="731"/>
      <c r="M263" s="732" t="s">
        <v>1117</v>
      </c>
      <c r="N263" s="543"/>
      <c r="O263" s="543"/>
      <c r="P263" s="543"/>
      <c r="Q263" s="543"/>
      <c r="R263" s="543"/>
      <c r="S263" s="543"/>
      <c r="T263" s="543"/>
      <c r="U263" s="543"/>
      <c r="V263" s="543"/>
      <c r="W263" s="732"/>
      <c r="X263" s="543"/>
      <c r="Y263" s="543"/>
      <c r="Z263" s="543"/>
      <c r="AA263" s="543"/>
      <c r="AB263" s="543"/>
      <c r="AC263" s="543"/>
      <c r="AD263" s="543"/>
      <c r="AE263" s="543"/>
      <c r="AF263" s="543"/>
      <c r="AG263" s="543"/>
      <c r="AH263" s="543"/>
      <c r="AI263" s="543"/>
      <c r="AJ263" s="543"/>
      <c r="AK263" s="733"/>
      <c r="AL263" s="543"/>
      <c r="AM263" s="543"/>
      <c r="AN263" s="543"/>
      <c r="AO263" s="543"/>
      <c r="AP263" s="543"/>
      <c r="AQ263" s="544"/>
      <c r="AR263" s="733"/>
      <c r="AS263" s="543"/>
      <c r="AT263" s="543"/>
      <c r="AU263" s="543"/>
      <c r="AV263" s="543"/>
      <c r="AW263" s="543"/>
      <c r="AX263" s="544"/>
      <c r="AY263" s="595"/>
      <c r="BA263" s="499"/>
    </row>
    <row r="264" spans="3:53" ht="12" customHeight="1">
      <c r="C264" s="712"/>
      <c r="D264" s="727" t="s">
        <v>946</v>
      </c>
      <c r="E264" s="728"/>
      <c r="F264" s="729" t="s">
        <v>947</v>
      </c>
      <c r="G264" s="730"/>
      <c r="H264" s="730"/>
      <c r="I264" s="730"/>
      <c r="J264" s="730"/>
      <c r="K264" s="730"/>
      <c r="L264" s="731"/>
      <c r="M264" s="732"/>
      <c r="N264" s="543"/>
      <c r="O264" s="543"/>
      <c r="P264" s="543"/>
      <c r="Q264" s="543"/>
      <c r="R264" s="543"/>
      <c r="S264" s="543"/>
      <c r="T264" s="543"/>
      <c r="U264" s="543"/>
      <c r="V264" s="543"/>
      <c r="W264" s="732" t="s">
        <v>1118</v>
      </c>
      <c r="X264" s="543"/>
      <c r="Y264" s="543"/>
      <c r="Z264" s="543"/>
      <c r="AA264" s="543"/>
      <c r="AB264" s="543"/>
      <c r="AC264" s="543"/>
      <c r="AD264" s="543"/>
      <c r="AE264" s="543"/>
      <c r="AF264" s="543"/>
      <c r="AG264" s="543"/>
      <c r="AH264" s="543"/>
      <c r="AI264" s="543"/>
      <c r="AJ264" s="543"/>
      <c r="AK264" s="733"/>
      <c r="AL264" s="543"/>
      <c r="AM264" s="543"/>
      <c r="AN264" s="543"/>
      <c r="AO264" s="543"/>
      <c r="AP264" s="543"/>
      <c r="AQ264" s="544"/>
      <c r="AR264" s="733"/>
      <c r="AS264" s="543"/>
      <c r="AT264" s="543"/>
      <c r="AU264" s="543"/>
      <c r="AV264" s="543"/>
      <c r="AW264" s="543"/>
      <c r="AX264" s="544"/>
      <c r="AY264" s="596"/>
      <c r="AZ264" s="735"/>
      <c r="BA264" s="499"/>
    </row>
    <row r="265" spans="3:53" ht="12" customHeight="1">
      <c r="C265" s="712"/>
      <c r="D265" s="727" t="s">
        <v>966</v>
      </c>
      <c r="E265" s="728"/>
      <c r="F265" s="729" t="s">
        <v>967</v>
      </c>
      <c r="G265" s="730"/>
      <c r="H265" s="730"/>
      <c r="I265" s="730"/>
      <c r="J265" s="730"/>
      <c r="K265" s="730"/>
      <c r="L265" s="731"/>
      <c r="M265" s="732"/>
      <c r="N265" s="543"/>
      <c r="O265" s="543"/>
      <c r="P265" s="543"/>
      <c r="Q265" s="543"/>
      <c r="R265" s="543"/>
      <c r="S265" s="543"/>
      <c r="T265" s="543"/>
      <c r="U265" s="543"/>
      <c r="V265" s="543"/>
      <c r="W265" s="732"/>
      <c r="X265" s="543"/>
      <c r="Y265" s="543"/>
      <c r="Z265" s="543"/>
      <c r="AA265" s="543"/>
      <c r="AB265" s="543"/>
      <c r="AC265" s="543"/>
      <c r="AD265" s="543"/>
      <c r="AE265" s="543"/>
      <c r="AF265" s="543"/>
      <c r="AG265" s="543"/>
      <c r="AH265" s="543"/>
      <c r="AI265" s="543"/>
      <c r="AJ265" s="543"/>
      <c r="AK265" s="733"/>
      <c r="AL265" s="543"/>
      <c r="AM265" s="543"/>
      <c r="AN265" s="543"/>
      <c r="AO265" s="543"/>
      <c r="AP265" s="543"/>
      <c r="AQ265" s="544"/>
      <c r="AR265" s="733"/>
      <c r="AS265" s="543"/>
      <c r="AT265" s="543"/>
      <c r="AU265" s="543"/>
      <c r="AV265" s="543"/>
      <c r="AW265" s="543"/>
      <c r="AX265" s="544"/>
      <c r="AY265" s="595"/>
      <c r="BA265" s="499"/>
    </row>
    <row r="266" spans="3:53" ht="12" customHeight="1">
      <c r="C266" s="712"/>
      <c r="D266" s="727" t="s">
        <v>980</v>
      </c>
      <c r="E266" s="728"/>
      <c r="F266" s="729" t="s">
        <v>981</v>
      </c>
      <c r="G266" s="730"/>
      <c r="H266" s="730"/>
      <c r="I266" s="730"/>
      <c r="J266" s="730"/>
      <c r="K266" s="730"/>
      <c r="L266" s="731"/>
      <c r="M266" s="736" t="s">
        <v>1119</v>
      </c>
      <c r="N266" s="571"/>
      <c r="O266" s="571"/>
      <c r="P266" s="571"/>
      <c r="Q266" s="571"/>
      <c r="R266" s="571"/>
      <c r="S266" s="571"/>
      <c r="T266" s="571"/>
      <c r="U266" s="571"/>
      <c r="V266" s="571"/>
      <c r="W266" s="736"/>
      <c r="X266" s="571"/>
      <c r="Y266" s="571"/>
      <c r="Z266" s="571"/>
      <c r="AA266" s="571"/>
      <c r="AB266" s="571"/>
      <c r="AC266" s="571"/>
      <c r="AD266" s="571"/>
      <c r="AE266" s="571"/>
      <c r="AF266" s="571"/>
      <c r="AG266" s="571"/>
      <c r="AH266" s="571"/>
      <c r="AI266" s="571"/>
      <c r="AJ266" s="571"/>
      <c r="AK266" s="733"/>
      <c r="AL266" s="571"/>
      <c r="AM266" s="571"/>
      <c r="AN266" s="571"/>
      <c r="AO266" s="571"/>
      <c r="AP266" s="571"/>
      <c r="AQ266" s="572"/>
      <c r="AR266" s="733"/>
      <c r="AS266" s="571"/>
      <c r="AT266" s="543"/>
      <c r="AU266" s="543"/>
      <c r="AV266" s="543"/>
      <c r="AW266" s="543"/>
      <c r="AX266" s="572"/>
      <c r="AY266" s="596"/>
      <c r="AZ266" s="735"/>
      <c r="BA266" s="499"/>
    </row>
    <row r="267" spans="3:53" ht="12" customHeight="1">
      <c r="C267" s="712"/>
      <c r="D267" s="727" t="s">
        <v>980</v>
      </c>
      <c r="E267" s="728"/>
      <c r="F267" s="729" t="s">
        <v>981</v>
      </c>
      <c r="G267" s="730"/>
      <c r="H267" s="730"/>
      <c r="I267" s="730"/>
      <c r="J267" s="730"/>
      <c r="K267" s="730"/>
      <c r="L267" s="731"/>
      <c r="M267" s="736" t="s">
        <v>1120</v>
      </c>
      <c r="N267" s="571"/>
      <c r="O267" s="571"/>
      <c r="P267" s="571"/>
      <c r="Q267" s="571"/>
      <c r="R267" s="571"/>
      <c r="S267" s="571"/>
      <c r="T267" s="571"/>
      <c r="U267" s="571"/>
      <c r="V267" s="571"/>
      <c r="W267" s="736"/>
      <c r="X267" s="571"/>
      <c r="Y267" s="571"/>
      <c r="Z267" s="571"/>
      <c r="AA267" s="571"/>
      <c r="AB267" s="571"/>
      <c r="AC267" s="571"/>
      <c r="AD267" s="571"/>
      <c r="AE267" s="571"/>
      <c r="AF267" s="571"/>
      <c r="AG267" s="571"/>
      <c r="AH267" s="571"/>
      <c r="AI267" s="571"/>
      <c r="AJ267" s="571"/>
      <c r="AK267" s="733"/>
      <c r="AL267" s="571"/>
      <c r="AM267" s="571"/>
      <c r="AN267" s="571"/>
      <c r="AO267" s="571"/>
      <c r="AP267" s="571"/>
      <c r="AQ267" s="572"/>
      <c r="AR267" s="733"/>
      <c r="AS267" s="571"/>
      <c r="AT267" s="543"/>
      <c r="AU267" s="543"/>
      <c r="AV267" s="543"/>
      <c r="AW267" s="543"/>
      <c r="AX267" s="572"/>
      <c r="AY267" s="596"/>
      <c r="AZ267" s="735"/>
      <c r="BA267" s="499"/>
    </row>
    <row r="268" spans="3:53" ht="12" customHeight="1">
      <c r="C268" s="712"/>
      <c r="D268" s="727" t="s">
        <v>1121</v>
      </c>
      <c r="E268" s="728"/>
      <c r="F268" s="729" t="s">
        <v>1122</v>
      </c>
      <c r="G268" s="730"/>
      <c r="H268" s="730"/>
      <c r="I268" s="730"/>
      <c r="J268" s="730"/>
      <c r="K268" s="730"/>
      <c r="L268" s="731"/>
      <c r="M268" s="732" t="s">
        <v>1123</v>
      </c>
      <c r="N268" s="543"/>
      <c r="O268" s="543"/>
      <c r="P268" s="543"/>
      <c r="Q268" s="543"/>
      <c r="R268" s="543"/>
      <c r="S268" s="543"/>
      <c r="T268" s="543"/>
      <c r="U268" s="543"/>
      <c r="V268" s="543"/>
      <c r="W268" s="732"/>
      <c r="X268" s="543"/>
      <c r="Y268" s="543"/>
      <c r="Z268" s="543"/>
      <c r="AA268" s="543"/>
      <c r="AB268" s="543"/>
      <c r="AC268" s="543"/>
      <c r="AD268" s="543"/>
      <c r="AE268" s="543"/>
      <c r="AF268" s="543"/>
      <c r="AG268" s="543"/>
      <c r="AH268" s="543"/>
      <c r="AI268" s="543"/>
      <c r="AJ268" s="543"/>
      <c r="AK268" s="733"/>
      <c r="AL268" s="543"/>
      <c r="AM268" s="543"/>
      <c r="AN268" s="543"/>
      <c r="AO268" s="543"/>
      <c r="AP268" s="543"/>
      <c r="AQ268" s="544"/>
      <c r="AR268" s="733"/>
      <c r="AS268" s="543"/>
      <c r="AT268" s="543"/>
      <c r="AU268" s="543"/>
      <c r="AV268" s="543"/>
      <c r="AW268" s="543"/>
      <c r="AX268" s="544"/>
      <c r="AY268" s="596"/>
      <c r="AZ268" s="735"/>
      <c r="BA268" s="499"/>
    </row>
    <row r="269" spans="3:53" ht="12" customHeight="1">
      <c r="C269" s="712"/>
      <c r="D269" s="727" t="s">
        <v>1007</v>
      </c>
      <c r="E269" s="728"/>
      <c r="F269" s="729" t="s">
        <v>1008</v>
      </c>
      <c r="G269" s="730"/>
      <c r="H269" s="730"/>
      <c r="I269" s="730"/>
      <c r="J269" s="730"/>
      <c r="K269" s="730"/>
      <c r="L269" s="731"/>
      <c r="M269" s="732" t="s">
        <v>1124</v>
      </c>
      <c r="N269" s="543"/>
      <c r="O269" s="543"/>
      <c r="P269" s="543"/>
      <c r="Q269" s="543"/>
      <c r="R269" s="543"/>
      <c r="S269" s="543"/>
      <c r="T269" s="543"/>
      <c r="U269" s="543"/>
      <c r="V269" s="543"/>
      <c r="W269" s="732"/>
      <c r="X269" s="543"/>
      <c r="Y269" s="543"/>
      <c r="Z269" s="543"/>
      <c r="AA269" s="543"/>
      <c r="AB269" s="543"/>
      <c r="AC269" s="543"/>
      <c r="AD269" s="543"/>
      <c r="AE269" s="543"/>
      <c r="AF269" s="543"/>
      <c r="AG269" s="543"/>
      <c r="AH269" s="543"/>
      <c r="AI269" s="543"/>
      <c r="AJ269" s="543"/>
      <c r="AK269" s="733"/>
      <c r="AL269" s="543"/>
      <c r="AM269" s="543"/>
      <c r="AN269" s="543"/>
      <c r="AO269" s="543"/>
      <c r="AP269" s="543"/>
      <c r="AQ269" s="544"/>
      <c r="AR269" s="733"/>
      <c r="AS269" s="543"/>
      <c r="AT269" s="543"/>
      <c r="AU269" s="543"/>
      <c r="AV269" s="543"/>
      <c r="AW269" s="543"/>
      <c r="AX269" s="544"/>
      <c r="AY269" s="595"/>
      <c r="BA269" s="499"/>
    </row>
    <row r="270" spans="3:53" ht="12" customHeight="1">
      <c r="C270" s="712"/>
      <c r="D270" s="727" t="s">
        <v>1007</v>
      </c>
      <c r="E270" s="728"/>
      <c r="F270" s="729" t="s">
        <v>1008</v>
      </c>
      <c r="G270" s="730"/>
      <c r="H270" s="730"/>
      <c r="I270" s="730"/>
      <c r="J270" s="730"/>
      <c r="K270" s="730"/>
      <c r="L270" s="731"/>
      <c r="M270" s="732" t="s">
        <v>1125</v>
      </c>
      <c r="N270" s="543"/>
      <c r="O270" s="543"/>
      <c r="P270" s="543"/>
      <c r="Q270" s="543"/>
      <c r="R270" s="543"/>
      <c r="S270" s="543"/>
      <c r="T270" s="543"/>
      <c r="U270" s="543"/>
      <c r="V270" s="543"/>
      <c r="W270" s="732"/>
      <c r="X270" s="543"/>
      <c r="Y270" s="543"/>
      <c r="Z270" s="543"/>
      <c r="AA270" s="543"/>
      <c r="AB270" s="543"/>
      <c r="AC270" s="543"/>
      <c r="AD270" s="543"/>
      <c r="AE270" s="543"/>
      <c r="AF270" s="543"/>
      <c r="AG270" s="543"/>
      <c r="AH270" s="543"/>
      <c r="AI270" s="543"/>
      <c r="AJ270" s="543"/>
      <c r="AK270" s="733"/>
      <c r="AL270" s="543"/>
      <c r="AM270" s="543"/>
      <c r="AN270" s="543"/>
      <c r="AO270" s="543"/>
      <c r="AP270" s="543"/>
      <c r="AQ270" s="544"/>
      <c r="AR270" s="733"/>
      <c r="AS270" s="543"/>
      <c r="AT270" s="543"/>
      <c r="AU270" s="543"/>
      <c r="AV270" s="543"/>
      <c r="AW270" s="543"/>
      <c r="AX270" s="544"/>
      <c r="AY270" s="596"/>
      <c r="AZ270" s="735"/>
      <c r="BA270" s="737"/>
    </row>
    <row r="271" spans="3:53" ht="12" customHeight="1">
      <c r="C271" s="712"/>
      <c r="D271" s="727" t="s">
        <v>1015</v>
      </c>
      <c r="E271" s="728"/>
      <c r="F271" s="729" t="s">
        <v>1016</v>
      </c>
      <c r="G271" s="730"/>
      <c r="H271" s="730"/>
      <c r="I271" s="730"/>
      <c r="J271" s="730"/>
      <c r="K271" s="730"/>
      <c r="L271" s="731"/>
      <c r="M271" s="732" t="s">
        <v>1126</v>
      </c>
      <c r="N271" s="543"/>
      <c r="O271" s="543"/>
      <c r="P271" s="543"/>
      <c r="Q271" s="543"/>
      <c r="R271" s="543"/>
      <c r="S271" s="543"/>
      <c r="T271" s="543"/>
      <c r="U271" s="543"/>
      <c r="V271" s="543"/>
      <c r="W271" s="732"/>
      <c r="X271" s="543"/>
      <c r="Y271" s="543"/>
      <c r="Z271" s="543"/>
      <c r="AA271" s="543"/>
      <c r="AB271" s="543"/>
      <c r="AC271" s="543"/>
      <c r="AD271" s="543"/>
      <c r="AE271" s="543"/>
      <c r="AF271" s="543"/>
      <c r="AG271" s="543"/>
      <c r="AH271" s="543"/>
      <c r="AI271" s="543"/>
      <c r="AJ271" s="543"/>
      <c r="AK271" s="733"/>
      <c r="AL271" s="543"/>
      <c r="AM271" s="543"/>
      <c r="AN271" s="543"/>
      <c r="AO271" s="543"/>
      <c r="AP271" s="543"/>
      <c r="AQ271" s="544"/>
      <c r="AR271" s="733"/>
      <c r="AS271" s="543"/>
      <c r="AT271" s="543"/>
      <c r="AU271" s="543"/>
      <c r="AV271" s="543"/>
      <c r="AW271" s="543"/>
      <c r="AX271" s="544"/>
      <c r="AY271" s="596"/>
      <c r="AZ271" s="735"/>
      <c r="BA271" s="499"/>
    </row>
    <row r="272" spans="3:53" ht="12" customHeight="1">
      <c r="C272" s="712"/>
      <c r="D272" s="727" t="s">
        <v>1048</v>
      </c>
      <c r="E272" s="728"/>
      <c r="F272" s="729" t="s">
        <v>1049</v>
      </c>
      <c r="G272" s="730"/>
      <c r="H272" s="730"/>
      <c r="I272" s="730"/>
      <c r="J272" s="730"/>
      <c r="K272" s="730"/>
      <c r="L272" s="731"/>
      <c r="M272" s="732"/>
      <c r="N272" s="543"/>
      <c r="O272" s="543"/>
      <c r="P272" s="543"/>
      <c r="Q272" s="543"/>
      <c r="R272" s="543"/>
      <c r="S272" s="543"/>
      <c r="T272" s="543"/>
      <c r="U272" s="543"/>
      <c r="V272" s="543"/>
      <c r="W272" s="732"/>
      <c r="X272" s="543"/>
      <c r="Y272" s="543"/>
      <c r="Z272" s="543"/>
      <c r="AA272" s="543"/>
      <c r="AB272" s="543"/>
      <c r="AC272" s="543"/>
      <c r="AD272" s="543"/>
      <c r="AE272" s="543"/>
      <c r="AF272" s="543"/>
      <c r="AG272" s="543"/>
      <c r="AH272" s="543"/>
      <c r="AI272" s="543"/>
      <c r="AJ272" s="543"/>
      <c r="AK272" s="733"/>
      <c r="AL272" s="543"/>
      <c r="AM272" s="543"/>
      <c r="AN272" s="543"/>
      <c r="AO272" s="543"/>
      <c r="AP272" s="543"/>
      <c r="AQ272" s="544"/>
      <c r="AR272" s="733"/>
      <c r="AS272" s="543"/>
      <c r="AT272" s="543"/>
      <c r="AU272" s="543"/>
      <c r="AV272" s="543"/>
      <c r="AW272" s="543"/>
      <c r="AX272" s="544"/>
      <c r="AY272" s="596"/>
      <c r="AZ272" s="735"/>
      <c r="BA272" s="499"/>
    </row>
    <row r="273" spans="3:53" ht="12" customHeight="1">
      <c r="C273" s="712"/>
      <c r="D273" s="727" t="s">
        <v>1127</v>
      </c>
      <c r="E273" s="728"/>
      <c r="F273" s="729" t="s">
        <v>1128</v>
      </c>
      <c r="G273" s="730"/>
      <c r="H273" s="730"/>
      <c r="I273" s="730"/>
      <c r="J273" s="730"/>
      <c r="K273" s="730"/>
      <c r="L273" s="731"/>
      <c r="M273" s="732" t="s">
        <v>1129</v>
      </c>
      <c r="N273" s="543"/>
      <c r="O273" s="543"/>
      <c r="P273" s="543"/>
      <c r="Q273" s="543"/>
      <c r="R273" s="543"/>
      <c r="S273" s="543"/>
      <c r="T273" s="543"/>
      <c r="U273" s="543"/>
      <c r="V273" s="543"/>
      <c r="W273" s="732"/>
      <c r="X273" s="543"/>
      <c r="Y273" s="543"/>
      <c r="Z273" s="543"/>
      <c r="AA273" s="543"/>
      <c r="AB273" s="543"/>
      <c r="AC273" s="543"/>
      <c r="AD273" s="543"/>
      <c r="AE273" s="543"/>
      <c r="AF273" s="543"/>
      <c r="AG273" s="543"/>
      <c r="AH273" s="543"/>
      <c r="AI273" s="543"/>
      <c r="AJ273" s="543"/>
      <c r="AK273" s="733"/>
      <c r="AL273" s="543"/>
      <c r="AM273" s="543"/>
      <c r="AN273" s="543"/>
      <c r="AO273" s="543"/>
      <c r="AP273" s="543"/>
      <c r="AQ273" s="544"/>
      <c r="AR273" s="733"/>
      <c r="AS273" s="543"/>
      <c r="AT273" s="543"/>
      <c r="AU273" s="543"/>
      <c r="AV273" s="543"/>
      <c r="AW273" s="543"/>
      <c r="AX273" s="544"/>
      <c r="AY273" s="596"/>
      <c r="AZ273" s="735"/>
      <c r="BA273" s="499"/>
    </row>
    <row r="274" spans="3:53" ht="12" customHeight="1">
      <c r="C274" s="712"/>
      <c r="D274" s="727" t="s">
        <v>1127</v>
      </c>
      <c r="E274" s="728"/>
      <c r="F274" s="729" t="s">
        <v>1128</v>
      </c>
      <c r="G274" s="730"/>
      <c r="H274" s="730"/>
      <c r="I274" s="730"/>
      <c r="J274" s="730"/>
      <c r="K274" s="730"/>
      <c r="L274" s="731"/>
      <c r="M274" s="732" t="s">
        <v>1130</v>
      </c>
      <c r="N274" s="543"/>
      <c r="O274" s="543"/>
      <c r="P274" s="543"/>
      <c r="Q274" s="543"/>
      <c r="R274" s="543"/>
      <c r="S274" s="543"/>
      <c r="T274" s="543"/>
      <c r="U274" s="543"/>
      <c r="V274" s="543"/>
      <c r="W274" s="732"/>
      <c r="X274" s="543"/>
      <c r="Y274" s="543"/>
      <c r="Z274" s="543"/>
      <c r="AA274" s="543"/>
      <c r="AB274" s="543"/>
      <c r="AC274" s="543"/>
      <c r="AD274" s="543"/>
      <c r="AE274" s="543"/>
      <c r="AF274" s="543"/>
      <c r="AG274" s="543"/>
      <c r="AH274" s="543"/>
      <c r="AI274" s="543"/>
      <c r="AJ274" s="543"/>
      <c r="AK274" s="733"/>
      <c r="AL274" s="543"/>
      <c r="AM274" s="543"/>
      <c r="AN274" s="543"/>
      <c r="AO274" s="543"/>
      <c r="AP274" s="543"/>
      <c r="AQ274" s="544"/>
      <c r="AR274" s="733"/>
      <c r="AS274" s="543"/>
      <c r="AT274" s="543"/>
      <c r="AU274" s="543"/>
      <c r="AV274" s="543"/>
      <c r="AW274" s="543"/>
      <c r="AX274" s="544"/>
      <c r="AY274" s="596"/>
      <c r="AZ274" s="735"/>
      <c r="BA274" s="499"/>
    </row>
    <row r="275" spans="3:53" ht="12" customHeight="1">
      <c r="C275" s="712"/>
      <c r="D275" s="727" t="s">
        <v>1131</v>
      </c>
      <c r="E275" s="728"/>
      <c r="F275" s="729" t="s">
        <v>1132</v>
      </c>
      <c r="G275" s="730"/>
      <c r="H275" s="730"/>
      <c r="I275" s="730"/>
      <c r="J275" s="730"/>
      <c r="K275" s="730"/>
      <c r="L275" s="731"/>
      <c r="M275" s="732" t="s">
        <v>1133</v>
      </c>
      <c r="N275" s="543"/>
      <c r="O275" s="543"/>
      <c r="P275" s="543"/>
      <c r="Q275" s="543"/>
      <c r="R275" s="543"/>
      <c r="S275" s="543"/>
      <c r="T275" s="543"/>
      <c r="U275" s="543"/>
      <c r="V275" s="543"/>
      <c r="W275" s="732"/>
      <c r="X275" s="543"/>
      <c r="Y275" s="543"/>
      <c r="Z275" s="543"/>
      <c r="AA275" s="543"/>
      <c r="AB275" s="543"/>
      <c r="AC275" s="543"/>
      <c r="AD275" s="543"/>
      <c r="AE275" s="543"/>
      <c r="AF275" s="543"/>
      <c r="AG275" s="543"/>
      <c r="AH275" s="543"/>
      <c r="AI275" s="543"/>
      <c r="AJ275" s="543"/>
      <c r="AK275" s="733"/>
      <c r="AL275" s="543"/>
      <c r="AM275" s="543"/>
      <c r="AN275" s="543"/>
      <c r="AO275" s="543"/>
      <c r="AP275" s="543"/>
      <c r="AQ275" s="544"/>
      <c r="AR275" s="733"/>
      <c r="AS275" s="543"/>
      <c r="AT275" s="543"/>
      <c r="AU275" s="543"/>
      <c r="AV275" s="543"/>
      <c r="AW275" s="543"/>
      <c r="AX275" s="544"/>
      <c r="AY275" s="596"/>
      <c r="AZ275" s="735"/>
      <c r="BA275" s="737"/>
    </row>
    <row r="276" spans="3:53" ht="12" customHeight="1">
      <c r="C276" s="712"/>
      <c r="D276" s="727" t="s">
        <v>1134</v>
      </c>
      <c r="E276" s="728"/>
      <c r="F276" s="729" t="s">
        <v>1135</v>
      </c>
      <c r="G276" s="730"/>
      <c r="H276" s="730"/>
      <c r="I276" s="730"/>
      <c r="J276" s="730"/>
      <c r="K276" s="730"/>
      <c r="L276" s="731"/>
      <c r="M276" s="732" t="s">
        <v>1136</v>
      </c>
      <c r="N276" s="543"/>
      <c r="O276" s="543"/>
      <c r="P276" s="543"/>
      <c r="Q276" s="543"/>
      <c r="R276" s="543"/>
      <c r="S276" s="543"/>
      <c r="T276" s="543"/>
      <c r="U276" s="543"/>
      <c r="V276" s="543"/>
      <c r="W276" s="732"/>
      <c r="X276" s="543"/>
      <c r="Y276" s="543"/>
      <c r="Z276" s="543"/>
      <c r="AA276" s="543"/>
      <c r="AB276" s="543"/>
      <c r="AC276" s="543"/>
      <c r="AD276" s="543"/>
      <c r="AE276" s="543"/>
      <c r="AF276" s="543"/>
      <c r="AG276" s="543"/>
      <c r="AH276" s="543"/>
      <c r="AI276" s="543"/>
      <c r="AJ276" s="543"/>
      <c r="AK276" s="733"/>
      <c r="AL276" s="543"/>
      <c r="AM276" s="543"/>
      <c r="AN276" s="543"/>
      <c r="AO276" s="543"/>
      <c r="AP276" s="543"/>
      <c r="AQ276" s="544"/>
      <c r="AR276" s="733"/>
      <c r="AS276" s="543"/>
      <c r="AT276" s="543"/>
      <c r="AU276" s="543"/>
      <c r="AV276" s="543"/>
      <c r="AW276" s="543"/>
      <c r="AX276" s="544"/>
      <c r="AY276" s="596"/>
      <c r="AZ276" s="735"/>
      <c r="BA276" s="499"/>
    </row>
    <row r="277" spans="3:53" ht="12" customHeight="1">
      <c r="C277" s="712"/>
      <c r="D277" s="727" t="s">
        <v>1137</v>
      </c>
      <c r="E277" s="728"/>
      <c r="F277" s="729" t="s">
        <v>1138</v>
      </c>
      <c r="G277" s="730"/>
      <c r="H277" s="730"/>
      <c r="I277" s="730"/>
      <c r="J277" s="730"/>
      <c r="K277" s="730"/>
      <c r="L277" s="731"/>
      <c r="M277" s="732" t="s">
        <v>1139</v>
      </c>
      <c r="N277" s="543"/>
      <c r="O277" s="543"/>
      <c r="P277" s="543"/>
      <c r="Q277" s="543"/>
      <c r="R277" s="543"/>
      <c r="S277" s="543"/>
      <c r="T277" s="543"/>
      <c r="U277" s="543"/>
      <c r="V277" s="543"/>
      <c r="W277" s="732"/>
      <c r="X277" s="543"/>
      <c r="Y277" s="543"/>
      <c r="Z277" s="543"/>
      <c r="AA277" s="543"/>
      <c r="AB277" s="543"/>
      <c r="AC277" s="543"/>
      <c r="AD277" s="543"/>
      <c r="AE277" s="543"/>
      <c r="AF277" s="543"/>
      <c r="AG277" s="543"/>
      <c r="AH277" s="543"/>
      <c r="AI277" s="543"/>
      <c r="AJ277" s="543"/>
      <c r="AK277" s="733"/>
      <c r="AL277" s="543"/>
      <c r="AM277" s="543"/>
      <c r="AN277" s="543"/>
      <c r="AO277" s="543"/>
      <c r="AP277" s="543"/>
      <c r="AQ277" s="544"/>
      <c r="AR277" s="733"/>
      <c r="AS277" s="543"/>
      <c r="AT277" s="543"/>
      <c r="AU277" s="543"/>
      <c r="AV277" s="543"/>
      <c r="AW277" s="543"/>
      <c r="AX277" s="544"/>
      <c r="AY277" s="595"/>
      <c r="BA277" s="499"/>
    </row>
    <row r="278" spans="3:53" ht="12" customHeight="1">
      <c r="C278" s="712"/>
      <c r="D278" s="727" t="s">
        <v>1032</v>
      </c>
      <c r="E278" s="728"/>
      <c r="F278" s="729" t="s">
        <v>1033</v>
      </c>
      <c r="G278" s="730"/>
      <c r="H278" s="730"/>
      <c r="I278" s="730"/>
      <c r="J278" s="730"/>
      <c r="K278" s="730"/>
      <c r="L278" s="731"/>
      <c r="M278" s="732" t="s">
        <v>1140</v>
      </c>
      <c r="N278" s="543"/>
      <c r="O278" s="543"/>
      <c r="P278" s="543"/>
      <c r="Q278" s="543"/>
      <c r="R278" s="543"/>
      <c r="S278" s="543"/>
      <c r="T278" s="543"/>
      <c r="U278" s="543"/>
      <c r="V278" s="543"/>
      <c r="W278" s="732"/>
      <c r="X278" s="543"/>
      <c r="Y278" s="543"/>
      <c r="Z278" s="543"/>
      <c r="AA278" s="543"/>
      <c r="AB278" s="543"/>
      <c r="AC278" s="543"/>
      <c r="AD278" s="543"/>
      <c r="AE278" s="543"/>
      <c r="AF278" s="543"/>
      <c r="AG278" s="543"/>
      <c r="AH278" s="543"/>
      <c r="AI278" s="543"/>
      <c r="AJ278" s="543"/>
      <c r="AK278" s="733"/>
      <c r="AL278" s="543"/>
      <c r="AM278" s="543"/>
      <c r="AN278" s="543"/>
      <c r="AO278" s="543"/>
      <c r="AP278" s="543"/>
      <c r="AQ278" s="544"/>
      <c r="AR278" s="733"/>
      <c r="AS278" s="543"/>
      <c r="AT278" s="543"/>
      <c r="AU278" s="543"/>
      <c r="AV278" s="543"/>
      <c r="AW278" s="543"/>
      <c r="AX278" s="544"/>
      <c r="AY278" s="596"/>
      <c r="AZ278" s="735"/>
      <c r="BA278" s="499"/>
    </row>
    <row r="279" spans="3:53" ht="12" customHeight="1">
      <c r="C279" s="712"/>
      <c r="D279" s="727" t="s">
        <v>1032</v>
      </c>
      <c r="E279" s="728"/>
      <c r="F279" s="729" t="s">
        <v>1033</v>
      </c>
      <c r="G279" s="730"/>
      <c r="H279" s="730"/>
      <c r="I279" s="730"/>
      <c r="J279" s="730"/>
      <c r="K279" s="730"/>
      <c r="L279" s="731"/>
      <c r="M279" s="732"/>
      <c r="N279" s="543"/>
      <c r="O279" s="543"/>
      <c r="P279" s="543"/>
      <c r="Q279" s="543"/>
      <c r="R279" s="543"/>
      <c r="S279" s="543"/>
      <c r="T279" s="543"/>
      <c r="U279" s="543"/>
      <c r="V279" s="543"/>
      <c r="W279" s="732" t="s">
        <v>1141</v>
      </c>
      <c r="X279" s="543"/>
      <c r="Y279" s="543"/>
      <c r="Z279" s="543"/>
      <c r="AA279" s="543"/>
      <c r="AB279" s="543"/>
      <c r="AC279" s="543"/>
      <c r="AD279" s="543"/>
      <c r="AE279" s="543"/>
      <c r="AF279" s="543"/>
      <c r="AG279" s="543"/>
      <c r="AH279" s="543"/>
      <c r="AI279" s="543"/>
      <c r="AJ279" s="543"/>
      <c r="AK279" s="733"/>
      <c r="AL279" s="543"/>
      <c r="AM279" s="543"/>
      <c r="AN279" s="543"/>
      <c r="AO279" s="543"/>
      <c r="AP279" s="543"/>
      <c r="AQ279" s="544"/>
      <c r="AR279" s="733"/>
      <c r="AS279" s="543"/>
      <c r="AT279" s="543"/>
      <c r="AU279" s="543"/>
      <c r="AV279" s="543"/>
      <c r="AW279" s="543"/>
      <c r="AX279" s="544"/>
      <c r="AY279" s="596"/>
      <c r="AZ279" s="735"/>
      <c r="BA279" s="499"/>
    </row>
    <row r="280" spans="3:53" ht="12" customHeight="1">
      <c r="C280" s="712"/>
      <c r="D280" s="727" t="s">
        <v>1142</v>
      </c>
      <c r="E280" s="728"/>
      <c r="F280" s="729" t="s">
        <v>1143</v>
      </c>
      <c r="G280" s="730"/>
      <c r="H280" s="730"/>
      <c r="I280" s="730"/>
      <c r="J280" s="730"/>
      <c r="K280" s="730"/>
      <c r="L280" s="731"/>
      <c r="M280" s="732"/>
      <c r="N280" s="543"/>
      <c r="O280" s="543"/>
      <c r="P280" s="543"/>
      <c r="Q280" s="543"/>
      <c r="R280" s="543"/>
      <c r="S280" s="543"/>
      <c r="T280" s="543"/>
      <c r="U280" s="543"/>
      <c r="V280" s="543"/>
      <c r="W280" s="732"/>
      <c r="X280" s="543"/>
      <c r="Y280" s="543"/>
      <c r="Z280" s="543"/>
      <c r="AA280" s="543"/>
      <c r="AB280" s="543"/>
      <c r="AC280" s="543"/>
      <c r="AD280" s="543"/>
      <c r="AE280" s="543"/>
      <c r="AF280" s="543"/>
      <c r="AG280" s="543"/>
      <c r="AH280" s="543"/>
      <c r="AI280" s="543"/>
      <c r="AJ280" s="543"/>
      <c r="AK280" s="733"/>
      <c r="AL280" s="543"/>
      <c r="AM280" s="543"/>
      <c r="AN280" s="543"/>
      <c r="AO280" s="543"/>
      <c r="AP280" s="543"/>
      <c r="AQ280" s="544"/>
      <c r="AR280" s="733"/>
      <c r="AS280" s="543"/>
      <c r="AT280" s="543"/>
      <c r="AU280" s="543"/>
      <c r="AV280" s="543"/>
      <c r="AW280" s="543"/>
      <c r="AX280" s="544"/>
      <c r="AY280" s="596"/>
      <c r="AZ280" s="735"/>
      <c r="BA280" s="499"/>
    </row>
    <row r="281" spans="3:53" ht="12" customHeight="1">
      <c r="C281" s="712"/>
      <c r="D281" s="727" t="s">
        <v>1064</v>
      </c>
      <c r="E281" s="728"/>
      <c r="F281" s="729" t="s">
        <v>1065</v>
      </c>
      <c r="G281" s="730"/>
      <c r="H281" s="730"/>
      <c r="I281" s="730"/>
      <c r="J281" s="730"/>
      <c r="K281" s="730"/>
      <c r="L281" s="731"/>
      <c r="M281" s="732" t="s">
        <v>1144</v>
      </c>
      <c r="N281" s="543"/>
      <c r="O281" s="543"/>
      <c r="P281" s="543"/>
      <c r="Q281" s="543"/>
      <c r="R281" s="543"/>
      <c r="S281" s="543"/>
      <c r="T281" s="543"/>
      <c r="U281" s="543"/>
      <c r="V281" s="543"/>
      <c r="W281" s="732"/>
      <c r="X281" s="543"/>
      <c r="Y281" s="543"/>
      <c r="Z281" s="543"/>
      <c r="AA281" s="543"/>
      <c r="AB281" s="543"/>
      <c r="AC281" s="543"/>
      <c r="AD281" s="543"/>
      <c r="AE281" s="543"/>
      <c r="AF281" s="543"/>
      <c r="AG281" s="543"/>
      <c r="AH281" s="543"/>
      <c r="AI281" s="543"/>
      <c r="AJ281" s="543"/>
      <c r="AK281" s="733"/>
      <c r="AL281" s="543"/>
      <c r="AM281" s="543"/>
      <c r="AN281" s="543"/>
      <c r="AO281" s="543"/>
      <c r="AP281" s="543"/>
      <c r="AQ281" s="544"/>
      <c r="AR281" s="733"/>
      <c r="AS281" s="543"/>
      <c r="AT281" s="543"/>
      <c r="AU281" s="543"/>
      <c r="AV281" s="543"/>
      <c r="AW281" s="543"/>
      <c r="AX281" s="544"/>
      <c r="AY281" s="595"/>
      <c r="BA281" s="499"/>
    </row>
    <row r="282" spans="3:53" ht="12" customHeight="1">
      <c r="C282" s="712"/>
      <c r="D282" s="727"/>
      <c r="E282" s="728"/>
      <c r="F282" s="729"/>
      <c r="G282" s="730"/>
      <c r="H282" s="730"/>
      <c r="I282" s="730"/>
      <c r="J282" s="730"/>
      <c r="K282" s="730"/>
      <c r="L282" s="731"/>
      <c r="M282" s="732" t="s">
        <v>1145</v>
      </c>
      <c r="N282" s="543"/>
      <c r="O282" s="543"/>
      <c r="P282" s="543"/>
      <c r="Q282" s="543"/>
      <c r="R282" s="543"/>
      <c r="S282" s="543"/>
      <c r="T282" s="543"/>
      <c r="U282" s="543"/>
      <c r="V282" s="543"/>
      <c r="W282" s="732"/>
      <c r="X282" s="543"/>
      <c r="Y282" s="543"/>
      <c r="Z282" s="543"/>
      <c r="AA282" s="543"/>
      <c r="AB282" s="543"/>
      <c r="AC282" s="543"/>
      <c r="AD282" s="543"/>
      <c r="AE282" s="543"/>
      <c r="AF282" s="543"/>
      <c r="AG282" s="543"/>
      <c r="AH282" s="543"/>
      <c r="AI282" s="543"/>
      <c r="AJ282" s="543"/>
      <c r="AK282" s="733"/>
      <c r="AL282" s="543"/>
      <c r="AM282" s="543"/>
      <c r="AN282" s="543"/>
      <c r="AO282" s="543"/>
      <c r="AP282" s="543"/>
      <c r="AQ282" s="544"/>
      <c r="AR282" s="733"/>
      <c r="AS282" s="543"/>
      <c r="AT282" s="543"/>
      <c r="AU282" s="543"/>
      <c r="AV282" s="543"/>
      <c r="AW282" s="543"/>
      <c r="AX282" s="544"/>
      <c r="AY282" s="596"/>
      <c r="AZ282" s="735"/>
      <c r="BA282" s="499"/>
    </row>
    <row r="283" spans="3:53" ht="12" customHeight="1">
      <c r="C283" s="712"/>
      <c r="D283" s="727"/>
      <c r="E283" s="728"/>
      <c r="F283" s="729"/>
      <c r="G283" s="730"/>
      <c r="H283" s="730"/>
      <c r="I283" s="730"/>
      <c r="J283" s="730"/>
      <c r="K283" s="730"/>
      <c r="L283" s="731"/>
      <c r="M283" s="732"/>
      <c r="N283" s="543"/>
      <c r="O283" s="543"/>
      <c r="P283" s="543"/>
      <c r="Q283" s="543"/>
      <c r="R283" s="543"/>
      <c r="S283" s="543"/>
      <c r="T283" s="543"/>
      <c r="U283" s="543"/>
      <c r="V283" s="543"/>
      <c r="W283" s="732" t="s">
        <v>1146</v>
      </c>
      <c r="X283" s="543"/>
      <c r="Y283" s="543"/>
      <c r="Z283" s="543"/>
      <c r="AA283" s="543"/>
      <c r="AB283" s="543"/>
      <c r="AC283" s="543"/>
      <c r="AD283" s="543"/>
      <c r="AE283" s="543"/>
      <c r="AF283" s="543"/>
      <c r="AG283" s="543"/>
      <c r="AH283" s="543"/>
      <c r="AI283" s="543"/>
      <c r="AJ283" s="543"/>
      <c r="AK283" s="733"/>
      <c r="AL283" s="543"/>
      <c r="AM283" s="543"/>
      <c r="AN283" s="543"/>
      <c r="AO283" s="543"/>
      <c r="AP283" s="543"/>
      <c r="AQ283" s="544"/>
      <c r="AR283" s="733"/>
      <c r="AS283" s="543"/>
      <c r="AT283" s="543"/>
      <c r="AU283" s="543"/>
      <c r="AV283" s="543"/>
      <c r="AW283" s="543"/>
      <c r="AX283" s="544"/>
      <c r="AY283" s="596"/>
      <c r="AZ283" s="735"/>
      <c r="BA283" s="499"/>
    </row>
    <row r="284" spans="3:53" ht="12" customHeight="1">
      <c r="C284" s="712"/>
      <c r="D284" s="727" t="s">
        <v>1077</v>
      </c>
      <c r="E284" s="728"/>
      <c r="F284" s="729" t="s">
        <v>1147</v>
      </c>
      <c r="G284" s="730"/>
      <c r="H284" s="730"/>
      <c r="I284" s="730"/>
      <c r="J284" s="730"/>
      <c r="K284" s="730"/>
      <c r="L284" s="731"/>
      <c r="M284" s="732" t="s">
        <v>1148</v>
      </c>
      <c r="N284" s="543"/>
      <c r="O284" s="543"/>
      <c r="P284" s="543"/>
      <c r="Q284" s="543"/>
      <c r="R284" s="543"/>
      <c r="S284" s="543"/>
      <c r="T284" s="543"/>
      <c r="U284" s="543"/>
      <c r="V284" s="543"/>
      <c r="W284" s="732"/>
      <c r="X284" s="543"/>
      <c r="Y284" s="543"/>
      <c r="Z284" s="543"/>
      <c r="AA284" s="543"/>
      <c r="AB284" s="543"/>
      <c r="AC284" s="543"/>
      <c r="AD284" s="543"/>
      <c r="AE284" s="543"/>
      <c r="AF284" s="543"/>
      <c r="AG284" s="543"/>
      <c r="AH284" s="543"/>
      <c r="AI284" s="543"/>
      <c r="AJ284" s="543"/>
      <c r="AK284" s="733"/>
      <c r="AL284" s="543"/>
      <c r="AM284" s="543"/>
      <c r="AN284" s="543"/>
      <c r="AO284" s="543"/>
      <c r="AP284" s="543"/>
      <c r="AQ284" s="544"/>
      <c r="AR284" s="733"/>
      <c r="AS284" s="543"/>
      <c r="AT284" s="543"/>
      <c r="AU284" s="543"/>
      <c r="AV284" s="543"/>
      <c r="AW284" s="543"/>
      <c r="AX284" s="544"/>
      <c r="AY284" s="596"/>
      <c r="AZ284" s="735"/>
      <c r="BA284" s="499"/>
    </row>
    <row r="285" spans="3:53" ht="12" customHeight="1" thickBot="1">
      <c r="C285" s="712"/>
      <c r="D285" s="738"/>
      <c r="E285" s="739"/>
      <c r="F285" s="740"/>
      <c r="G285" s="741"/>
      <c r="H285" s="741"/>
      <c r="I285" s="741"/>
      <c r="J285" s="741"/>
      <c r="K285" s="741"/>
      <c r="L285" s="742"/>
      <c r="M285" s="743"/>
      <c r="N285" s="744"/>
      <c r="O285" s="744"/>
      <c r="P285" s="744"/>
      <c r="Q285" s="744"/>
      <c r="R285" s="744"/>
      <c r="S285" s="744"/>
      <c r="T285" s="744"/>
      <c r="U285" s="744"/>
      <c r="V285" s="744"/>
      <c r="W285" s="743"/>
      <c r="X285" s="744"/>
      <c r="Y285" s="744"/>
      <c r="Z285" s="744"/>
      <c r="AA285" s="744"/>
      <c r="AB285" s="744"/>
      <c r="AC285" s="744"/>
      <c r="AD285" s="744"/>
      <c r="AE285" s="744"/>
      <c r="AF285" s="744"/>
      <c r="AG285" s="744"/>
      <c r="AH285" s="744"/>
      <c r="AI285" s="744"/>
      <c r="AJ285" s="744"/>
      <c r="AK285" s="745"/>
      <c r="AL285" s="744"/>
      <c r="AM285" s="744"/>
      <c r="AN285" s="744"/>
      <c r="AO285" s="744"/>
      <c r="AP285" s="744"/>
      <c r="AQ285" s="746"/>
      <c r="AR285" s="745"/>
      <c r="AS285" s="744"/>
      <c r="AT285" s="744"/>
      <c r="AU285" s="744"/>
      <c r="AV285" s="744"/>
      <c r="AW285" s="744"/>
      <c r="AX285" s="746"/>
      <c r="AY285" s="596"/>
      <c r="AZ285" s="735"/>
      <c r="BA285" s="499"/>
    </row>
    <row r="286" spans="3:53" ht="12" customHeight="1">
      <c r="C286" s="497"/>
      <c r="Q286" s="8"/>
      <c r="S286" s="10"/>
      <c r="BA286" s="499"/>
    </row>
    <row r="287" spans="3:53" ht="12" customHeight="1">
      <c r="C287" s="50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7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09"/>
    </row>
    <row r="288" spans="3:53" ht="12" customHeight="1" thickBot="1">
      <c r="C288" s="531"/>
      <c r="D288" s="532"/>
      <c r="E288" s="532"/>
      <c r="F288" s="532"/>
      <c r="G288" s="532"/>
      <c r="H288" s="532"/>
      <c r="I288" s="532"/>
      <c r="J288" s="532"/>
      <c r="K288" s="532"/>
      <c r="L288" s="532"/>
      <c r="M288" s="532"/>
      <c r="N288" s="532"/>
      <c r="O288" s="532"/>
      <c r="P288" s="532"/>
      <c r="Q288" s="532"/>
      <c r="R288" s="532"/>
      <c r="S288" s="532"/>
      <c r="T288" s="532"/>
      <c r="U288" s="532"/>
      <c r="V288" s="532"/>
      <c r="W288" s="532"/>
      <c r="X288" s="532"/>
      <c r="Y288" s="532"/>
      <c r="Z288" s="532"/>
      <c r="AA288" s="532"/>
      <c r="AB288" s="532"/>
      <c r="AC288" s="532"/>
      <c r="AD288" s="532"/>
      <c r="AE288" s="532"/>
      <c r="AF288" s="532"/>
      <c r="AG288" s="532"/>
      <c r="AH288" s="532"/>
      <c r="AI288" s="532"/>
      <c r="AJ288" s="532"/>
      <c r="AK288" s="532"/>
      <c r="AL288" s="532"/>
      <c r="AM288" s="532"/>
      <c r="AN288" s="532"/>
      <c r="AO288" s="532"/>
      <c r="AP288" s="532"/>
      <c r="AQ288" s="532"/>
      <c r="AR288" s="532"/>
      <c r="AS288" s="532"/>
      <c r="AT288" s="532"/>
      <c r="AU288" s="532"/>
      <c r="AV288" s="532"/>
      <c r="AW288" s="532"/>
      <c r="AX288" s="532"/>
      <c r="AY288" s="532"/>
      <c r="AZ288" s="532"/>
      <c r="BA288" s="534"/>
    </row>
  </sheetData>
  <mergeCells count="552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CA39:CC39"/>
    <mergeCell ref="CD39:CF39"/>
    <mergeCell ref="CG39:CI39"/>
    <mergeCell ref="CJ39:CL39"/>
    <mergeCell ref="CM39:CO39"/>
    <mergeCell ref="CP39:CR39"/>
    <mergeCell ref="EC38:EE38"/>
    <mergeCell ref="EF38:EH38"/>
    <mergeCell ref="EI38:EK38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R39:ET39"/>
    <mergeCell ref="DK39:DM39"/>
    <mergeCell ref="DN39:DP39"/>
    <mergeCell ref="DQ39:DS39"/>
    <mergeCell ref="DT39:DV39"/>
    <mergeCell ref="DW39:DY39"/>
    <mergeCell ref="DZ39:EB39"/>
    <mergeCell ref="CS39:CU39"/>
    <mergeCell ref="CV39:CX39"/>
    <mergeCell ref="CY39:DA39"/>
    <mergeCell ref="DB39:DD39"/>
    <mergeCell ref="DE39:DG39"/>
    <mergeCell ref="DH39:DJ39"/>
    <mergeCell ref="CG40:CI40"/>
    <mergeCell ref="CJ40:CL40"/>
    <mergeCell ref="CM40:CO40"/>
    <mergeCell ref="CP40:CR40"/>
    <mergeCell ref="EC39:EE39"/>
    <mergeCell ref="EF39:EH39"/>
    <mergeCell ref="EI39:EK39"/>
    <mergeCell ref="EL39:EN39"/>
    <mergeCell ref="EO39:EQ39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DH40:DJ40"/>
    <mergeCell ref="CA40:CC40"/>
    <mergeCell ref="CD40:CF40"/>
    <mergeCell ref="AC64:AF64"/>
    <mergeCell ref="AH64:AK64"/>
    <mergeCell ref="J69:O69"/>
    <mergeCell ref="O73:S73"/>
    <mergeCell ref="AD73:AF73"/>
    <mergeCell ref="AJ73:AL73"/>
    <mergeCell ref="BZ41:DP42"/>
    <mergeCell ref="EL41:EN41"/>
    <mergeCell ref="EO41:EQ41"/>
    <mergeCell ref="AP73:AS73"/>
    <mergeCell ref="O74:S74"/>
    <mergeCell ref="AD74:AF74"/>
    <mergeCell ref="AJ74:AL74"/>
    <mergeCell ref="AP74:AS74"/>
    <mergeCell ref="O75:S75"/>
    <mergeCell ref="AD75:AF75"/>
    <mergeCell ref="AJ75:AL75"/>
    <mergeCell ref="AP75:AS75"/>
    <mergeCell ref="J107:M107"/>
    <mergeCell ref="Z107:AC107"/>
    <mergeCell ref="AI107:AL107"/>
    <mergeCell ref="AT107:AW107"/>
    <mergeCell ref="J108:M108"/>
    <mergeCell ref="Z108:AC108"/>
    <mergeCell ref="AI108:AL108"/>
    <mergeCell ref="AT108:AW108"/>
    <mergeCell ref="AE91:AG91"/>
    <mergeCell ref="AM91:AP91"/>
    <mergeCell ref="AR91:AU91"/>
    <mergeCell ref="AB95:AE95"/>
    <mergeCell ref="H103:K103"/>
    <mergeCell ref="J106:K106"/>
    <mergeCell ref="J109:M109"/>
    <mergeCell ref="Z109:AC109"/>
    <mergeCell ref="AI109:AL109"/>
    <mergeCell ref="AT109:AW109"/>
    <mergeCell ref="J111:M111"/>
    <mergeCell ref="L112:N112"/>
    <mergeCell ref="R112:T112"/>
    <mergeCell ref="AB112:AD112"/>
    <mergeCell ref="AH112:AJ112"/>
    <mergeCell ref="BP140:BS140"/>
    <mergeCell ref="BL141:BO142"/>
    <mergeCell ref="BP141:BS141"/>
    <mergeCell ref="R113:T113"/>
    <mergeCell ref="J115:N115"/>
    <mergeCell ref="J116:N116"/>
    <mergeCell ref="AF116:AG116"/>
    <mergeCell ref="J117:M117"/>
    <mergeCell ref="J120:M120"/>
    <mergeCell ref="AR141:AU141"/>
    <mergeCell ref="AV141:AY141"/>
    <mergeCell ref="AZ141:BC141"/>
    <mergeCell ref="BD141:BG141"/>
    <mergeCell ref="BH141:BK142"/>
    <mergeCell ref="AB140:AE140"/>
    <mergeCell ref="AF140:BG140"/>
    <mergeCell ref="BH140:BK140"/>
    <mergeCell ref="BL140:BO140"/>
    <mergeCell ref="BL144:BO144"/>
    <mergeCell ref="BH145:BK145"/>
    <mergeCell ref="BT141:BU142"/>
    <mergeCell ref="BV141:BW142"/>
    <mergeCell ref="BX141:BY142"/>
    <mergeCell ref="BP142:BS142"/>
    <mergeCell ref="D143:E145"/>
    <mergeCell ref="F143:H145"/>
    <mergeCell ref="I143:J145"/>
    <mergeCell ref="K143:N145"/>
    <mergeCell ref="O143:P145"/>
    <mergeCell ref="Q143:U145"/>
    <mergeCell ref="X140:AA142"/>
    <mergeCell ref="D140:E142"/>
    <mergeCell ref="F140:H142"/>
    <mergeCell ref="I140:N142"/>
    <mergeCell ref="O140:P142"/>
    <mergeCell ref="Q140:U142"/>
    <mergeCell ref="V140:W142"/>
    <mergeCell ref="BT140:BY140"/>
    <mergeCell ref="AB141:AE142"/>
    <mergeCell ref="AF141:AI141"/>
    <mergeCell ref="AJ141:AM141"/>
    <mergeCell ref="AN141:AQ141"/>
    <mergeCell ref="BX146:BY151"/>
    <mergeCell ref="BH147:BK147"/>
    <mergeCell ref="BL147:BO147"/>
    <mergeCell ref="AF148:AU148"/>
    <mergeCell ref="BH148:BK148"/>
    <mergeCell ref="BL148:BO148"/>
    <mergeCell ref="BL145:BO145"/>
    <mergeCell ref="D146:E151"/>
    <mergeCell ref="F146:H151"/>
    <mergeCell ref="I146:J148"/>
    <mergeCell ref="K146:N148"/>
    <mergeCell ref="O146:P151"/>
    <mergeCell ref="Q146:U151"/>
    <mergeCell ref="X146:AA151"/>
    <mergeCell ref="AB146:AE151"/>
    <mergeCell ref="BH146:BK146"/>
    <mergeCell ref="X143:AA145"/>
    <mergeCell ref="AB143:AE145"/>
    <mergeCell ref="BD143:BG143"/>
    <mergeCell ref="BH143:BK143"/>
    <mergeCell ref="BL143:BO143"/>
    <mergeCell ref="BX143:BY145"/>
    <mergeCell ref="BD144:BG144"/>
    <mergeCell ref="BH144:BK144"/>
    <mergeCell ref="I149:J151"/>
    <mergeCell ref="K149:N151"/>
    <mergeCell ref="BH149:BK149"/>
    <mergeCell ref="BL149:BO149"/>
    <mergeCell ref="BH150:BK150"/>
    <mergeCell ref="BL150:BO150"/>
    <mergeCell ref="BH151:BK151"/>
    <mergeCell ref="BL151:BO151"/>
    <mergeCell ref="BL146:BO146"/>
    <mergeCell ref="BD155:BG155"/>
    <mergeCell ref="BH155:BK155"/>
    <mergeCell ref="BL155:BO155"/>
    <mergeCell ref="AV156:AY156"/>
    <mergeCell ref="BD156:BG156"/>
    <mergeCell ref="BH156:BK156"/>
    <mergeCell ref="BL156:BO156"/>
    <mergeCell ref="AB152:AE157"/>
    <mergeCell ref="BH152:BK152"/>
    <mergeCell ref="BL152:BO152"/>
    <mergeCell ref="BH153:BK153"/>
    <mergeCell ref="BL153:BO153"/>
    <mergeCell ref="AF154:AU154"/>
    <mergeCell ref="AV154:BG154"/>
    <mergeCell ref="BH154:BK154"/>
    <mergeCell ref="BL154:BO154"/>
    <mergeCell ref="AV155:AY155"/>
    <mergeCell ref="AF157:AU157"/>
    <mergeCell ref="AV157:BG157"/>
    <mergeCell ref="BH157:BK157"/>
    <mergeCell ref="BL157:BO157"/>
    <mergeCell ref="D158:E160"/>
    <mergeCell ref="F158:H160"/>
    <mergeCell ref="I158:J160"/>
    <mergeCell ref="K158:N160"/>
    <mergeCell ref="O158:P160"/>
    <mergeCell ref="Q158:U160"/>
    <mergeCell ref="D152:E157"/>
    <mergeCell ref="F152:H157"/>
    <mergeCell ref="I152:J154"/>
    <mergeCell ref="K152:N154"/>
    <mergeCell ref="O152:P157"/>
    <mergeCell ref="Q152:U157"/>
    <mergeCell ref="I155:J157"/>
    <mergeCell ref="K155:N157"/>
    <mergeCell ref="AV160:BG160"/>
    <mergeCell ref="BH160:BK160"/>
    <mergeCell ref="BL160:BO160"/>
    <mergeCell ref="D161:E169"/>
    <mergeCell ref="F161:H169"/>
    <mergeCell ref="I161:J163"/>
    <mergeCell ref="K161:N163"/>
    <mergeCell ref="O161:P169"/>
    <mergeCell ref="Q161:U169"/>
    <mergeCell ref="AB161:AE169"/>
    <mergeCell ref="AB158:AE160"/>
    <mergeCell ref="AV158:AY158"/>
    <mergeCell ref="BD158:BG158"/>
    <mergeCell ref="BH158:BK158"/>
    <mergeCell ref="BL158:BO158"/>
    <mergeCell ref="AV159:AY159"/>
    <mergeCell ref="BD159:BG159"/>
    <mergeCell ref="BH159:BK159"/>
    <mergeCell ref="BL159:BO159"/>
    <mergeCell ref="AF160:AU160"/>
    <mergeCell ref="I164:J166"/>
    <mergeCell ref="K164:N166"/>
    <mergeCell ref="BD164:BG164"/>
    <mergeCell ref="BH164:BK164"/>
    <mergeCell ref="AV161:AY161"/>
    <mergeCell ref="BD161:BG161"/>
    <mergeCell ref="BH161:BK161"/>
    <mergeCell ref="BL161:BO161"/>
    <mergeCell ref="AV162:AY162"/>
    <mergeCell ref="BD162:BG162"/>
    <mergeCell ref="BH162:BK162"/>
    <mergeCell ref="BL162:BO162"/>
    <mergeCell ref="BH165:BK165"/>
    <mergeCell ref="BL165:BO165"/>
    <mergeCell ref="AF163:AU163"/>
    <mergeCell ref="AV163:BG163"/>
    <mergeCell ref="BH163:BK163"/>
    <mergeCell ref="BL163:BO163"/>
    <mergeCell ref="AF169:AU169"/>
    <mergeCell ref="AV169:BG169"/>
    <mergeCell ref="BH169:BK169"/>
    <mergeCell ref="BL169:BO169"/>
    <mergeCell ref="BD167:BG167"/>
    <mergeCell ref="BH167:BK167"/>
    <mergeCell ref="BL167:BO167"/>
    <mergeCell ref="BD168:BG168"/>
    <mergeCell ref="BH168:BK168"/>
    <mergeCell ref="BL168:BO168"/>
    <mergeCell ref="BL164:BO164"/>
    <mergeCell ref="BD165:BG165"/>
    <mergeCell ref="I167:J169"/>
    <mergeCell ref="K167:N169"/>
    <mergeCell ref="AV167:AY167"/>
    <mergeCell ref="AV168:AY168"/>
    <mergeCell ref="AV172:BG172"/>
    <mergeCell ref="AF166:AU166"/>
    <mergeCell ref="AV166:BG166"/>
    <mergeCell ref="BH166:BK166"/>
    <mergeCell ref="BL166:BO166"/>
    <mergeCell ref="AF172:AU172"/>
    <mergeCell ref="BH173:BK173"/>
    <mergeCell ref="BL173:BO173"/>
    <mergeCell ref="I176:J178"/>
    <mergeCell ref="K176:N178"/>
    <mergeCell ref="AB173:AE178"/>
    <mergeCell ref="D170:E172"/>
    <mergeCell ref="F170:H172"/>
    <mergeCell ref="I170:J172"/>
    <mergeCell ref="K170:N172"/>
    <mergeCell ref="O170:P172"/>
    <mergeCell ref="Q170:U172"/>
    <mergeCell ref="BH176:BK176"/>
    <mergeCell ref="BL176:BO176"/>
    <mergeCell ref="BH177:BK177"/>
    <mergeCell ref="BL177:BO177"/>
    <mergeCell ref="AF178:AU178"/>
    <mergeCell ref="AV178:BG178"/>
    <mergeCell ref="BH172:BK172"/>
    <mergeCell ref="BL172:BO172"/>
    <mergeCell ref="D173:E178"/>
    <mergeCell ref="F173:H178"/>
    <mergeCell ref="I173:J175"/>
    <mergeCell ref="K173:N175"/>
    <mergeCell ref="O173:P178"/>
    <mergeCell ref="Q173:U178"/>
    <mergeCell ref="X173:AA178"/>
    <mergeCell ref="AB170:AE172"/>
    <mergeCell ref="AV170:AY170"/>
    <mergeCell ref="BD170:BG170"/>
    <mergeCell ref="BH170:BK170"/>
    <mergeCell ref="BL170:BO170"/>
    <mergeCell ref="AV171:AY171"/>
    <mergeCell ref="BD171:BG171"/>
    <mergeCell ref="BH171:BK171"/>
    <mergeCell ref="BL171:BO171"/>
    <mergeCell ref="AF173:AI173"/>
    <mergeCell ref="AJ173:AM173"/>
    <mergeCell ref="AN173:AQ173"/>
    <mergeCell ref="AV173:AY173"/>
    <mergeCell ref="BD173:BG173"/>
    <mergeCell ref="AF175:AU175"/>
    <mergeCell ref="AV175:BG175"/>
    <mergeCell ref="BH175:BK175"/>
    <mergeCell ref="BL175:BO175"/>
    <mergeCell ref="BL179:BO179"/>
    <mergeCell ref="BX179:BY181"/>
    <mergeCell ref="AV180:AY180"/>
    <mergeCell ref="BD180:BG180"/>
    <mergeCell ref="BH180:BK180"/>
    <mergeCell ref="BL180:BO180"/>
    <mergeCell ref="BH178:BK178"/>
    <mergeCell ref="BL178:BO178"/>
    <mergeCell ref="D179:E181"/>
    <mergeCell ref="F179:H181"/>
    <mergeCell ref="I179:J181"/>
    <mergeCell ref="K179:N181"/>
    <mergeCell ref="O179:P181"/>
    <mergeCell ref="Q179:U181"/>
    <mergeCell ref="X179:AA181"/>
    <mergeCell ref="AB179:AE181"/>
    <mergeCell ref="BX173:BY178"/>
    <mergeCell ref="AF174:AI174"/>
    <mergeCell ref="AJ174:AM174"/>
    <mergeCell ref="AN174:AQ174"/>
    <mergeCell ref="AV174:AY174"/>
    <mergeCell ref="BD174:BG174"/>
    <mergeCell ref="BH174:BK174"/>
    <mergeCell ref="BL174:BO174"/>
    <mergeCell ref="D182:E184"/>
    <mergeCell ref="F182:H184"/>
    <mergeCell ref="I182:J184"/>
    <mergeCell ref="K182:N184"/>
    <mergeCell ref="O182:P184"/>
    <mergeCell ref="Q182:U184"/>
    <mergeCell ref="AV179:AY179"/>
    <mergeCell ref="BD179:BG179"/>
    <mergeCell ref="BH179:BK179"/>
    <mergeCell ref="X182:AA184"/>
    <mergeCell ref="AB182:AE184"/>
    <mergeCell ref="AV182:AY182"/>
    <mergeCell ref="BD182:BG182"/>
    <mergeCell ref="BH182:BK182"/>
    <mergeCell ref="BL182:BO182"/>
    <mergeCell ref="AF181:AU181"/>
    <mergeCell ref="AV181:BG181"/>
    <mergeCell ref="BH181:BK181"/>
    <mergeCell ref="BL181:BO181"/>
    <mergeCell ref="BX182:BY184"/>
    <mergeCell ref="AV183:AY183"/>
    <mergeCell ref="BD183:BG183"/>
    <mergeCell ref="BH183:BK183"/>
    <mergeCell ref="BL183:BO183"/>
    <mergeCell ref="AF184:AU184"/>
    <mergeCell ref="AV184:BG184"/>
    <mergeCell ref="BH184:BK184"/>
    <mergeCell ref="BL184:BO184"/>
    <mergeCell ref="BX185:BY187"/>
    <mergeCell ref="BH186:BK186"/>
    <mergeCell ref="BL186:BO186"/>
    <mergeCell ref="AF187:AU187"/>
    <mergeCell ref="AV187:BG187"/>
    <mergeCell ref="BH187:BK187"/>
    <mergeCell ref="D185:E187"/>
    <mergeCell ref="F185:H187"/>
    <mergeCell ref="I185:J187"/>
    <mergeCell ref="K185:N187"/>
    <mergeCell ref="O185:P187"/>
    <mergeCell ref="Q185:U187"/>
    <mergeCell ref="BL187:BO187"/>
    <mergeCell ref="X185:AA187"/>
    <mergeCell ref="AB185:AE187"/>
    <mergeCell ref="BH185:BK185"/>
    <mergeCell ref="BL185:BO185"/>
    <mergeCell ref="BH190:BK190"/>
    <mergeCell ref="BL190:BO190"/>
    <mergeCell ref="D257:E257"/>
    <mergeCell ref="BD188:BG188"/>
    <mergeCell ref="BH188:BK188"/>
    <mergeCell ref="BL188:BO188"/>
    <mergeCell ref="BX188:BY190"/>
    <mergeCell ref="AV189:AY189"/>
    <mergeCell ref="BD189:BG189"/>
    <mergeCell ref="BH189:BK189"/>
    <mergeCell ref="BL189:BO189"/>
    <mergeCell ref="D188:E190"/>
    <mergeCell ref="F188:H190"/>
    <mergeCell ref="I188:J190"/>
    <mergeCell ref="K188:N190"/>
    <mergeCell ref="O188:P190"/>
    <mergeCell ref="Q188:U190"/>
    <mergeCell ref="X188:AA190"/>
    <mergeCell ref="AB188:AE190"/>
    <mergeCell ref="AV188:AY188"/>
    <mergeCell ref="AF190:AU190"/>
    <mergeCell ref="AV190:BG190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4" manualBreakCount="4">
    <brk id="50" max="87" man="1"/>
    <brk id="82" max="87" man="1"/>
    <brk id="133" max="87" man="1"/>
    <brk id="249" max="87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E7B3-B84D-4780-BAF0-B4D24AA73289}">
  <sheetPr>
    <tabColor theme="5" tint="-0.249977111117893"/>
    <pageSetUpPr fitToPage="1"/>
  </sheetPr>
  <dimension ref="A2:HY310"/>
  <sheetViews>
    <sheetView showGridLines="0" showZeros="0" view="pageBreakPreview" topLeftCell="A153" zoomScaleNormal="100" zoomScaleSheetLayoutView="100" workbookViewId="0">
      <selection activeCell="H147" sqref="H147:M147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1149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1150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5000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8" spans="2:76" ht="28.5">
      <c r="B78" s="488" t="s">
        <v>779</v>
      </c>
    </row>
    <row r="79" spans="2:76" ht="12" customHeight="1">
      <c r="C79" s="489" t="s">
        <v>1151</v>
      </c>
    </row>
    <row r="80" spans="2:76" ht="12" customHeight="1" thickBot="1">
      <c r="C80" s="489" t="s">
        <v>781</v>
      </c>
    </row>
    <row r="81" spans="3:63" ht="12" customHeight="1">
      <c r="C81" s="535"/>
      <c r="D81" s="536" t="s">
        <v>783</v>
      </c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8"/>
      <c r="R81" s="537"/>
      <c r="S81" s="537"/>
      <c r="T81" s="537"/>
      <c r="U81" s="537"/>
      <c r="V81" s="537"/>
      <c r="W81" s="537"/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7"/>
      <c r="AK81" s="537"/>
      <c r="AL81" s="537"/>
      <c r="AM81" s="537"/>
      <c r="AN81" s="537"/>
      <c r="AO81" s="537"/>
      <c r="AP81" s="537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493"/>
    </row>
    <row r="82" spans="3:63" ht="12" customHeight="1">
      <c r="C82" s="497"/>
      <c r="Q82" s="8"/>
      <c r="BK82" s="499"/>
    </row>
    <row r="83" spans="3:63" ht="12" customHeight="1">
      <c r="C83" s="539"/>
      <c r="D83" s="540" t="s">
        <v>245</v>
      </c>
      <c r="E83" s="540"/>
      <c r="F83" s="541"/>
      <c r="G83" s="540"/>
      <c r="H83" s="542" t="s">
        <v>761</v>
      </c>
      <c r="I83" s="543"/>
      <c r="J83" s="543"/>
      <c r="K83" s="543"/>
      <c r="L83" s="543"/>
      <c r="M83" s="544"/>
      <c r="N83" s="498"/>
      <c r="O83" s="540" t="s">
        <v>244</v>
      </c>
      <c r="P83" s="540"/>
      <c r="Q83" s="541"/>
      <c r="R83" s="540"/>
      <c r="S83" s="498"/>
      <c r="T83" s="542" t="s">
        <v>774</v>
      </c>
      <c r="U83" s="543"/>
      <c r="V83" s="543"/>
      <c r="W83" s="543"/>
      <c r="X83" s="544"/>
      <c r="AA83" s="540" t="s">
        <v>784</v>
      </c>
      <c r="AB83" s="545"/>
      <c r="AC83" s="540"/>
      <c r="AE83" s="1163"/>
      <c r="AF83" s="1164"/>
      <c r="AG83" s="1165"/>
      <c r="AJ83" s="546" t="s">
        <v>732</v>
      </c>
      <c r="AK83" s="546"/>
      <c r="AL83" s="546"/>
      <c r="AM83" s="1166">
        <v>44627</v>
      </c>
      <c r="AN83" s="1167"/>
      <c r="AO83" s="1167"/>
      <c r="AP83" s="1167"/>
      <c r="AR83" s="1168">
        <v>0.5</v>
      </c>
      <c r="AS83" s="1169"/>
      <c r="AT83" s="1169"/>
      <c r="AU83" s="1170"/>
      <c r="AV83" s="512"/>
      <c r="BK83" s="499"/>
    </row>
    <row r="84" spans="3:63" ht="12" customHeight="1">
      <c r="C84" s="539"/>
      <c r="Q84" s="8"/>
      <c r="BK84" s="499"/>
    </row>
    <row r="85" spans="3:63" ht="12" customHeight="1">
      <c r="C85" s="539"/>
      <c r="D85" s="547" t="s">
        <v>785</v>
      </c>
      <c r="E85" s="540"/>
      <c r="F85" s="547"/>
      <c r="G85" s="540"/>
      <c r="H85" s="548" t="s">
        <v>786</v>
      </c>
      <c r="I85" s="482"/>
      <c r="J85" s="482"/>
      <c r="K85" s="483"/>
      <c r="O85" s="540" t="s">
        <v>235</v>
      </c>
      <c r="P85" s="547"/>
      <c r="Q85" s="540"/>
      <c r="R85" s="547"/>
      <c r="S85" s="540"/>
      <c r="T85" s="549" t="s">
        <v>1150</v>
      </c>
      <c r="U85" s="482"/>
      <c r="V85" s="482"/>
      <c r="W85" s="482"/>
      <c r="X85" s="482"/>
      <c r="Y85" s="483"/>
      <c r="AA85" s="540"/>
      <c r="AB85" s="540"/>
      <c r="AC85" s="541" t="s">
        <v>787</v>
      </c>
      <c r="AD85" s="540"/>
      <c r="AE85" s="540" t="s">
        <v>788</v>
      </c>
      <c r="AF85" s="550" t="s">
        <v>1152</v>
      </c>
      <c r="AG85" s="482"/>
      <c r="AH85" s="482"/>
      <c r="AI85" s="482"/>
      <c r="AJ85" s="483"/>
      <c r="AL85" s="540" t="s">
        <v>790</v>
      </c>
      <c r="AM85" s="548"/>
      <c r="AN85" s="482"/>
      <c r="AO85" s="482"/>
      <c r="AP85" s="482"/>
      <c r="AQ85" s="483"/>
      <c r="AS85" s="540" t="s">
        <v>791</v>
      </c>
      <c r="AT85" s="548"/>
      <c r="AU85" s="482"/>
      <c r="AV85" s="482"/>
      <c r="AW85" s="482"/>
      <c r="AX85" s="483"/>
      <c r="BK85" s="499"/>
    </row>
    <row r="86" spans="3:63" ht="12" customHeight="1">
      <c r="C86" s="539"/>
      <c r="D86" s="547" t="s">
        <v>715</v>
      </c>
      <c r="E86" s="540"/>
      <c r="F86" s="547"/>
      <c r="G86" s="540"/>
      <c r="H86" s="548"/>
      <c r="I86" s="482"/>
      <c r="J86" s="482"/>
      <c r="K86" s="482"/>
      <c r="L86" s="551"/>
      <c r="M86" s="483"/>
      <c r="N86" s="552"/>
      <c r="O86" s="553" t="s">
        <v>792</v>
      </c>
      <c r="P86" s="553"/>
      <c r="Q86" s="554"/>
      <c r="R86" s="553"/>
      <c r="S86" s="555"/>
      <c r="T86" s="542" t="s">
        <v>793</v>
      </c>
      <c r="U86" s="543"/>
      <c r="V86" s="543"/>
      <c r="W86" s="543"/>
      <c r="X86" s="544"/>
      <c r="BK86" s="499"/>
    </row>
    <row r="87" spans="3:63" ht="12" customHeight="1">
      <c r="C87" s="539"/>
      <c r="D87" s="547" t="s">
        <v>697</v>
      </c>
      <c r="E87" s="540"/>
      <c r="F87" s="547"/>
      <c r="G87" s="540"/>
      <c r="H87" s="548" t="s">
        <v>794</v>
      </c>
      <c r="I87" s="482"/>
      <c r="J87" s="482"/>
      <c r="K87" s="482"/>
      <c r="L87" s="482"/>
      <c r="M87" s="483"/>
      <c r="N87" s="556"/>
      <c r="O87" s="543" t="s">
        <v>762</v>
      </c>
      <c r="P87" s="543"/>
      <c r="Q87" s="543"/>
      <c r="R87" s="543"/>
      <c r="S87" s="543"/>
      <c r="T87" s="543"/>
      <c r="U87" s="543"/>
      <c r="V87" s="544"/>
      <c r="X87" s="540" t="s">
        <v>243</v>
      </c>
      <c r="Y87" s="540"/>
      <c r="Z87" s="540"/>
      <c r="AA87" s="540"/>
      <c r="AB87" s="1166">
        <v>44628</v>
      </c>
      <c r="AC87" s="1167"/>
      <c r="AD87" s="1167"/>
      <c r="AE87" s="1167"/>
      <c r="AF87" s="483"/>
      <c r="AK87" s="510"/>
      <c r="AM87" s="557"/>
      <c r="AN87" s="557"/>
      <c r="AO87" s="557"/>
      <c r="AP87" s="557"/>
      <c r="AQ87" s="557"/>
      <c r="AR87" s="557"/>
      <c r="AS87" s="557"/>
      <c r="AT87" s="557"/>
      <c r="AU87" s="557"/>
      <c r="BK87" s="499"/>
    </row>
    <row r="88" spans="3:63" ht="12" customHeight="1">
      <c r="C88" s="539"/>
      <c r="D88" s="558" t="s">
        <v>742</v>
      </c>
      <c r="E88" s="540"/>
      <c r="F88" s="547"/>
      <c r="G88" s="540"/>
      <c r="H88" s="511" t="s">
        <v>763</v>
      </c>
      <c r="I88" s="503"/>
      <c r="J88" s="503"/>
      <c r="K88" s="503"/>
      <c r="L88" s="503"/>
      <c r="M88" s="504"/>
      <c r="O88" s="540" t="s">
        <v>796</v>
      </c>
      <c r="P88" s="540"/>
      <c r="Q88" s="540"/>
      <c r="R88" s="540"/>
      <c r="S88" s="506"/>
      <c r="T88" s="559"/>
      <c r="U88" s="559"/>
      <c r="V88" s="559"/>
      <c r="W88" s="559"/>
      <c r="X88" s="559"/>
      <c r="Y88" s="559"/>
      <c r="Z88" s="559"/>
      <c r="AA88" s="559"/>
      <c r="AB88" s="503"/>
      <c r="AC88" s="503"/>
      <c r="AD88" s="503"/>
      <c r="AE88" s="503"/>
      <c r="AF88" s="504"/>
      <c r="AI88" s="540" t="s">
        <v>798</v>
      </c>
      <c r="AJ88" s="540"/>
      <c r="AK88" s="540"/>
      <c r="AL88" s="540"/>
      <c r="AM88" s="506"/>
      <c r="AN88" s="559"/>
      <c r="AO88" s="559"/>
      <c r="AP88" s="559"/>
      <c r="AQ88" s="559"/>
      <c r="AR88" s="559"/>
      <c r="AS88" s="559"/>
      <c r="AT88" s="559"/>
      <c r="AU88" s="559"/>
      <c r="AV88" s="503"/>
      <c r="AW88" s="503"/>
      <c r="AX88" s="503"/>
      <c r="AY88" s="503"/>
      <c r="AZ88" s="504"/>
      <c r="BK88" s="499"/>
    </row>
    <row r="89" spans="3:63" ht="12" customHeight="1">
      <c r="C89" s="539"/>
      <c r="D89" s="547" t="s">
        <v>799</v>
      </c>
      <c r="E89" s="540"/>
      <c r="F89" s="547"/>
      <c r="G89" s="540"/>
      <c r="H89" s="548"/>
      <c r="I89" s="482"/>
      <c r="J89" s="482"/>
      <c r="K89" s="482"/>
      <c r="L89" s="482"/>
      <c r="M89" s="483"/>
      <c r="O89" s="540" t="s">
        <v>743</v>
      </c>
      <c r="P89" s="540"/>
      <c r="Q89" s="540"/>
      <c r="R89" s="540"/>
      <c r="S89" s="506"/>
      <c r="T89" s="559"/>
      <c r="U89" s="559"/>
      <c r="V89" s="559"/>
      <c r="W89" s="559"/>
      <c r="X89" s="559"/>
      <c r="Y89" s="559"/>
      <c r="Z89" s="559"/>
      <c r="AA89" s="559"/>
      <c r="AB89" s="503"/>
      <c r="AC89" s="503"/>
      <c r="AD89" s="503"/>
      <c r="AE89" s="503"/>
      <c r="AF89" s="504"/>
      <c r="AI89" s="540" t="s">
        <v>801</v>
      </c>
      <c r="AJ89" s="540"/>
      <c r="AK89" s="540"/>
      <c r="AL89" s="540"/>
      <c r="AM89" s="506"/>
      <c r="AN89" s="559"/>
      <c r="AO89" s="559"/>
      <c r="AP89" s="559"/>
      <c r="AQ89" s="559"/>
      <c r="AR89" s="559"/>
      <c r="AS89" s="559"/>
      <c r="AT89" s="559"/>
      <c r="AU89" s="559"/>
      <c r="AV89" s="503"/>
      <c r="AW89" s="503"/>
      <c r="AX89" s="503"/>
      <c r="AY89" s="503"/>
      <c r="AZ89" s="504"/>
      <c r="BK89" s="499"/>
    </row>
    <row r="90" spans="3:63" ht="12" customHeight="1">
      <c r="C90" s="539"/>
      <c r="D90" s="547" t="s">
        <v>802</v>
      </c>
      <c r="E90" s="540"/>
      <c r="F90" s="547"/>
      <c r="G90" s="540"/>
      <c r="H90" s="511" t="s">
        <v>763</v>
      </c>
      <c r="I90" s="503"/>
      <c r="J90" s="503"/>
      <c r="K90" s="503"/>
      <c r="L90" s="503"/>
      <c r="M90" s="504"/>
      <c r="O90" s="540" t="s">
        <v>803</v>
      </c>
      <c r="P90" s="540"/>
      <c r="Q90" s="540"/>
      <c r="R90" s="540"/>
      <c r="S90" s="506"/>
      <c r="T90" s="503"/>
      <c r="U90" s="503"/>
      <c r="V90" s="503"/>
      <c r="W90" s="503"/>
      <c r="X90" s="504"/>
      <c r="BK90" s="499"/>
    </row>
    <row r="91" spans="3:63" ht="12" customHeight="1">
      <c r="C91" s="539"/>
      <c r="D91" s="560" t="s">
        <v>804</v>
      </c>
      <c r="E91" s="540"/>
      <c r="F91" s="547"/>
      <c r="G91" s="540"/>
      <c r="H91" s="548"/>
      <c r="I91" s="482"/>
      <c r="J91" s="482"/>
      <c r="K91" s="482"/>
      <c r="L91" s="482"/>
      <c r="M91" s="483"/>
      <c r="O91" s="540" t="s">
        <v>805</v>
      </c>
      <c r="P91" s="540"/>
      <c r="Q91" s="545"/>
      <c r="R91" s="540"/>
      <c r="S91" s="548"/>
      <c r="T91" s="482"/>
      <c r="U91" s="482"/>
      <c r="V91" s="482"/>
      <c r="W91" s="482"/>
      <c r="X91" s="483"/>
      <c r="BK91" s="499"/>
    </row>
    <row r="92" spans="3:63" ht="12" customHeight="1">
      <c r="C92" s="539"/>
      <c r="BK92" s="499"/>
    </row>
    <row r="93" spans="3:63" ht="12" customHeight="1">
      <c r="C93" s="539"/>
      <c r="D93" s="540" t="s">
        <v>806</v>
      </c>
      <c r="E93" s="540"/>
      <c r="H93" s="547" t="s">
        <v>287</v>
      </c>
      <c r="I93" s="540"/>
      <c r="J93" s="540"/>
      <c r="K93" s="561"/>
      <c r="L93" s="562"/>
      <c r="M93" s="563"/>
      <c r="O93" s="540" t="s">
        <v>807</v>
      </c>
      <c r="P93" s="540"/>
      <c r="Q93" s="540"/>
      <c r="R93" s="540"/>
      <c r="S93" s="561"/>
      <c r="T93" s="562"/>
      <c r="U93" s="563"/>
      <c r="Z93" s="540" t="s">
        <v>808</v>
      </c>
      <c r="AA93" s="540"/>
      <c r="AB93" s="540"/>
      <c r="AC93" s="561"/>
      <c r="AD93" s="562"/>
      <c r="AE93" s="562"/>
      <c r="AF93" s="563"/>
      <c r="AI93" s="540"/>
      <c r="AJ93" s="540"/>
      <c r="AK93" s="540"/>
      <c r="AL93" s="540"/>
      <c r="AM93" s="541" t="s">
        <v>809</v>
      </c>
      <c r="AN93" s="561"/>
      <c r="AO93" s="562"/>
      <c r="AP93" s="562"/>
      <c r="AQ93" s="563"/>
      <c r="AR93" s="556"/>
      <c r="BK93" s="499"/>
    </row>
    <row r="94" spans="3:63" ht="12" customHeight="1">
      <c r="C94" s="539"/>
      <c r="BK94" s="499"/>
    </row>
    <row r="95" spans="3:63" ht="12" customHeight="1">
      <c r="C95" s="539"/>
      <c r="D95" s="540" t="s">
        <v>810</v>
      </c>
      <c r="E95" s="540"/>
      <c r="F95" s="540"/>
      <c r="G95" s="540"/>
      <c r="H95" s="1171" t="s">
        <v>811</v>
      </c>
      <c r="I95" s="1172"/>
      <c r="J95" s="1172"/>
      <c r="K95" s="1172"/>
      <c r="L95" s="563"/>
      <c r="BK95" s="499"/>
    </row>
    <row r="96" spans="3:63" ht="12" customHeight="1">
      <c r="C96" s="539"/>
      <c r="Q96" s="8"/>
      <c r="BK96" s="499"/>
    </row>
    <row r="97" spans="3:90" ht="12" customHeight="1">
      <c r="C97" s="497"/>
      <c r="D97" s="566" t="s">
        <v>812</v>
      </c>
      <c r="E97" s="515"/>
      <c r="F97" s="515"/>
      <c r="G97" s="515"/>
      <c r="H97" s="515"/>
      <c r="I97" s="515"/>
      <c r="Q97" s="8"/>
      <c r="BK97" s="499"/>
    </row>
    <row r="98" spans="3:90" ht="12" customHeight="1">
      <c r="C98" s="497"/>
      <c r="D98" s="540" t="s">
        <v>813</v>
      </c>
      <c r="E98" s="540"/>
      <c r="F98" s="540"/>
      <c r="G98" s="540"/>
      <c r="H98" s="540"/>
      <c r="I98" s="540"/>
      <c r="J98" s="1173"/>
      <c r="K98" s="1174"/>
      <c r="O98" s="540" t="s">
        <v>815</v>
      </c>
      <c r="P98" s="540"/>
      <c r="Q98" s="545"/>
      <c r="R98" s="540"/>
      <c r="S98" s="540"/>
      <c r="T98" s="540"/>
      <c r="U98" s="540"/>
      <c r="V98" s="540"/>
      <c r="W98" s="540"/>
      <c r="X98" s="540"/>
      <c r="Z98" s="540" t="s">
        <v>816</v>
      </c>
      <c r="AA98" s="540"/>
      <c r="AB98" s="540"/>
      <c r="AC98" s="540"/>
      <c r="AD98" s="540"/>
      <c r="AE98" s="540"/>
      <c r="AF98" s="540"/>
      <c r="AG98" s="540"/>
      <c r="AI98" s="540" t="s">
        <v>817</v>
      </c>
      <c r="AJ98" s="540"/>
      <c r="AK98" s="540"/>
      <c r="AL98" s="540"/>
      <c r="AM98" s="540"/>
      <c r="AN98" s="540"/>
      <c r="AO98" s="540"/>
      <c r="AP98" s="540"/>
      <c r="AQ98" s="540"/>
      <c r="AR98" s="540"/>
      <c r="AT98" s="540" t="s">
        <v>818</v>
      </c>
      <c r="AU98" s="540"/>
      <c r="AV98" s="540"/>
      <c r="AW98" s="540"/>
      <c r="AX98" s="540"/>
      <c r="AY98" s="540"/>
      <c r="AZ98" s="540"/>
      <c r="BA98" s="540"/>
      <c r="BB98" s="540"/>
      <c r="BC98" s="540"/>
      <c r="BK98" s="499"/>
    </row>
    <row r="99" spans="3:90" ht="12" customHeight="1">
      <c r="C99" s="497"/>
      <c r="D99" s="540"/>
      <c r="E99" s="540"/>
      <c r="F99" s="540" t="s">
        <v>819</v>
      </c>
      <c r="G99" s="540"/>
      <c r="H99" s="540"/>
      <c r="I99" s="540"/>
      <c r="J99" s="1301"/>
      <c r="K99" s="1302"/>
      <c r="L99" s="1296"/>
      <c r="M99" s="1297"/>
      <c r="N99" s="556"/>
      <c r="O99" s="562"/>
      <c r="P99" s="562"/>
      <c r="Q99" s="562"/>
      <c r="R99" s="562"/>
      <c r="S99" s="562"/>
      <c r="T99" s="562"/>
      <c r="U99" s="562"/>
      <c r="V99" s="562"/>
      <c r="W99" s="562"/>
      <c r="X99" s="563"/>
      <c r="Y99" s="498"/>
      <c r="Z99" s="1298"/>
      <c r="AA99" s="1299"/>
      <c r="AB99" s="1299"/>
      <c r="AC99" s="1300"/>
      <c r="AD99" s="556"/>
      <c r="AE99" s="562"/>
      <c r="AF99" s="562"/>
      <c r="AG99" s="563"/>
      <c r="AH99" s="498"/>
      <c r="AI99" s="1298"/>
      <c r="AJ99" s="1296"/>
      <c r="AK99" s="1296"/>
      <c r="AL99" s="1297"/>
      <c r="AM99" s="747"/>
      <c r="AN99" s="562"/>
      <c r="AO99" s="562"/>
      <c r="AP99" s="562"/>
      <c r="AQ99" s="562"/>
      <c r="AR99" s="563"/>
      <c r="AT99" s="1298"/>
      <c r="AU99" s="1296"/>
      <c r="AV99" s="1296"/>
      <c r="AW99" s="1297"/>
      <c r="AX99" s="747"/>
      <c r="AY99" s="562"/>
      <c r="AZ99" s="562"/>
      <c r="BA99" s="562"/>
      <c r="BB99" s="562"/>
      <c r="BC99" s="563"/>
      <c r="BK99" s="499"/>
    </row>
    <row r="100" spans="3:90" ht="12" customHeight="1">
      <c r="C100" s="497"/>
      <c r="D100" s="540"/>
      <c r="E100" s="540"/>
      <c r="F100" s="540" t="s">
        <v>824</v>
      </c>
      <c r="G100" s="540"/>
      <c r="H100" s="540"/>
      <c r="I100" s="540"/>
      <c r="J100" s="1295"/>
      <c r="K100" s="1296"/>
      <c r="L100" s="1296"/>
      <c r="M100" s="1297"/>
      <c r="N100" s="556"/>
      <c r="O100" s="562"/>
      <c r="P100" s="562"/>
      <c r="Q100" s="562"/>
      <c r="R100" s="562"/>
      <c r="S100" s="562"/>
      <c r="T100" s="562"/>
      <c r="U100" s="562"/>
      <c r="V100" s="562"/>
      <c r="W100" s="562"/>
      <c r="X100" s="563"/>
      <c r="Y100" s="498"/>
      <c r="Z100" s="1298"/>
      <c r="AA100" s="1299"/>
      <c r="AB100" s="1299"/>
      <c r="AC100" s="1300"/>
      <c r="AD100" s="556"/>
      <c r="AE100" s="562"/>
      <c r="AF100" s="562"/>
      <c r="AG100" s="563"/>
      <c r="AH100" s="498"/>
      <c r="AI100" s="1298"/>
      <c r="AJ100" s="1296"/>
      <c r="AK100" s="1296"/>
      <c r="AL100" s="1297"/>
      <c r="AM100" s="747"/>
      <c r="AN100" s="562"/>
      <c r="AO100" s="562"/>
      <c r="AP100" s="562"/>
      <c r="AQ100" s="562"/>
      <c r="AR100" s="563"/>
      <c r="AT100" s="1298"/>
      <c r="AU100" s="1296"/>
      <c r="AV100" s="1296"/>
      <c r="AW100" s="1297"/>
      <c r="AX100" s="747"/>
      <c r="AY100" s="562"/>
      <c r="AZ100" s="562"/>
      <c r="BA100" s="562"/>
      <c r="BB100" s="562"/>
      <c r="BC100" s="563"/>
      <c r="BK100" s="499"/>
    </row>
    <row r="101" spans="3:90" ht="12" customHeight="1">
      <c r="C101" s="497"/>
      <c r="D101" s="540"/>
      <c r="E101" s="540"/>
      <c r="F101" s="540" t="s">
        <v>827</v>
      </c>
      <c r="G101" s="540"/>
      <c r="H101" s="540"/>
      <c r="I101" s="540"/>
      <c r="J101" s="1295"/>
      <c r="K101" s="1296"/>
      <c r="L101" s="1296"/>
      <c r="M101" s="1296"/>
      <c r="N101" s="556"/>
      <c r="O101" s="562"/>
      <c r="P101" s="562"/>
      <c r="Q101" s="562"/>
      <c r="R101" s="562"/>
      <c r="S101" s="562"/>
      <c r="T101" s="562"/>
      <c r="U101" s="562"/>
      <c r="V101" s="562"/>
      <c r="W101" s="562"/>
      <c r="X101" s="563"/>
      <c r="Y101" s="498"/>
      <c r="Z101" s="1298"/>
      <c r="AA101" s="1299"/>
      <c r="AB101" s="1299"/>
      <c r="AC101" s="1300"/>
      <c r="AD101" s="556"/>
      <c r="AE101" s="562"/>
      <c r="AF101" s="562"/>
      <c r="AG101" s="563"/>
      <c r="AH101" s="498"/>
      <c r="AI101" s="1298"/>
      <c r="AJ101" s="1296"/>
      <c r="AK101" s="1296"/>
      <c r="AL101" s="1296"/>
      <c r="AM101" s="747"/>
      <c r="AN101" s="562"/>
      <c r="AO101" s="562"/>
      <c r="AP101" s="562"/>
      <c r="AQ101" s="562"/>
      <c r="AR101" s="563"/>
      <c r="AT101" s="1298"/>
      <c r="AU101" s="1296"/>
      <c r="AV101" s="1296"/>
      <c r="AW101" s="1296"/>
      <c r="AX101" s="747"/>
      <c r="AY101" s="562"/>
      <c r="AZ101" s="562"/>
      <c r="BA101" s="562"/>
      <c r="BB101" s="562"/>
      <c r="BC101" s="563"/>
      <c r="BK101" s="499"/>
    </row>
    <row r="102" spans="3:90" ht="12" customHeight="1">
      <c r="C102" s="497"/>
      <c r="D102" s="540" t="s">
        <v>831</v>
      </c>
      <c r="E102" s="540"/>
      <c r="F102" s="540"/>
      <c r="G102" s="540"/>
      <c r="H102" s="540"/>
      <c r="I102" s="540"/>
      <c r="J102" s="561"/>
      <c r="K102" s="562"/>
      <c r="L102" s="562"/>
      <c r="M102" s="562"/>
      <c r="N102" s="563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V102" s="567"/>
      <c r="AW102" s="567"/>
      <c r="AX102" s="567"/>
      <c r="AY102" s="567"/>
      <c r="AZ102" s="567"/>
      <c r="BK102" s="499"/>
    </row>
    <row r="103" spans="3:90" ht="12" customHeight="1">
      <c r="C103" s="497"/>
      <c r="D103" s="540" t="s">
        <v>832</v>
      </c>
      <c r="E103" s="540"/>
      <c r="F103" s="540"/>
      <c r="G103" s="540"/>
      <c r="H103" s="540"/>
      <c r="I103" s="540"/>
      <c r="J103" s="1171"/>
      <c r="K103" s="1172"/>
      <c r="L103" s="1172"/>
      <c r="M103" s="1285"/>
      <c r="N103" s="498"/>
      <c r="Q103" s="8"/>
      <c r="BK103" s="499"/>
    </row>
    <row r="104" spans="3:90" ht="12" customHeight="1">
      <c r="C104" s="497"/>
      <c r="D104" s="540" t="s">
        <v>834</v>
      </c>
      <c r="E104" s="540"/>
      <c r="F104" s="540"/>
      <c r="G104" s="540"/>
      <c r="H104" s="540"/>
      <c r="I104" s="540"/>
      <c r="J104" s="498" t="s">
        <v>835</v>
      </c>
      <c r="K104" s="498"/>
      <c r="L104" s="1286"/>
      <c r="M104" s="1287"/>
      <c r="N104" s="1288"/>
      <c r="P104" s="8" t="s">
        <v>836</v>
      </c>
      <c r="Q104" s="8"/>
      <c r="R104" s="1286"/>
      <c r="S104" s="1287"/>
      <c r="T104" s="1288"/>
      <c r="V104" s="540" t="s">
        <v>837</v>
      </c>
      <c r="W104" s="540"/>
      <c r="X104" s="540"/>
      <c r="Z104" s="8" t="s">
        <v>838</v>
      </c>
      <c r="AB104" s="1289"/>
      <c r="AC104" s="1290"/>
      <c r="AD104" s="1291"/>
      <c r="AF104" s="8" t="s">
        <v>839</v>
      </c>
      <c r="AH104" s="1286"/>
      <c r="AI104" s="1287"/>
      <c r="AJ104" s="1288"/>
      <c r="BK104" s="499"/>
    </row>
    <row r="105" spans="3:90" ht="12" customHeight="1">
      <c r="C105" s="497"/>
      <c r="D105" s="540" t="s">
        <v>840</v>
      </c>
      <c r="E105" s="540"/>
      <c r="F105" s="540"/>
      <c r="G105" s="540"/>
      <c r="H105" s="540"/>
      <c r="I105" s="540"/>
      <c r="J105" s="498" t="s">
        <v>835</v>
      </c>
      <c r="K105" s="498"/>
      <c r="L105" s="751"/>
      <c r="M105" s="562"/>
      <c r="N105" s="563"/>
      <c r="P105" s="8" t="s">
        <v>836</v>
      </c>
      <c r="Q105" s="8"/>
      <c r="R105" s="1292"/>
      <c r="S105" s="1293"/>
      <c r="T105" s="1294"/>
      <c r="U105" s="8" t="s">
        <v>842</v>
      </c>
      <c r="BK105" s="499"/>
    </row>
    <row r="106" spans="3:90" ht="12" customHeight="1">
      <c r="C106" s="497"/>
      <c r="D106" s="540" t="s">
        <v>843</v>
      </c>
      <c r="E106" s="540"/>
      <c r="F106" s="540"/>
      <c r="G106" s="540"/>
      <c r="H106" s="540"/>
      <c r="I106" s="540"/>
      <c r="J106" s="498" t="s">
        <v>835</v>
      </c>
      <c r="K106" s="498"/>
      <c r="L106" s="751"/>
      <c r="M106" s="562"/>
      <c r="N106" s="563"/>
      <c r="Q106" s="8"/>
      <c r="R106" s="498"/>
      <c r="S106" s="498"/>
      <c r="T106" s="498"/>
      <c r="BK106" s="499"/>
    </row>
    <row r="107" spans="3:90" ht="12" customHeight="1">
      <c r="C107" s="497"/>
      <c r="D107" s="540" t="s">
        <v>844</v>
      </c>
      <c r="E107" s="540"/>
      <c r="F107" s="540"/>
      <c r="G107" s="540"/>
      <c r="H107" s="540"/>
      <c r="I107" s="540"/>
      <c r="J107" s="1171"/>
      <c r="K107" s="1172"/>
      <c r="L107" s="1172"/>
      <c r="M107" s="1172"/>
      <c r="N107" s="1285"/>
      <c r="BK107" s="499"/>
    </row>
    <row r="108" spans="3:90" ht="12" customHeight="1">
      <c r="C108" s="497"/>
      <c r="D108" s="540" t="s">
        <v>722</v>
      </c>
      <c r="E108" s="540"/>
      <c r="F108" s="540"/>
      <c r="G108" s="540"/>
      <c r="H108" s="540"/>
      <c r="I108" s="540"/>
      <c r="J108" s="1146">
        <v>5000</v>
      </c>
      <c r="K108" s="1147"/>
      <c r="L108" s="1147"/>
      <c r="M108" s="1147"/>
      <c r="N108" s="1148"/>
      <c r="P108" s="540" t="s">
        <v>845</v>
      </c>
      <c r="Q108" s="540"/>
      <c r="R108" s="540"/>
      <c r="S108" s="540"/>
      <c r="T108" s="564"/>
      <c r="U108" s="565"/>
      <c r="V108" s="565"/>
      <c r="W108" s="565" t="s">
        <v>846</v>
      </c>
      <c r="X108" s="574"/>
      <c r="Z108" s="540" t="s">
        <v>847</v>
      </c>
      <c r="AA108" s="540"/>
      <c r="AB108" s="540"/>
      <c r="AC108" s="540"/>
      <c r="AD108" s="564"/>
      <c r="AE108" s="565"/>
      <c r="AF108" s="1172"/>
      <c r="AG108" s="1285"/>
      <c r="AH108" s="575"/>
      <c r="AI108" s="540" t="s">
        <v>848</v>
      </c>
      <c r="AJ108" s="540"/>
      <c r="AK108" s="540"/>
      <c r="AL108" s="540"/>
      <c r="AM108" s="564"/>
      <c r="AN108" s="565"/>
      <c r="AO108" s="565"/>
      <c r="AP108" s="565"/>
      <c r="AQ108" s="748"/>
      <c r="AT108" s="540" t="s">
        <v>849</v>
      </c>
      <c r="AU108" s="540"/>
      <c r="AV108" s="540"/>
      <c r="AW108" s="540"/>
      <c r="AX108" s="540"/>
      <c r="AY108" s="583"/>
      <c r="AZ108" s="584"/>
      <c r="BA108" s="584"/>
      <c r="BB108" s="584"/>
      <c r="BC108" s="578"/>
      <c r="BE108" s="8" t="s">
        <v>850</v>
      </c>
      <c r="BF108" s="10"/>
      <c r="BH108" s="10"/>
      <c r="BK108" s="499"/>
    </row>
    <row r="109" spans="3:90" ht="12" customHeight="1">
      <c r="C109" s="497"/>
      <c r="D109" s="498"/>
      <c r="E109" s="498"/>
      <c r="F109" s="498"/>
      <c r="G109" s="498"/>
      <c r="H109" s="498"/>
      <c r="I109" s="498"/>
      <c r="J109" s="891"/>
      <c r="K109" s="891"/>
      <c r="L109" s="891"/>
      <c r="M109" s="891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  <c r="AA109" s="498"/>
      <c r="AB109" s="498"/>
      <c r="AC109" s="498"/>
      <c r="AD109" s="498"/>
      <c r="AE109" s="498"/>
      <c r="AF109" s="498"/>
      <c r="AG109" s="498"/>
      <c r="AH109" s="498"/>
      <c r="AN109" s="498"/>
      <c r="AO109" s="498"/>
      <c r="AP109" s="498"/>
      <c r="AQ109" s="498"/>
      <c r="AR109" s="498"/>
      <c r="AS109" s="498"/>
      <c r="AT109" s="498"/>
      <c r="AU109" s="498"/>
      <c r="AV109" s="498"/>
      <c r="AW109" s="498"/>
      <c r="AX109" s="498"/>
      <c r="AY109" s="498"/>
      <c r="AZ109" s="498"/>
      <c r="BA109" s="498"/>
      <c r="BI109" s="498"/>
      <c r="BK109" s="499"/>
    </row>
    <row r="110" spans="3:90" ht="12" customHeight="1">
      <c r="C110" s="497"/>
      <c r="D110" s="566" t="s">
        <v>851</v>
      </c>
      <c r="E110" s="515"/>
      <c r="F110" s="515"/>
      <c r="G110" s="515"/>
      <c r="H110" s="515"/>
      <c r="I110" s="515"/>
      <c r="Q110" s="8"/>
      <c r="BF110" s="10"/>
      <c r="BH110" s="10"/>
      <c r="BK110" s="499"/>
    </row>
    <row r="111" spans="3:90" ht="12" customHeight="1">
      <c r="C111" s="497"/>
      <c r="D111" s="540" t="s">
        <v>852</v>
      </c>
      <c r="E111" s="540"/>
      <c r="F111" s="540"/>
      <c r="G111" s="540"/>
      <c r="H111" s="540"/>
      <c r="I111" s="540"/>
      <c r="J111" s="580"/>
      <c r="K111" s="562"/>
      <c r="L111" s="562"/>
      <c r="M111" s="562"/>
      <c r="N111" s="562"/>
      <c r="O111" s="542"/>
      <c r="P111" s="543"/>
      <c r="Q111" s="543"/>
      <c r="R111" s="543"/>
      <c r="S111" s="543"/>
      <c r="T111" s="543"/>
      <c r="U111" s="543"/>
      <c r="V111" s="569"/>
      <c r="W111" s="569"/>
      <c r="X111" s="569"/>
      <c r="Y111" s="575"/>
      <c r="Z111" s="540" t="s">
        <v>854</v>
      </c>
      <c r="AA111" s="540"/>
      <c r="AB111" s="540"/>
      <c r="AC111" s="540"/>
      <c r="AD111" s="581"/>
      <c r="AE111" s="581"/>
      <c r="AF111" s="581"/>
      <c r="AG111" s="574"/>
      <c r="AH111" s="498"/>
      <c r="AI111" s="540" t="s">
        <v>855</v>
      </c>
      <c r="AJ111" s="540"/>
      <c r="AK111" s="540"/>
      <c r="AL111" s="540"/>
      <c r="AM111" s="564"/>
      <c r="AN111" s="565"/>
      <c r="AO111" s="565"/>
      <c r="AP111" s="565"/>
      <c r="AQ111" s="748"/>
      <c r="AT111" s="540" t="s">
        <v>849</v>
      </c>
      <c r="AU111" s="540"/>
      <c r="AV111" s="540"/>
      <c r="AW111" s="540"/>
      <c r="AX111" s="540"/>
      <c r="AY111" s="583"/>
      <c r="AZ111" s="584"/>
      <c r="BA111" s="584"/>
      <c r="BB111" s="584"/>
      <c r="BC111" s="578"/>
      <c r="BK111" s="499"/>
      <c r="CL111" s="500" t="s">
        <v>857</v>
      </c>
    </row>
    <row r="112" spans="3:90" ht="12" customHeight="1">
      <c r="C112" s="497"/>
      <c r="D112" s="498"/>
      <c r="E112" s="498"/>
      <c r="F112" s="498"/>
      <c r="G112" s="498"/>
      <c r="H112" s="498"/>
      <c r="I112" s="498"/>
      <c r="J112" s="891"/>
      <c r="K112" s="891"/>
      <c r="L112" s="891"/>
      <c r="M112" s="891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  <c r="AD112" s="498"/>
      <c r="AE112" s="498"/>
      <c r="AF112" s="498"/>
      <c r="AG112" s="498"/>
      <c r="AH112" s="498"/>
      <c r="AN112" s="498"/>
      <c r="AO112" s="498"/>
      <c r="AP112" s="498"/>
      <c r="AQ112" s="498"/>
      <c r="AR112" s="498"/>
      <c r="AS112" s="498"/>
      <c r="AT112" s="498"/>
      <c r="AU112" s="498"/>
      <c r="AV112" s="498"/>
      <c r="AW112" s="498"/>
      <c r="AX112" s="498"/>
      <c r="AY112" s="498"/>
      <c r="AZ112" s="498"/>
      <c r="BA112" s="498"/>
      <c r="BI112" s="498"/>
      <c r="BK112" s="499"/>
    </row>
    <row r="113" spans="3:63" ht="12" customHeight="1">
      <c r="C113" s="497"/>
      <c r="D113" s="566" t="s">
        <v>858</v>
      </c>
      <c r="E113" s="515"/>
      <c r="F113" s="515"/>
      <c r="G113" s="515"/>
      <c r="H113" s="515"/>
      <c r="I113" s="515"/>
      <c r="BB113" s="498"/>
      <c r="BC113" s="498"/>
      <c r="BD113" s="498"/>
      <c r="BE113" s="498"/>
      <c r="BF113" s="498"/>
      <c r="BG113" s="498"/>
      <c r="BH113" s="498"/>
      <c r="BI113" s="498"/>
      <c r="BK113" s="499"/>
    </row>
    <row r="114" spans="3:63" ht="12" customHeight="1">
      <c r="C114" s="497"/>
      <c r="D114" s="540" t="s">
        <v>859</v>
      </c>
      <c r="E114" s="540"/>
      <c r="F114" s="540"/>
      <c r="G114" s="540"/>
      <c r="H114" s="540"/>
      <c r="I114" s="540"/>
      <c r="J114" s="511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4"/>
      <c r="AD114" s="540" t="s">
        <v>861</v>
      </c>
      <c r="AE114" s="540"/>
      <c r="AF114" s="540"/>
      <c r="AG114" s="540"/>
      <c r="AH114" s="540"/>
      <c r="AI114" s="540"/>
      <c r="AJ114" s="511"/>
      <c r="AK114" s="503"/>
      <c r="AL114" s="503"/>
      <c r="AM114" s="503"/>
      <c r="AN114" s="503"/>
      <c r="AO114" s="503"/>
      <c r="AP114" s="503"/>
      <c r="AQ114" s="503"/>
      <c r="AR114" s="503"/>
      <c r="AS114" s="503"/>
      <c r="AT114" s="503"/>
      <c r="AU114" s="503"/>
      <c r="AV114" s="503"/>
      <c r="AW114" s="503"/>
      <c r="AX114" s="503"/>
      <c r="AY114" s="503"/>
      <c r="AZ114" s="503"/>
      <c r="BA114" s="504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863</v>
      </c>
      <c r="E115" s="540"/>
      <c r="F115" s="540"/>
      <c r="G115" s="540"/>
      <c r="H115" s="540"/>
      <c r="I115" s="540"/>
      <c r="J115" s="511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03"/>
      <c r="AA115" s="504"/>
      <c r="AD115" s="540" t="s">
        <v>864</v>
      </c>
      <c r="AE115" s="540"/>
      <c r="AF115" s="540"/>
      <c r="AG115" s="540"/>
      <c r="AH115" s="540"/>
      <c r="AI115" s="540"/>
      <c r="AJ115" s="511"/>
      <c r="AK115" s="503"/>
      <c r="AL115" s="503"/>
      <c r="AM115" s="503"/>
      <c r="AN115" s="503"/>
      <c r="AO115" s="503"/>
      <c r="AP115" s="503"/>
      <c r="AQ115" s="503"/>
      <c r="AR115" s="503"/>
      <c r="AS115" s="503"/>
      <c r="AT115" s="503"/>
      <c r="AU115" s="503"/>
      <c r="AV115" s="503"/>
      <c r="AW115" s="503"/>
      <c r="AX115" s="503"/>
      <c r="AY115" s="503"/>
      <c r="AZ115" s="503"/>
      <c r="BA115" s="504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540" t="s">
        <v>865</v>
      </c>
      <c r="E116" s="540"/>
      <c r="F116" s="540"/>
      <c r="G116" s="540"/>
      <c r="H116" s="540"/>
      <c r="I116" s="540"/>
      <c r="J116" s="511"/>
      <c r="K116" s="503"/>
      <c r="L116" s="503"/>
      <c r="M116" s="503"/>
      <c r="N116" s="503"/>
      <c r="O116" s="503"/>
      <c r="P116" s="503"/>
      <c r="Q116" s="503"/>
      <c r="R116" s="503"/>
      <c r="S116" s="503"/>
      <c r="T116" s="503"/>
      <c r="U116" s="503"/>
      <c r="V116" s="503"/>
      <c r="W116" s="503"/>
      <c r="X116" s="503"/>
      <c r="Y116" s="503"/>
      <c r="Z116" s="503"/>
      <c r="AA116" s="504"/>
      <c r="AD116" s="540" t="s">
        <v>867</v>
      </c>
      <c r="AE116" s="540"/>
      <c r="AF116" s="540"/>
      <c r="AG116" s="540"/>
      <c r="AH116" s="540"/>
      <c r="AI116" s="540"/>
      <c r="AJ116" s="511"/>
      <c r="AK116" s="503"/>
      <c r="AL116" s="503"/>
      <c r="AM116" s="503"/>
      <c r="AN116" s="503"/>
      <c r="AO116" s="503"/>
      <c r="AP116" s="503"/>
      <c r="AQ116" s="503"/>
      <c r="AR116" s="503"/>
      <c r="AS116" s="503"/>
      <c r="AT116" s="503"/>
      <c r="AU116" s="503"/>
      <c r="AV116" s="503"/>
      <c r="AW116" s="503"/>
      <c r="AX116" s="503"/>
      <c r="AY116" s="503"/>
      <c r="AZ116" s="503"/>
      <c r="BA116" s="504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D117" s="540" t="s">
        <v>869</v>
      </c>
      <c r="E117" s="540"/>
      <c r="F117" s="540"/>
      <c r="G117" s="540"/>
      <c r="H117" s="540"/>
      <c r="I117" s="540"/>
      <c r="J117" s="511"/>
      <c r="K117" s="503"/>
      <c r="L117" s="503"/>
      <c r="M117" s="503"/>
      <c r="N117" s="503"/>
      <c r="O117" s="503"/>
      <c r="P117" s="503"/>
      <c r="Q117" s="503"/>
      <c r="R117" s="503"/>
      <c r="S117" s="503"/>
      <c r="T117" s="503"/>
      <c r="U117" s="503"/>
      <c r="V117" s="503"/>
      <c r="W117" s="503"/>
      <c r="X117" s="503"/>
      <c r="Y117" s="503"/>
      <c r="Z117" s="585"/>
      <c r="AA117" s="504"/>
      <c r="AD117" s="498"/>
      <c r="AE117" s="498"/>
      <c r="AF117" s="498"/>
      <c r="AG117" s="498"/>
      <c r="AH117" s="498"/>
      <c r="AI117" s="498"/>
      <c r="AJ117" s="586"/>
      <c r="AK117" s="586"/>
      <c r="AL117" s="586"/>
      <c r="AM117" s="586"/>
      <c r="AN117" s="586"/>
      <c r="AO117" s="586"/>
      <c r="AP117" s="586"/>
      <c r="AQ117" s="586"/>
      <c r="AR117" s="586"/>
      <c r="AS117" s="586"/>
      <c r="AT117" s="586"/>
      <c r="AU117" s="586"/>
      <c r="AV117" s="586"/>
      <c r="AW117" s="586"/>
      <c r="AX117" s="586"/>
      <c r="AY117" s="586"/>
      <c r="AZ117" s="587"/>
      <c r="BA117" s="586"/>
      <c r="BB117" s="498"/>
      <c r="BC117" s="498"/>
      <c r="BD117" s="498"/>
      <c r="BE117" s="498"/>
      <c r="BF117" s="498"/>
      <c r="BG117" s="498"/>
      <c r="BH117" s="498"/>
      <c r="BI117" s="498"/>
      <c r="BK117" s="499"/>
    </row>
    <row r="118" spans="3:63" ht="12" customHeight="1">
      <c r="C118" s="497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  <c r="AD118" s="498"/>
      <c r="AE118" s="498"/>
      <c r="AF118" s="498"/>
      <c r="AG118" s="498"/>
      <c r="AH118" s="498"/>
      <c r="AI118" s="498"/>
      <c r="AJ118" s="498"/>
      <c r="AK118" s="498"/>
      <c r="AL118" s="498"/>
      <c r="AM118" s="498"/>
      <c r="AN118" s="498"/>
      <c r="AO118" s="498"/>
      <c r="AP118" s="498"/>
      <c r="AQ118" s="498"/>
      <c r="AR118" s="498"/>
      <c r="AS118" s="498"/>
      <c r="AT118" s="498"/>
      <c r="AU118" s="498"/>
      <c r="AV118" s="498"/>
      <c r="AW118" s="498"/>
      <c r="AX118" s="498"/>
      <c r="AY118" s="498"/>
      <c r="AZ118" s="498"/>
      <c r="BA118" s="498"/>
      <c r="BB118" s="498"/>
      <c r="BC118" s="498"/>
      <c r="BD118" s="498"/>
      <c r="BE118" s="498"/>
      <c r="BF118" s="498"/>
      <c r="BG118" s="498"/>
      <c r="BH118" s="498"/>
      <c r="BI118" s="498"/>
      <c r="BK118" s="499"/>
    </row>
    <row r="119" spans="3:63" ht="12" customHeight="1">
      <c r="C119" s="497"/>
      <c r="BK119" s="499"/>
    </row>
    <row r="120" spans="3:63" ht="12" customHeight="1">
      <c r="C120" s="50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09"/>
    </row>
    <row r="121" spans="3:63" ht="12" customHeight="1" thickBot="1">
      <c r="C121" s="531"/>
      <c r="D121" s="532"/>
      <c r="E121" s="532"/>
      <c r="F121" s="532"/>
      <c r="G121" s="532"/>
      <c r="H121" s="532"/>
      <c r="I121" s="532"/>
      <c r="J121" s="532"/>
      <c r="K121" s="532"/>
      <c r="L121" s="532"/>
      <c r="M121" s="532"/>
      <c r="N121" s="532"/>
      <c r="O121" s="532"/>
      <c r="P121" s="532"/>
      <c r="Q121" s="533"/>
      <c r="R121" s="532"/>
      <c r="S121" s="532"/>
      <c r="T121" s="532"/>
      <c r="U121" s="532"/>
      <c r="V121" s="532"/>
      <c r="W121" s="532"/>
      <c r="X121" s="532"/>
      <c r="Y121" s="532"/>
      <c r="Z121" s="532"/>
      <c r="AA121" s="532"/>
      <c r="AB121" s="532"/>
      <c r="AC121" s="532"/>
      <c r="AD121" s="532"/>
      <c r="AE121" s="532"/>
      <c r="AF121" s="532"/>
      <c r="AG121" s="532"/>
      <c r="AH121" s="532"/>
      <c r="AI121" s="532"/>
      <c r="AJ121" s="532"/>
      <c r="AK121" s="532"/>
      <c r="AL121" s="532"/>
      <c r="AM121" s="532"/>
      <c r="AN121" s="532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4"/>
    </row>
    <row r="137" spans="2:63" ht="28.5">
      <c r="B137" s="488" t="s">
        <v>1153</v>
      </c>
    </row>
    <row r="138" spans="2:63" ht="12" customHeight="1">
      <c r="C138" s="489" t="s">
        <v>1151</v>
      </c>
    </row>
    <row r="139" spans="2:63" ht="12" customHeight="1" thickBot="1">
      <c r="C139" s="489" t="s">
        <v>781</v>
      </c>
    </row>
    <row r="140" spans="2:63" ht="12" customHeight="1">
      <c r="C140" s="535"/>
      <c r="D140" s="536" t="s">
        <v>783</v>
      </c>
      <c r="E140" s="537"/>
      <c r="F140" s="537"/>
      <c r="G140" s="537"/>
      <c r="H140" s="537"/>
      <c r="I140" s="537"/>
      <c r="J140" s="537"/>
      <c r="K140" s="537"/>
      <c r="L140" s="537"/>
      <c r="M140" s="537"/>
      <c r="N140" s="537"/>
      <c r="O140" s="537"/>
      <c r="P140" s="537"/>
      <c r="Q140" s="538"/>
      <c r="R140" s="537"/>
      <c r="S140" s="537"/>
      <c r="T140" s="537"/>
      <c r="U140" s="537"/>
      <c r="V140" s="537"/>
      <c r="W140" s="537"/>
      <c r="X140" s="537"/>
      <c r="Y140" s="537"/>
      <c r="Z140" s="537"/>
      <c r="AA140" s="537"/>
      <c r="AB140" s="537"/>
      <c r="AC140" s="537"/>
      <c r="AD140" s="537"/>
      <c r="AE140" s="537"/>
      <c r="AF140" s="537"/>
      <c r="AG140" s="537"/>
      <c r="AH140" s="537"/>
      <c r="AI140" s="537"/>
      <c r="AJ140" s="537"/>
      <c r="AK140" s="537"/>
      <c r="AL140" s="537"/>
      <c r="AM140" s="537"/>
      <c r="AN140" s="537"/>
      <c r="AO140" s="537"/>
      <c r="AP140" s="537"/>
      <c r="AQ140" s="537"/>
      <c r="AR140" s="537"/>
      <c r="AS140" s="537"/>
      <c r="AT140" s="537"/>
      <c r="AU140" s="537"/>
      <c r="AV140" s="537"/>
      <c r="AW140" s="537"/>
      <c r="AX140" s="537"/>
      <c r="AY140" s="537"/>
      <c r="AZ140" s="537"/>
      <c r="BA140" s="537"/>
      <c r="BB140" s="537"/>
      <c r="BC140" s="537"/>
      <c r="BD140" s="537"/>
      <c r="BE140" s="537"/>
      <c r="BF140" s="537"/>
      <c r="BG140" s="537"/>
      <c r="BH140" s="537"/>
      <c r="BI140" s="537"/>
      <c r="BJ140" s="537"/>
      <c r="BK140" s="493"/>
    </row>
    <row r="141" spans="2:63" ht="12" customHeight="1">
      <c r="C141" s="497"/>
      <c r="Q141" s="8"/>
      <c r="BK141" s="499"/>
    </row>
    <row r="142" spans="2:63" ht="12" customHeight="1">
      <c r="C142" s="539"/>
      <c r="D142" s="540" t="s">
        <v>245</v>
      </c>
      <c r="E142" s="540"/>
      <c r="F142" s="541"/>
      <c r="G142" s="540"/>
      <c r="H142" s="542" t="s">
        <v>761</v>
      </c>
      <c r="I142" s="543"/>
      <c r="J142" s="543"/>
      <c r="K142" s="543"/>
      <c r="L142" s="543"/>
      <c r="M142" s="544"/>
      <c r="N142" s="498"/>
      <c r="O142" s="540" t="s">
        <v>244</v>
      </c>
      <c r="P142" s="540"/>
      <c r="Q142" s="541"/>
      <c r="R142" s="540"/>
      <c r="S142" s="498"/>
      <c r="T142" s="542" t="s">
        <v>774</v>
      </c>
      <c r="U142" s="543"/>
      <c r="V142" s="543"/>
      <c r="W142" s="543"/>
      <c r="X142" s="544"/>
      <c r="AA142" s="540" t="s">
        <v>784</v>
      </c>
      <c r="AB142" s="545"/>
      <c r="AC142" s="540"/>
      <c r="AE142" s="1163">
        <v>3000</v>
      </c>
      <c r="AF142" s="1164"/>
      <c r="AG142" s="1165"/>
      <c r="AJ142" s="546" t="s">
        <v>732</v>
      </c>
      <c r="AK142" s="546"/>
      <c r="AL142" s="546"/>
      <c r="AM142" s="1166">
        <v>44627</v>
      </c>
      <c r="AN142" s="1167"/>
      <c r="AO142" s="1167"/>
      <c r="AP142" s="1167"/>
      <c r="AR142" s="1168">
        <v>0.5</v>
      </c>
      <c r="AS142" s="1169"/>
      <c r="AT142" s="1169"/>
      <c r="AU142" s="1170"/>
      <c r="AV142" s="512"/>
      <c r="BK142" s="499"/>
    </row>
    <row r="143" spans="2:63" ht="12" customHeight="1">
      <c r="C143" s="539"/>
      <c r="Q143" s="8"/>
      <c r="BK143" s="499"/>
    </row>
    <row r="144" spans="2:63" ht="12" customHeight="1">
      <c r="C144" s="539"/>
      <c r="D144" s="547" t="s">
        <v>785</v>
      </c>
      <c r="E144" s="540"/>
      <c r="F144" s="547"/>
      <c r="G144" s="540"/>
      <c r="H144" s="548" t="s">
        <v>786</v>
      </c>
      <c r="I144" s="482"/>
      <c r="J144" s="482"/>
      <c r="K144" s="483"/>
      <c r="O144" s="540" t="s">
        <v>235</v>
      </c>
      <c r="P144" s="547"/>
      <c r="Q144" s="540"/>
      <c r="R144" s="547"/>
      <c r="S144" s="540"/>
      <c r="T144" s="549" t="s">
        <v>760</v>
      </c>
      <c r="U144" s="482"/>
      <c r="V144" s="482"/>
      <c r="W144" s="482"/>
      <c r="X144" s="482"/>
      <c r="Y144" s="483"/>
      <c r="AA144" s="540"/>
      <c r="AB144" s="540"/>
      <c r="AC144" s="541" t="s">
        <v>787</v>
      </c>
      <c r="AD144" s="540"/>
      <c r="AE144" s="540" t="s">
        <v>788</v>
      </c>
      <c r="AF144" s="550" t="s">
        <v>789</v>
      </c>
      <c r="AG144" s="482"/>
      <c r="AH144" s="482"/>
      <c r="AI144" s="482"/>
      <c r="AJ144" s="483"/>
      <c r="AL144" s="540" t="s">
        <v>790</v>
      </c>
      <c r="AM144" s="548"/>
      <c r="AN144" s="482"/>
      <c r="AO144" s="482"/>
      <c r="AP144" s="482"/>
      <c r="AQ144" s="483"/>
      <c r="AS144" s="540" t="s">
        <v>791</v>
      </c>
      <c r="AT144" s="548"/>
      <c r="AU144" s="482"/>
      <c r="AV144" s="482"/>
      <c r="AW144" s="482"/>
      <c r="AX144" s="483"/>
      <c r="BK144" s="499"/>
    </row>
    <row r="145" spans="3:63" ht="12" customHeight="1">
      <c r="C145" s="539"/>
      <c r="D145" s="547" t="s">
        <v>715</v>
      </c>
      <c r="E145" s="540"/>
      <c r="F145" s="547"/>
      <c r="G145" s="540"/>
      <c r="H145" s="548"/>
      <c r="I145" s="482"/>
      <c r="J145" s="482"/>
      <c r="K145" s="482"/>
      <c r="L145" s="551"/>
      <c r="M145" s="483"/>
      <c r="N145" s="552"/>
      <c r="O145" s="553" t="s">
        <v>792</v>
      </c>
      <c r="P145" s="553"/>
      <c r="Q145" s="554"/>
      <c r="R145" s="553"/>
      <c r="S145" s="555"/>
      <c r="T145" s="542" t="s">
        <v>793</v>
      </c>
      <c r="U145" s="543"/>
      <c r="V145" s="543"/>
      <c r="W145" s="543"/>
      <c r="X145" s="544"/>
      <c r="BK145" s="499"/>
    </row>
    <row r="146" spans="3:63" ht="12" customHeight="1">
      <c r="C146" s="539"/>
      <c r="D146" s="547" t="s">
        <v>697</v>
      </c>
      <c r="E146" s="540"/>
      <c r="F146" s="547"/>
      <c r="G146" s="540"/>
      <c r="H146" s="548" t="s">
        <v>794</v>
      </c>
      <c r="I146" s="482"/>
      <c r="J146" s="482"/>
      <c r="K146" s="482"/>
      <c r="L146" s="482"/>
      <c r="M146" s="483"/>
      <c r="N146" s="556"/>
      <c r="O146" s="543" t="s">
        <v>762</v>
      </c>
      <c r="P146" s="543"/>
      <c r="Q146" s="543"/>
      <c r="R146" s="543"/>
      <c r="S146" s="543"/>
      <c r="T146" s="543"/>
      <c r="U146" s="543"/>
      <c r="V146" s="544"/>
      <c r="X146" s="540" t="s">
        <v>243</v>
      </c>
      <c r="Y146" s="540"/>
      <c r="Z146" s="540"/>
      <c r="AA146" s="540"/>
      <c r="AB146" s="1166">
        <v>44628</v>
      </c>
      <c r="AC146" s="1167"/>
      <c r="AD146" s="1167"/>
      <c r="AE146" s="1167"/>
      <c r="AF146" s="483"/>
      <c r="AK146" s="510"/>
      <c r="AM146" s="557"/>
      <c r="AN146" s="557"/>
      <c r="AO146" s="557"/>
      <c r="AP146" s="557"/>
      <c r="AQ146" s="557"/>
      <c r="AR146" s="557"/>
      <c r="AS146" s="557"/>
      <c r="AT146" s="557"/>
      <c r="AU146" s="557"/>
      <c r="BK146" s="499"/>
    </row>
    <row r="147" spans="3:63" ht="12" customHeight="1">
      <c r="C147" s="539"/>
      <c r="D147" s="558" t="s">
        <v>742</v>
      </c>
      <c r="E147" s="540"/>
      <c r="F147" s="547"/>
      <c r="G147" s="540"/>
      <c r="H147" s="511" t="s">
        <v>763</v>
      </c>
      <c r="I147" s="503"/>
      <c r="J147" s="503"/>
      <c r="K147" s="503"/>
      <c r="L147" s="503"/>
      <c r="M147" s="504"/>
      <c r="O147" s="540" t="s">
        <v>796</v>
      </c>
      <c r="P147" s="540"/>
      <c r="Q147" s="540"/>
      <c r="R147" s="540"/>
      <c r="S147" s="506" t="s">
        <v>797</v>
      </c>
      <c r="T147" s="559"/>
      <c r="U147" s="559"/>
      <c r="V147" s="559"/>
      <c r="W147" s="559"/>
      <c r="X147" s="559"/>
      <c r="Y147" s="559"/>
      <c r="Z147" s="559"/>
      <c r="AA147" s="559"/>
      <c r="AB147" s="503"/>
      <c r="AC147" s="503"/>
      <c r="AD147" s="503"/>
      <c r="AE147" s="503"/>
      <c r="AF147" s="504"/>
      <c r="AI147" s="540" t="s">
        <v>798</v>
      </c>
      <c r="AJ147" s="540"/>
      <c r="AK147" s="540"/>
      <c r="AL147" s="540"/>
      <c r="AM147" s="506" t="s">
        <v>772</v>
      </c>
      <c r="AN147" s="559"/>
      <c r="AO147" s="559"/>
      <c r="AP147" s="559"/>
      <c r="AQ147" s="559"/>
      <c r="AR147" s="559"/>
      <c r="AS147" s="559"/>
      <c r="AT147" s="559"/>
      <c r="AU147" s="559"/>
      <c r="AV147" s="503"/>
      <c r="AW147" s="503"/>
      <c r="AX147" s="503"/>
      <c r="AY147" s="503"/>
      <c r="AZ147" s="504"/>
      <c r="BK147" s="499"/>
    </row>
    <row r="148" spans="3:63" ht="12" customHeight="1">
      <c r="C148" s="539"/>
      <c r="D148" s="547" t="s">
        <v>799</v>
      </c>
      <c r="E148" s="540"/>
      <c r="F148" s="547"/>
      <c r="G148" s="540"/>
      <c r="H148" s="548"/>
      <c r="I148" s="482"/>
      <c r="J148" s="482"/>
      <c r="K148" s="482"/>
      <c r="L148" s="482"/>
      <c r="M148" s="483"/>
      <c r="O148" s="540" t="s">
        <v>743</v>
      </c>
      <c r="P148" s="540"/>
      <c r="Q148" s="540"/>
      <c r="R148" s="540"/>
      <c r="S148" s="506" t="s">
        <v>800</v>
      </c>
      <c r="T148" s="559"/>
      <c r="U148" s="559"/>
      <c r="V148" s="559"/>
      <c r="W148" s="559"/>
      <c r="X148" s="559"/>
      <c r="Y148" s="559"/>
      <c r="Z148" s="559"/>
      <c r="AA148" s="559"/>
      <c r="AB148" s="503"/>
      <c r="AC148" s="503"/>
      <c r="AD148" s="503"/>
      <c r="AE148" s="503"/>
      <c r="AF148" s="504"/>
      <c r="AI148" s="540" t="s">
        <v>801</v>
      </c>
      <c r="AJ148" s="540"/>
      <c r="AK148" s="540"/>
      <c r="AL148" s="540"/>
      <c r="AM148" s="506" t="s">
        <v>772</v>
      </c>
      <c r="AN148" s="559"/>
      <c r="AO148" s="559"/>
      <c r="AP148" s="559"/>
      <c r="AQ148" s="559"/>
      <c r="AR148" s="559"/>
      <c r="AS148" s="559"/>
      <c r="AT148" s="559"/>
      <c r="AU148" s="559"/>
      <c r="AV148" s="503"/>
      <c r="AW148" s="503"/>
      <c r="AX148" s="503"/>
      <c r="AY148" s="503"/>
      <c r="AZ148" s="504"/>
      <c r="BK148" s="499"/>
    </row>
    <row r="149" spans="3:63" ht="12" customHeight="1">
      <c r="C149" s="539"/>
      <c r="D149" s="547" t="s">
        <v>802</v>
      </c>
      <c r="E149" s="540"/>
      <c r="F149" s="547"/>
      <c r="G149" s="540"/>
      <c r="H149" s="511" t="s">
        <v>763</v>
      </c>
      <c r="I149" s="503"/>
      <c r="J149" s="503"/>
      <c r="K149" s="503"/>
      <c r="L149" s="503"/>
      <c r="M149" s="504"/>
      <c r="O149" s="540" t="s">
        <v>803</v>
      </c>
      <c r="P149" s="540"/>
      <c r="Q149" s="540"/>
      <c r="R149" s="540"/>
      <c r="S149" s="506"/>
      <c r="T149" s="503"/>
      <c r="U149" s="503"/>
      <c r="V149" s="503"/>
      <c r="W149" s="503"/>
      <c r="X149" s="504"/>
      <c r="BK149" s="499"/>
    </row>
    <row r="150" spans="3:63" ht="12" customHeight="1">
      <c r="C150" s="539"/>
      <c r="D150" s="560" t="s">
        <v>804</v>
      </c>
      <c r="E150" s="540"/>
      <c r="F150" s="547"/>
      <c r="G150" s="540"/>
      <c r="H150" s="548"/>
      <c r="I150" s="482"/>
      <c r="J150" s="482"/>
      <c r="K150" s="482"/>
      <c r="L150" s="482"/>
      <c r="M150" s="483"/>
      <c r="O150" s="540" t="s">
        <v>805</v>
      </c>
      <c r="P150" s="540"/>
      <c r="Q150" s="545"/>
      <c r="R150" s="540"/>
      <c r="S150" s="548"/>
      <c r="T150" s="482"/>
      <c r="U150" s="482"/>
      <c r="V150" s="482"/>
      <c r="W150" s="482"/>
      <c r="X150" s="483"/>
      <c r="BK150" s="499"/>
    </row>
    <row r="151" spans="3:63" ht="12" customHeight="1">
      <c r="C151" s="539"/>
      <c r="BK151" s="499"/>
    </row>
    <row r="152" spans="3:63" ht="12" customHeight="1">
      <c r="C152" s="539"/>
      <c r="D152" s="540" t="s">
        <v>806</v>
      </c>
      <c r="E152" s="540"/>
      <c r="H152" s="547" t="s">
        <v>287</v>
      </c>
      <c r="I152" s="540"/>
      <c r="J152" s="540"/>
      <c r="K152" s="561"/>
      <c r="L152" s="562"/>
      <c r="M152" s="563"/>
      <c r="O152" s="540" t="s">
        <v>807</v>
      </c>
      <c r="P152" s="540"/>
      <c r="Q152" s="540"/>
      <c r="R152" s="540"/>
      <c r="S152" s="561"/>
      <c r="T152" s="562"/>
      <c r="U152" s="563"/>
      <c r="Z152" s="540" t="s">
        <v>808</v>
      </c>
      <c r="AA152" s="540"/>
      <c r="AB152" s="540"/>
      <c r="AC152" s="561"/>
      <c r="AD152" s="562"/>
      <c r="AE152" s="562"/>
      <c r="AF152" s="563"/>
      <c r="AI152" s="540"/>
      <c r="AJ152" s="540"/>
      <c r="AK152" s="540"/>
      <c r="AL152" s="540"/>
      <c r="AM152" s="541" t="s">
        <v>809</v>
      </c>
      <c r="AN152" s="561"/>
      <c r="AO152" s="562"/>
      <c r="AP152" s="562"/>
      <c r="AQ152" s="563"/>
      <c r="AR152" s="556"/>
      <c r="BK152" s="499"/>
    </row>
    <row r="153" spans="3:63" ht="12" customHeight="1">
      <c r="C153" s="539"/>
      <c r="BK153" s="499"/>
    </row>
    <row r="154" spans="3:63" ht="12" customHeight="1">
      <c r="C154" s="539"/>
      <c r="D154" s="540" t="s">
        <v>810</v>
      </c>
      <c r="E154" s="540"/>
      <c r="F154" s="540"/>
      <c r="G154" s="540"/>
      <c r="H154" s="1171" t="s">
        <v>811</v>
      </c>
      <c r="I154" s="1172"/>
      <c r="J154" s="1172"/>
      <c r="K154" s="1172"/>
      <c r="L154" s="563"/>
      <c r="BK154" s="499"/>
    </row>
    <row r="155" spans="3:63" ht="12" customHeight="1">
      <c r="C155" s="539"/>
      <c r="Q155" s="8"/>
      <c r="BK155" s="499"/>
    </row>
    <row r="156" spans="3:63" ht="12" customHeight="1">
      <c r="C156" s="497"/>
      <c r="D156" s="566" t="s">
        <v>812</v>
      </c>
      <c r="E156" s="515"/>
      <c r="F156" s="515"/>
      <c r="G156" s="515"/>
      <c r="H156" s="515"/>
      <c r="I156" s="515"/>
      <c r="Q156" s="8"/>
      <c r="BK156" s="499"/>
    </row>
    <row r="157" spans="3:63" ht="12" customHeight="1">
      <c r="C157" s="497"/>
      <c r="D157" s="540" t="s">
        <v>813</v>
      </c>
      <c r="E157" s="540"/>
      <c r="F157" s="540"/>
      <c r="G157" s="540"/>
      <c r="H157" s="540"/>
      <c r="I157" s="540"/>
      <c r="J157" s="1173" t="s">
        <v>814</v>
      </c>
      <c r="K157" s="1174"/>
      <c r="O157" s="540" t="s">
        <v>815</v>
      </c>
      <c r="P157" s="540"/>
      <c r="Q157" s="545"/>
      <c r="R157" s="540"/>
      <c r="S157" s="540"/>
      <c r="T157" s="540"/>
      <c r="U157" s="540"/>
      <c r="V157" s="540"/>
      <c r="W157" s="540"/>
      <c r="X157" s="540"/>
      <c r="Z157" s="540" t="s">
        <v>816</v>
      </c>
      <c r="AA157" s="540"/>
      <c r="AB157" s="540"/>
      <c r="AC157" s="540"/>
      <c r="AD157" s="540"/>
      <c r="AE157" s="540"/>
      <c r="AF157" s="540"/>
      <c r="AG157" s="540"/>
      <c r="AI157" s="540" t="s">
        <v>817</v>
      </c>
      <c r="AJ157" s="540"/>
      <c r="AK157" s="540"/>
      <c r="AL157" s="540"/>
      <c r="AM157" s="540"/>
      <c r="AN157" s="540"/>
      <c r="AO157" s="540"/>
      <c r="AP157" s="540"/>
      <c r="AQ157" s="540"/>
      <c r="AR157" s="540"/>
      <c r="AT157" s="540" t="s">
        <v>818</v>
      </c>
      <c r="AU157" s="540"/>
      <c r="AV157" s="540"/>
      <c r="AW157" s="540"/>
      <c r="AX157" s="540"/>
      <c r="AY157" s="540"/>
      <c r="AZ157" s="540"/>
      <c r="BA157" s="540"/>
      <c r="BB157" s="540"/>
      <c r="BC157" s="540"/>
      <c r="BK157" s="499"/>
    </row>
    <row r="158" spans="3:63" ht="12" customHeight="1">
      <c r="C158" s="497"/>
      <c r="D158" s="540"/>
      <c r="E158" s="540"/>
      <c r="F158" s="540" t="s">
        <v>819</v>
      </c>
      <c r="G158" s="540"/>
      <c r="H158" s="540"/>
      <c r="I158" s="540"/>
      <c r="J158" s="1301" t="s">
        <v>820</v>
      </c>
      <c r="K158" s="1302"/>
      <c r="L158" s="1296"/>
      <c r="M158" s="1297"/>
      <c r="N158" s="556"/>
      <c r="O158" s="562" t="s">
        <v>821</v>
      </c>
      <c r="P158" s="562"/>
      <c r="Q158" s="562"/>
      <c r="R158" s="562"/>
      <c r="S158" s="562"/>
      <c r="T158" s="562"/>
      <c r="U158" s="562"/>
      <c r="V158" s="562"/>
      <c r="W158" s="562"/>
      <c r="X158" s="563"/>
      <c r="Y158" s="498"/>
      <c r="Z158" s="1298" t="s">
        <v>822</v>
      </c>
      <c r="AA158" s="1299"/>
      <c r="AB158" s="1299"/>
      <c r="AC158" s="1300"/>
      <c r="AD158" s="556"/>
      <c r="AE158" s="562"/>
      <c r="AF158" s="562"/>
      <c r="AG158" s="563"/>
      <c r="AH158" s="498"/>
      <c r="AI158" s="1298" t="s">
        <v>823</v>
      </c>
      <c r="AJ158" s="1296"/>
      <c r="AK158" s="1296"/>
      <c r="AL158" s="1297"/>
      <c r="AM158" s="747"/>
      <c r="AN158" s="562"/>
      <c r="AO158" s="562"/>
      <c r="AP158" s="562"/>
      <c r="AQ158" s="562"/>
      <c r="AR158" s="563"/>
      <c r="AT158" s="1298"/>
      <c r="AU158" s="1296"/>
      <c r="AV158" s="1296"/>
      <c r="AW158" s="1297"/>
      <c r="AX158" s="747"/>
      <c r="AY158" s="562"/>
      <c r="AZ158" s="562"/>
      <c r="BA158" s="562"/>
      <c r="BB158" s="562"/>
      <c r="BC158" s="563"/>
      <c r="BK158" s="499"/>
    </row>
    <row r="159" spans="3:63" ht="12" customHeight="1">
      <c r="C159" s="497"/>
      <c r="D159" s="540"/>
      <c r="E159" s="540"/>
      <c r="F159" s="540" t="s">
        <v>824</v>
      </c>
      <c r="G159" s="540"/>
      <c r="H159" s="540"/>
      <c r="I159" s="540"/>
      <c r="J159" s="1295" t="s">
        <v>825</v>
      </c>
      <c r="K159" s="1296"/>
      <c r="L159" s="1296"/>
      <c r="M159" s="1297"/>
      <c r="N159" s="556"/>
      <c r="O159" s="562" t="s">
        <v>826</v>
      </c>
      <c r="P159" s="562"/>
      <c r="Q159" s="562"/>
      <c r="R159" s="562"/>
      <c r="S159" s="562"/>
      <c r="T159" s="562"/>
      <c r="U159" s="562"/>
      <c r="V159" s="562"/>
      <c r="W159" s="562"/>
      <c r="X159" s="563"/>
      <c r="Y159" s="498"/>
      <c r="Z159" s="1298" t="s">
        <v>822</v>
      </c>
      <c r="AA159" s="1299"/>
      <c r="AB159" s="1299"/>
      <c r="AC159" s="1300"/>
      <c r="AD159" s="556"/>
      <c r="AE159" s="562"/>
      <c r="AF159" s="562"/>
      <c r="AG159" s="563"/>
      <c r="AH159" s="498"/>
      <c r="AI159" s="1298" t="s">
        <v>823</v>
      </c>
      <c r="AJ159" s="1296"/>
      <c r="AK159" s="1296"/>
      <c r="AL159" s="1297"/>
      <c r="AM159" s="747"/>
      <c r="AN159" s="562"/>
      <c r="AO159" s="562"/>
      <c r="AP159" s="562"/>
      <c r="AQ159" s="562"/>
      <c r="AR159" s="563"/>
      <c r="AT159" s="1298"/>
      <c r="AU159" s="1296"/>
      <c r="AV159" s="1296"/>
      <c r="AW159" s="1297"/>
      <c r="AX159" s="747"/>
      <c r="AY159" s="562"/>
      <c r="AZ159" s="562"/>
      <c r="BA159" s="562"/>
      <c r="BB159" s="562"/>
      <c r="BC159" s="563"/>
      <c r="BK159" s="499"/>
    </row>
    <row r="160" spans="3:63" ht="12" customHeight="1">
      <c r="C160" s="497"/>
      <c r="D160" s="540"/>
      <c r="E160" s="540"/>
      <c r="F160" s="540" t="s">
        <v>827</v>
      </c>
      <c r="G160" s="540"/>
      <c r="H160" s="540"/>
      <c r="I160" s="540"/>
      <c r="J160" s="1295" t="s">
        <v>828</v>
      </c>
      <c r="K160" s="1296"/>
      <c r="L160" s="1296"/>
      <c r="M160" s="1296"/>
      <c r="N160" s="556"/>
      <c r="O160" s="562" t="s">
        <v>829</v>
      </c>
      <c r="P160" s="562"/>
      <c r="Q160" s="562"/>
      <c r="R160" s="562"/>
      <c r="S160" s="562"/>
      <c r="T160" s="562"/>
      <c r="U160" s="562"/>
      <c r="V160" s="562"/>
      <c r="W160" s="562"/>
      <c r="X160" s="563"/>
      <c r="Y160" s="498"/>
      <c r="Z160" s="1298" t="s">
        <v>830</v>
      </c>
      <c r="AA160" s="1299"/>
      <c r="AB160" s="1299"/>
      <c r="AC160" s="1300"/>
      <c r="AD160" s="556"/>
      <c r="AE160" s="562"/>
      <c r="AF160" s="562"/>
      <c r="AG160" s="563"/>
      <c r="AH160" s="498"/>
      <c r="AI160" s="1298" t="s">
        <v>823</v>
      </c>
      <c r="AJ160" s="1296"/>
      <c r="AK160" s="1296"/>
      <c r="AL160" s="1296"/>
      <c r="AM160" s="747"/>
      <c r="AN160" s="562"/>
      <c r="AO160" s="562"/>
      <c r="AP160" s="562"/>
      <c r="AQ160" s="562"/>
      <c r="AR160" s="563"/>
      <c r="AT160" s="1298"/>
      <c r="AU160" s="1296"/>
      <c r="AV160" s="1296"/>
      <c r="AW160" s="1296"/>
      <c r="AX160" s="747"/>
      <c r="AY160" s="562"/>
      <c r="AZ160" s="562"/>
      <c r="BA160" s="562"/>
      <c r="BB160" s="562"/>
      <c r="BC160" s="563"/>
      <c r="BK160" s="499"/>
    </row>
    <row r="161" spans="3:90" ht="12" customHeight="1">
      <c r="C161" s="497"/>
      <c r="D161" s="540" t="s">
        <v>831</v>
      </c>
      <c r="E161" s="540"/>
      <c r="F161" s="540"/>
      <c r="G161" s="540"/>
      <c r="H161" s="540"/>
      <c r="I161" s="540"/>
      <c r="J161" s="561"/>
      <c r="K161" s="562"/>
      <c r="L161" s="562"/>
      <c r="M161" s="562"/>
      <c r="N161" s="563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V161" s="567"/>
      <c r="AW161" s="567"/>
      <c r="AX161" s="567"/>
      <c r="AY161" s="567"/>
      <c r="AZ161" s="567"/>
      <c r="BK161" s="499"/>
    </row>
    <row r="162" spans="3:90" ht="12" customHeight="1">
      <c r="C162" s="497"/>
      <c r="D162" s="540" t="s">
        <v>832</v>
      </c>
      <c r="E162" s="540"/>
      <c r="F162" s="540"/>
      <c r="G162" s="540"/>
      <c r="H162" s="540"/>
      <c r="I162" s="540"/>
      <c r="J162" s="1171" t="s">
        <v>833</v>
      </c>
      <c r="K162" s="1172"/>
      <c r="L162" s="1172"/>
      <c r="M162" s="1285"/>
      <c r="N162" s="498"/>
      <c r="Q162" s="8"/>
      <c r="BK162" s="499"/>
    </row>
    <row r="163" spans="3:90" ht="12" customHeight="1">
      <c r="C163" s="497"/>
      <c r="D163" s="540" t="s">
        <v>834</v>
      </c>
      <c r="E163" s="540"/>
      <c r="F163" s="540"/>
      <c r="G163" s="540"/>
      <c r="H163" s="540"/>
      <c r="I163" s="540"/>
      <c r="J163" s="498" t="s">
        <v>835</v>
      </c>
      <c r="K163" s="498"/>
      <c r="L163" s="1286">
        <v>790</v>
      </c>
      <c r="M163" s="1287"/>
      <c r="N163" s="1288"/>
      <c r="P163" s="8" t="s">
        <v>836</v>
      </c>
      <c r="Q163" s="8"/>
      <c r="R163" s="1286">
        <v>990</v>
      </c>
      <c r="S163" s="1287"/>
      <c r="T163" s="1288"/>
      <c r="V163" s="540" t="s">
        <v>837</v>
      </c>
      <c r="W163" s="540"/>
      <c r="X163" s="540"/>
      <c r="Z163" s="8" t="s">
        <v>838</v>
      </c>
      <c r="AB163" s="1289">
        <v>10</v>
      </c>
      <c r="AC163" s="1290"/>
      <c r="AD163" s="1291"/>
      <c r="AF163" s="8" t="s">
        <v>839</v>
      </c>
      <c r="AH163" s="1286">
        <v>10</v>
      </c>
      <c r="AI163" s="1287"/>
      <c r="AJ163" s="1288"/>
      <c r="BK163" s="499"/>
    </row>
    <row r="164" spans="3:90" ht="12" customHeight="1">
      <c r="C164" s="497"/>
      <c r="D164" s="540" t="s">
        <v>840</v>
      </c>
      <c r="E164" s="540"/>
      <c r="F164" s="540"/>
      <c r="G164" s="540"/>
      <c r="H164" s="540"/>
      <c r="I164" s="540"/>
      <c r="J164" s="498" t="s">
        <v>835</v>
      </c>
      <c r="K164" s="498"/>
      <c r="L164" s="751" t="s">
        <v>841</v>
      </c>
      <c r="M164" s="562"/>
      <c r="N164" s="563"/>
      <c r="P164" s="8" t="s">
        <v>836</v>
      </c>
      <c r="Q164" s="8"/>
      <c r="R164" s="1292">
        <v>1000</v>
      </c>
      <c r="S164" s="1293"/>
      <c r="T164" s="1294"/>
      <c r="U164" s="8" t="s">
        <v>842</v>
      </c>
      <c r="BK164" s="499"/>
    </row>
    <row r="165" spans="3:90" ht="12" customHeight="1">
      <c r="C165" s="497"/>
      <c r="D165" s="540" t="s">
        <v>843</v>
      </c>
      <c r="E165" s="540"/>
      <c r="F165" s="540"/>
      <c r="G165" s="540"/>
      <c r="H165" s="540"/>
      <c r="I165" s="540"/>
      <c r="J165" s="498" t="s">
        <v>835</v>
      </c>
      <c r="K165" s="498"/>
      <c r="L165" s="751" t="s">
        <v>841</v>
      </c>
      <c r="M165" s="562"/>
      <c r="N165" s="563"/>
      <c r="Q165" s="8"/>
      <c r="R165" s="498"/>
      <c r="S165" s="498"/>
      <c r="T165" s="498"/>
      <c r="BK165" s="499"/>
    </row>
    <row r="166" spans="3:90" ht="12" customHeight="1">
      <c r="C166" s="497"/>
      <c r="D166" s="540" t="s">
        <v>844</v>
      </c>
      <c r="E166" s="540"/>
      <c r="F166" s="540"/>
      <c r="G166" s="540"/>
      <c r="H166" s="540"/>
      <c r="I166" s="540"/>
      <c r="J166" s="1171" t="s">
        <v>152</v>
      </c>
      <c r="K166" s="1172"/>
      <c r="L166" s="1172"/>
      <c r="M166" s="1172"/>
      <c r="N166" s="1285"/>
      <c r="BK166" s="499"/>
    </row>
    <row r="167" spans="3:90" ht="12" customHeight="1">
      <c r="C167" s="497"/>
      <c r="D167" s="540" t="s">
        <v>722</v>
      </c>
      <c r="E167" s="540"/>
      <c r="F167" s="540"/>
      <c r="G167" s="540"/>
      <c r="H167" s="540"/>
      <c r="I167" s="540"/>
      <c r="J167" s="1146">
        <v>5000</v>
      </c>
      <c r="K167" s="1147"/>
      <c r="L167" s="1147"/>
      <c r="M167" s="1147"/>
      <c r="N167" s="1148"/>
      <c r="P167" s="540" t="s">
        <v>845</v>
      </c>
      <c r="Q167" s="540"/>
      <c r="R167" s="540"/>
      <c r="S167" s="540"/>
      <c r="T167" s="564"/>
      <c r="U167" s="565"/>
      <c r="V167" s="565"/>
      <c r="W167" s="565" t="s">
        <v>846</v>
      </c>
      <c r="X167" s="574"/>
      <c r="Z167" s="540" t="s">
        <v>847</v>
      </c>
      <c r="AA167" s="540"/>
      <c r="AB167" s="540"/>
      <c r="AC167" s="540"/>
      <c r="AD167" s="564"/>
      <c r="AE167" s="565"/>
      <c r="AF167" s="1172">
        <v>100</v>
      </c>
      <c r="AG167" s="1285"/>
      <c r="AH167" s="575"/>
      <c r="AI167" s="540" t="s">
        <v>848</v>
      </c>
      <c r="AJ167" s="540"/>
      <c r="AK167" s="540"/>
      <c r="AL167" s="540"/>
      <c r="AM167" s="564"/>
      <c r="AN167" s="565"/>
      <c r="AO167" s="565"/>
      <c r="AP167" s="565"/>
      <c r="AQ167" s="748"/>
      <c r="AT167" s="540" t="s">
        <v>849</v>
      </c>
      <c r="AU167" s="540"/>
      <c r="AV167" s="540"/>
      <c r="AW167" s="540"/>
      <c r="AX167" s="540"/>
      <c r="AY167" s="583"/>
      <c r="AZ167" s="584"/>
      <c r="BA167" s="584"/>
      <c r="BB167" s="584" t="s">
        <v>846</v>
      </c>
      <c r="BC167" s="578"/>
      <c r="BE167" s="8" t="s">
        <v>850</v>
      </c>
      <c r="BF167" s="10"/>
      <c r="BH167" s="10"/>
      <c r="BK167" s="499"/>
    </row>
    <row r="168" spans="3:90" ht="12" customHeight="1">
      <c r="C168" s="497"/>
      <c r="D168" s="498"/>
      <c r="E168" s="498"/>
      <c r="F168" s="498"/>
      <c r="G168" s="498"/>
      <c r="H168" s="498"/>
      <c r="I168" s="498"/>
      <c r="J168" s="891"/>
      <c r="K168" s="891"/>
      <c r="L168" s="891"/>
      <c r="M168" s="891"/>
      <c r="N168" s="498"/>
      <c r="O168" s="498"/>
      <c r="P168" s="498"/>
      <c r="Q168" s="498"/>
      <c r="R168" s="498"/>
      <c r="S168" s="498"/>
      <c r="T168" s="498"/>
      <c r="U168" s="498"/>
      <c r="V168" s="498"/>
      <c r="W168" s="498"/>
      <c r="X168" s="498"/>
      <c r="Y168" s="498"/>
      <c r="Z168" s="498"/>
      <c r="AA168" s="498"/>
      <c r="AB168" s="498"/>
      <c r="AC168" s="498"/>
      <c r="AD168" s="498"/>
      <c r="AE168" s="498"/>
      <c r="AF168" s="498"/>
      <c r="AG168" s="498"/>
      <c r="AH168" s="498"/>
      <c r="AN168" s="498"/>
      <c r="AO168" s="498"/>
      <c r="AP168" s="498"/>
      <c r="AQ168" s="498"/>
      <c r="AR168" s="498"/>
      <c r="AS168" s="498"/>
      <c r="AT168" s="498"/>
      <c r="AU168" s="498"/>
      <c r="AV168" s="498"/>
      <c r="AW168" s="498"/>
      <c r="AX168" s="498"/>
      <c r="AY168" s="498"/>
      <c r="AZ168" s="498"/>
      <c r="BA168" s="498"/>
      <c r="BI168" s="498"/>
      <c r="BK168" s="499"/>
    </row>
    <row r="169" spans="3:90" ht="12" customHeight="1">
      <c r="C169" s="497"/>
      <c r="D169" s="566" t="s">
        <v>851</v>
      </c>
      <c r="E169" s="515"/>
      <c r="F169" s="515"/>
      <c r="G169" s="515"/>
      <c r="H169" s="515"/>
      <c r="I169" s="515"/>
      <c r="Q169" s="8"/>
      <c r="BF169" s="10"/>
      <c r="BH169" s="10"/>
      <c r="BK169" s="499"/>
    </row>
    <row r="170" spans="3:90" ht="12" customHeight="1">
      <c r="C170" s="497"/>
      <c r="D170" s="540" t="s">
        <v>852</v>
      </c>
      <c r="E170" s="540"/>
      <c r="F170" s="540"/>
      <c r="G170" s="540"/>
      <c r="H170" s="540"/>
      <c r="I170" s="540"/>
      <c r="J170" s="580" t="s">
        <v>718</v>
      </c>
      <c r="K170" s="562"/>
      <c r="L170" s="562"/>
      <c r="M170" s="562"/>
      <c r="N170" s="562"/>
      <c r="O170" s="542"/>
      <c r="P170" s="543" t="s">
        <v>853</v>
      </c>
      <c r="Q170" s="543"/>
      <c r="R170" s="543"/>
      <c r="S170" s="543"/>
      <c r="T170" s="543"/>
      <c r="U170" s="543"/>
      <c r="V170" s="569"/>
      <c r="W170" s="569"/>
      <c r="X170" s="569"/>
      <c r="Y170" s="575"/>
      <c r="Z170" s="540" t="s">
        <v>854</v>
      </c>
      <c r="AA170" s="540"/>
      <c r="AB170" s="540"/>
      <c r="AC170" s="540"/>
      <c r="AD170" s="581"/>
      <c r="AE170" s="581"/>
      <c r="AF170" s="581" t="s">
        <v>846</v>
      </c>
      <c r="AG170" s="574"/>
      <c r="AH170" s="498"/>
      <c r="AI170" s="540" t="s">
        <v>855</v>
      </c>
      <c r="AJ170" s="540"/>
      <c r="AK170" s="540"/>
      <c r="AL170" s="540"/>
      <c r="AM170" s="564"/>
      <c r="AN170" s="565"/>
      <c r="AO170" s="565"/>
      <c r="AP170" s="565"/>
      <c r="AQ170" s="752" t="s">
        <v>856</v>
      </c>
      <c r="AT170" s="540" t="s">
        <v>849</v>
      </c>
      <c r="AU170" s="540"/>
      <c r="AV170" s="540"/>
      <c r="AW170" s="540"/>
      <c r="AX170" s="540"/>
      <c r="AY170" s="564"/>
      <c r="AZ170" s="565"/>
      <c r="BA170" s="565"/>
      <c r="BB170" s="574" t="s">
        <v>846</v>
      </c>
      <c r="BC170" s="578"/>
      <c r="BK170" s="499"/>
      <c r="CL170" s="500" t="s">
        <v>857</v>
      </c>
    </row>
    <row r="171" spans="3:90" ht="12" customHeight="1">
      <c r="C171" s="497"/>
      <c r="D171" s="498"/>
      <c r="E171" s="498"/>
      <c r="F171" s="498"/>
      <c r="G171" s="498"/>
      <c r="H171" s="498"/>
      <c r="I171" s="498"/>
      <c r="J171" s="891"/>
      <c r="K171" s="891"/>
      <c r="L171" s="891"/>
      <c r="M171" s="891"/>
      <c r="N171" s="498"/>
      <c r="O171" s="498"/>
      <c r="P171" s="498"/>
      <c r="Q171" s="498"/>
      <c r="R171" s="498"/>
      <c r="S171" s="498"/>
      <c r="T171" s="498"/>
      <c r="U171" s="498"/>
      <c r="V171" s="498"/>
      <c r="W171" s="498"/>
      <c r="X171" s="498"/>
      <c r="Y171" s="498"/>
      <c r="Z171" s="498"/>
      <c r="AA171" s="498"/>
      <c r="AB171" s="498"/>
      <c r="AC171" s="498"/>
      <c r="AD171" s="498"/>
      <c r="AE171" s="498"/>
      <c r="AF171" s="498"/>
      <c r="AG171" s="498"/>
      <c r="AH171" s="498"/>
      <c r="AN171" s="498"/>
      <c r="AO171" s="498"/>
      <c r="AP171" s="498"/>
      <c r="AQ171" s="498"/>
      <c r="AR171" s="498"/>
      <c r="AS171" s="498"/>
      <c r="AT171" s="498"/>
      <c r="AU171" s="498"/>
      <c r="AV171" s="498"/>
      <c r="AW171" s="498"/>
      <c r="AX171" s="498"/>
      <c r="AY171" s="498"/>
      <c r="AZ171" s="498"/>
      <c r="BA171" s="498"/>
      <c r="BI171" s="498"/>
      <c r="BK171" s="499"/>
    </row>
    <row r="172" spans="3:90" ht="12" customHeight="1">
      <c r="C172" s="497"/>
      <c r="D172" s="566" t="s">
        <v>858</v>
      </c>
      <c r="E172" s="515"/>
      <c r="F172" s="515"/>
      <c r="G172" s="515"/>
      <c r="H172" s="515"/>
      <c r="I172" s="515"/>
      <c r="BB172" s="498"/>
      <c r="BC172" s="498"/>
      <c r="BD172" s="498"/>
      <c r="BE172" s="498"/>
      <c r="BF172" s="498"/>
      <c r="BG172" s="498"/>
      <c r="BH172" s="498"/>
      <c r="BI172" s="498"/>
      <c r="BK172" s="499"/>
    </row>
    <row r="173" spans="3:90" ht="12" customHeight="1">
      <c r="C173" s="497"/>
      <c r="D173" s="540" t="s">
        <v>859</v>
      </c>
      <c r="E173" s="540"/>
      <c r="F173" s="540"/>
      <c r="G173" s="540"/>
      <c r="H173" s="540"/>
      <c r="I173" s="540"/>
      <c r="J173" s="511" t="s">
        <v>860</v>
      </c>
      <c r="K173" s="503"/>
      <c r="L173" s="503"/>
      <c r="M173" s="503"/>
      <c r="N173" s="503"/>
      <c r="O173" s="503"/>
      <c r="P173" s="503"/>
      <c r="Q173" s="503"/>
      <c r="R173" s="503"/>
      <c r="S173" s="503"/>
      <c r="T173" s="503"/>
      <c r="U173" s="503"/>
      <c r="V173" s="503"/>
      <c r="W173" s="503"/>
      <c r="X173" s="503"/>
      <c r="Y173" s="503"/>
      <c r="Z173" s="503"/>
      <c r="AA173" s="504"/>
      <c r="AD173" s="540" t="s">
        <v>861</v>
      </c>
      <c r="AE173" s="540"/>
      <c r="AF173" s="540"/>
      <c r="AG173" s="540"/>
      <c r="AH173" s="540"/>
      <c r="AI173" s="540"/>
      <c r="AJ173" s="511" t="s">
        <v>862</v>
      </c>
      <c r="AK173" s="503"/>
      <c r="AL173" s="503"/>
      <c r="AM173" s="503"/>
      <c r="AN173" s="503"/>
      <c r="AO173" s="503"/>
      <c r="AP173" s="503"/>
      <c r="AQ173" s="503"/>
      <c r="AR173" s="503"/>
      <c r="AS173" s="503"/>
      <c r="AT173" s="503"/>
      <c r="AU173" s="503"/>
      <c r="AV173" s="503"/>
      <c r="AW173" s="503"/>
      <c r="AX173" s="503"/>
      <c r="AY173" s="503"/>
      <c r="AZ173" s="503"/>
      <c r="BA173" s="504"/>
      <c r="BB173" s="498"/>
      <c r="BC173" s="498"/>
      <c r="BD173" s="498"/>
      <c r="BE173" s="498"/>
      <c r="BF173" s="498"/>
      <c r="BG173" s="498"/>
      <c r="BH173" s="498"/>
      <c r="BI173" s="498"/>
      <c r="BK173" s="499"/>
    </row>
    <row r="174" spans="3:90" ht="12" customHeight="1">
      <c r="C174" s="497"/>
      <c r="D174" s="540" t="s">
        <v>863</v>
      </c>
      <c r="E174" s="540"/>
      <c r="F174" s="540"/>
      <c r="G174" s="540"/>
      <c r="H174" s="540"/>
      <c r="I174" s="540"/>
      <c r="J174" s="511" t="s">
        <v>862</v>
      </c>
      <c r="K174" s="503"/>
      <c r="L174" s="503"/>
      <c r="M174" s="503"/>
      <c r="N174" s="503"/>
      <c r="O174" s="503"/>
      <c r="P174" s="503"/>
      <c r="Q174" s="503"/>
      <c r="R174" s="503"/>
      <c r="S174" s="503"/>
      <c r="T174" s="503"/>
      <c r="U174" s="503"/>
      <c r="V174" s="503"/>
      <c r="W174" s="503"/>
      <c r="X174" s="503"/>
      <c r="Y174" s="503"/>
      <c r="Z174" s="503"/>
      <c r="AA174" s="504"/>
      <c r="AD174" s="540" t="s">
        <v>864</v>
      </c>
      <c r="AE174" s="540"/>
      <c r="AF174" s="540"/>
      <c r="AG174" s="540"/>
      <c r="AH174" s="540"/>
      <c r="AI174" s="540"/>
      <c r="AJ174" s="511"/>
      <c r="AK174" s="503"/>
      <c r="AL174" s="503"/>
      <c r="AM174" s="503"/>
      <c r="AN174" s="503"/>
      <c r="AO174" s="503"/>
      <c r="AP174" s="503"/>
      <c r="AQ174" s="503"/>
      <c r="AR174" s="503"/>
      <c r="AS174" s="503"/>
      <c r="AT174" s="503"/>
      <c r="AU174" s="503"/>
      <c r="AV174" s="503"/>
      <c r="AW174" s="503"/>
      <c r="AX174" s="503"/>
      <c r="AY174" s="503"/>
      <c r="AZ174" s="503"/>
      <c r="BA174" s="504"/>
      <c r="BB174" s="498"/>
      <c r="BC174" s="498"/>
      <c r="BD174" s="498"/>
      <c r="BE174" s="498"/>
      <c r="BF174" s="498"/>
      <c r="BG174" s="498"/>
      <c r="BH174" s="498"/>
      <c r="BI174" s="498"/>
      <c r="BK174" s="499"/>
    </row>
    <row r="175" spans="3:90" ht="12" customHeight="1">
      <c r="C175" s="497"/>
      <c r="D175" s="540" t="s">
        <v>865</v>
      </c>
      <c r="E175" s="540"/>
      <c r="F175" s="540"/>
      <c r="G175" s="540"/>
      <c r="H175" s="540"/>
      <c r="I175" s="540"/>
      <c r="J175" s="511" t="s">
        <v>866</v>
      </c>
      <c r="K175" s="503"/>
      <c r="L175" s="503"/>
      <c r="M175" s="503"/>
      <c r="N175" s="503"/>
      <c r="O175" s="503"/>
      <c r="P175" s="503"/>
      <c r="Q175" s="503"/>
      <c r="R175" s="503"/>
      <c r="S175" s="503"/>
      <c r="T175" s="503"/>
      <c r="U175" s="503"/>
      <c r="V175" s="503"/>
      <c r="W175" s="503"/>
      <c r="X175" s="503"/>
      <c r="Y175" s="503"/>
      <c r="Z175" s="503"/>
      <c r="AA175" s="504"/>
      <c r="AD175" s="540" t="s">
        <v>867</v>
      </c>
      <c r="AE175" s="540"/>
      <c r="AF175" s="540"/>
      <c r="AG175" s="540"/>
      <c r="AH175" s="540"/>
      <c r="AI175" s="540"/>
      <c r="AJ175" s="511" t="s">
        <v>868</v>
      </c>
      <c r="AK175" s="503"/>
      <c r="AL175" s="503"/>
      <c r="AM175" s="503"/>
      <c r="AN175" s="503"/>
      <c r="AO175" s="503"/>
      <c r="AP175" s="503"/>
      <c r="AQ175" s="503"/>
      <c r="AR175" s="503"/>
      <c r="AS175" s="503"/>
      <c r="AT175" s="503"/>
      <c r="AU175" s="503"/>
      <c r="AV175" s="503"/>
      <c r="AW175" s="503"/>
      <c r="AX175" s="503"/>
      <c r="AY175" s="503"/>
      <c r="AZ175" s="503"/>
      <c r="BA175" s="504"/>
      <c r="BB175" s="498"/>
      <c r="BC175" s="498"/>
      <c r="BD175" s="498"/>
      <c r="BE175" s="498"/>
      <c r="BF175" s="498"/>
      <c r="BG175" s="498"/>
      <c r="BH175" s="498"/>
      <c r="BI175" s="498"/>
      <c r="BK175" s="499"/>
    </row>
    <row r="176" spans="3:90" ht="12" customHeight="1">
      <c r="C176" s="497"/>
      <c r="D176" s="540" t="s">
        <v>869</v>
      </c>
      <c r="E176" s="540"/>
      <c r="F176" s="540"/>
      <c r="G176" s="540"/>
      <c r="H176" s="540"/>
      <c r="I176" s="540"/>
      <c r="J176" s="511"/>
      <c r="K176" s="503"/>
      <c r="L176" s="503"/>
      <c r="M176" s="503"/>
      <c r="N176" s="503"/>
      <c r="O176" s="503"/>
      <c r="P176" s="503"/>
      <c r="Q176" s="503"/>
      <c r="R176" s="503"/>
      <c r="S176" s="503"/>
      <c r="T176" s="503"/>
      <c r="U176" s="503"/>
      <c r="V176" s="503"/>
      <c r="W176" s="503"/>
      <c r="X176" s="503"/>
      <c r="Y176" s="503"/>
      <c r="Z176" s="585" t="s">
        <v>870</v>
      </c>
      <c r="AA176" s="504"/>
      <c r="AD176" s="498"/>
      <c r="AE176" s="498"/>
      <c r="AF176" s="498"/>
      <c r="AG176" s="498"/>
      <c r="AH176" s="498"/>
      <c r="AI176" s="498"/>
      <c r="AJ176" s="586"/>
      <c r="AK176" s="586"/>
      <c r="AL176" s="586"/>
      <c r="AM176" s="586"/>
      <c r="AN176" s="586"/>
      <c r="AO176" s="586"/>
      <c r="AP176" s="586"/>
      <c r="AQ176" s="586"/>
      <c r="AR176" s="586"/>
      <c r="AS176" s="586"/>
      <c r="AT176" s="586"/>
      <c r="AU176" s="586"/>
      <c r="AV176" s="586"/>
      <c r="AW176" s="586"/>
      <c r="AX176" s="586"/>
      <c r="AY176" s="586"/>
      <c r="AZ176" s="587"/>
      <c r="BA176" s="586"/>
      <c r="BB176" s="498"/>
      <c r="BC176" s="498"/>
      <c r="BD176" s="498"/>
      <c r="BE176" s="498"/>
      <c r="BF176" s="498"/>
      <c r="BG176" s="498"/>
      <c r="BH176" s="498"/>
      <c r="BI176" s="498"/>
      <c r="BK176" s="499"/>
    </row>
    <row r="177" spans="2:80" ht="12" customHeight="1">
      <c r="C177" s="497"/>
      <c r="D177" s="498"/>
      <c r="E177" s="498"/>
      <c r="F177" s="498"/>
      <c r="G177" s="498"/>
      <c r="H177" s="498"/>
      <c r="I177" s="498"/>
      <c r="J177" s="498"/>
      <c r="K177" s="498"/>
      <c r="L177" s="498"/>
      <c r="M177" s="498"/>
      <c r="N177" s="498"/>
      <c r="O177" s="498"/>
      <c r="P177" s="498"/>
      <c r="Q177" s="498"/>
      <c r="R177" s="498"/>
      <c r="S177" s="498"/>
      <c r="T177" s="498"/>
      <c r="U177" s="498"/>
      <c r="V177" s="498"/>
      <c r="W177" s="498"/>
      <c r="X177" s="498"/>
      <c r="Y177" s="498"/>
      <c r="Z177" s="498"/>
      <c r="AA177" s="498"/>
      <c r="AB177" s="498"/>
      <c r="AC177" s="498"/>
      <c r="AD177" s="498"/>
      <c r="AE177" s="498"/>
      <c r="AF177" s="498"/>
      <c r="AG177" s="498"/>
      <c r="AH177" s="498"/>
      <c r="AI177" s="498"/>
      <c r="AJ177" s="498"/>
      <c r="AK177" s="498"/>
      <c r="AL177" s="498"/>
      <c r="AM177" s="498"/>
      <c r="AN177" s="498"/>
      <c r="AO177" s="498"/>
      <c r="AP177" s="498"/>
      <c r="AQ177" s="498"/>
      <c r="AR177" s="498"/>
      <c r="AS177" s="498"/>
      <c r="AT177" s="498"/>
      <c r="AU177" s="498"/>
      <c r="AV177" s="498"/>
      <c r="AW177" s="498"/>
      <c r="AX177" s="498"/>
      <c r="AY177" s="498"/>
      <c r="AZ177" s="498"/>
      <c r="BA177" s="498"/>
      <c r="BB177" s="498"/>
      <c r="BC177" s="498"/>
      <c r="BD177" s="498"/>
      <c r="BE177" s="498"/>
      <c r="BF177" s="498"/>
      <c r="BG177" s="498"/>
      <c r="BH177" s="498"/>
      <c r="BI177" s="498"/>
      <c r="BK177" s="499"/>
    </row>
    <row r="178" spans="2:80" ht="12" customHeight="1">
      <c r="C178" s="497"/>
      <c r="BK178" s="499"/>
    </row>
    <row r="179" spans="2:80" ht="12" customHeight="1">
      <c r="C179" s="50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7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09"/>
    </row>
    <row r="180" spans="2:80" ht="12" customHeight="1" thickBot="1">
      <c r="C180" s="531"/>
      <c r="D180" s="532"/>
      <c r="E180" s="532"/>
      <c r="F180" s="532"/>
      <c r="G180" s="532"/>
      <c r="H180" s="532"/>
      <c r="I180" s="532"/>
      <c r="J180" s="532"/>
      <c r="K180" s="532"/>
      <c r="L180" s="532"/>
      <c r="M180" s="532"/>
      <c r="N180" s="532"/>
      <c r="O180" s="532"/>
      <c r="P180" s="532"/>
      <c r="Q180" s="533"/>
      <c r="R180" s="532"/>
      <c r="S180" s="532"/>
      <c r="T180" s="532"/>
      <c r="U180" s="532"/>
      <c r="V180" s="532"/>
      <c r="W180" s="532"/>
      <c r="X180" s="532"/>
      <c r="Y180" s="532"/>
      <c r="Z180" s="532"/>
      <c r="AA180" s="532"/>
      <c r="AB180" s="532"/>
      <c r="AC180" s="532"/>
      <c r="AD180" s="532"/>
      <c r="AE180" s="532"/>
      <c r="AF180" s="532"/>
      <c r="AG180" s="532"/>
      <c r="AH180" s="532"/>
      <c r="AI180" s="532"/>
      <c r="AJ180" s="532"/>
      <c r="AK180" s="532"/>
      <c r="AL180" s="532"/>
      <c r="AM180" s="532"/>
      <c r="AN180" s="532"/>
      <c r="AO180" s="532"/>
      <c r="AP180" s="532"/>
      <c r="AQ180" s="532"/>
      <c r="AR180" s="532"/>
      <c r="AS180" s="532"/>
      <c r="AT180" s="532"/>
      <c r="AU180" s="532"/>
      <c r="AV180" s="532"/>
      <c r="AW180" s="532"/>
      <c r="AX180" s="532"/>
      <c r="AY180" s="532"/>
      <c r="AZ180" s="532"/>
      <c r="BA180" s="532"/>
      <c r="BB180" s="532"/>
      <c r="BC180" s="532"/>
      <c r="BD180" s="532"/>
      <c r="BE180" s="532"/>
      <c r="BF180" s="532"/>
      <c r="BG180" s="532"/>
      <c r="BH180" s="532"/>
      <c r="BI180" s="532"/>
      <c r="BJ180" s="532"/>
      <c r="BK180" s="534"/>
    </row>
    <row r="188" spans="2:80" ht="28.5">
      <c r="B188" s="488" t="s">
        <v>871</v>
      </c>
    </row>
    <row r="189" spans="2:80" ht="12" customHeight="1">
      <c r="C189" s="489" t="s">
        <v>872</v>
      </c>
      <c r="D189" s="588"/>
    </row>
    <row r="190" spans="2:80" ht="12" customHeight="1" thickBot="1">
      <c r="C190" s="489" t="s">
        <v>1154</v>
      </c>
      <c r="D190" s="588"/>
    </row>
    <row r="191" spans="2:80" ht="12" customHeight="1">
      <c r="C191" s="490"/>
      <c r="D191" s="589" t="s">
        <v>735</v>
      </c>
      <c r="E191" s="589"/>
      <c r="F191" s="589"/>
      <c r="G191" s="548" t="s">
        <v>795</v>
      </c>
      <c r="H191" s="590"/>
      <c r="I191" s="590"/>
      <c r="J191" s="590"/>
      <c r="K191" s="590"/>
      <c r="L191" s="591"/>
      <c r="M191" s="491"/>
      <c r="N191" s="589" t="s">
        <v>697</v>
      </c>
      <c r="O191" s="589"/>
      <c r="P191" s="589"/>
      <c r="Q191" s="592" t="s">
        <v>794</v>
      </c>
      <c r="R191" s="590"/>
      <c r="S191" s="590"/>
      <c r="T191" s="590"/>
      <c r="U191" s="594" t="s">
        <v>1155</v>
      </c>
      <c r="V191" s="591"/>
      <c r="W191" s="491"/>
      <c r="X191" s="589" t="s">
        <v>874</v>
      </c>
      <c r="Y191" s="589"/>
      <c r="Z191" s="589"/>
      <c r="AA191" s="589"/>
      <c r="AB191" s="589"/>
      <c r="AC191" s="589"/>
      <c r="AD191" s="593" t="s">
        <v>1156</v>
      </c>
      <c r="AE191" s="590"/>
      <c r="AF191" s="590"/>
      <c r="AG191" s="590"/>
      <c r="AH191" s="590"/>
      <c r="AI191" s="590"/>
      <c r="AJ191" s="590"/>
      <c r="AK191" s="590"/>
      <c r="AL191" s="590"/>
      <c r="AM191" s="590"/>
      <c r="AN191" s="590"/>
      <c r="AO191" s="590"/>
      <c r="AP191" s="590"/>
      <c r="AQ191" s="590"/>
      <c r="AR191" s="590"/>
      <c r="AS191" s="590"/>
      <c r="AT191" s="590"/>
      <c r="AU191" s="590"/>
      <c r="AV191" s="590"/>
      <c r="AW191" s="590"/>
      <c r="AX191" s="590"/>
      <c r="AY191" s="590"/>
      <c r="AZ191" s="590"/>
      <c r="BA191" s="590"/>
      <c r="BB191" s="590"/>
      <c r="BC191" s="590"/>
      <c r="BD191" s="590"/>
      <c r="BE191" s="590"/>
      <c r="BF191" s="590"/>
      <c r="BG191" s="591"/>
      <c r="BH191" s="491"/>
      <c r="BI191" s="589" t="s">
        <v>875</v>
      </c>
      <c r="BJ191" s="589"/>
      <c r="BK191" s="589"/>
      <c r="BL191" s="594" t="s">
        <v>876</v>
      </c>
      <c r="BM191" s="590"/>
      <c r="BN191" s="590"/>
      <c r="BO191" s="590"/>
      <c r="BP191" s="590"/>
      <c r="BQ191" s="591"/>
      <c r="BR191" s="491"/>
      <c r="BS191" s="491"/>
      <c r="BT191" s="491"/>
      <c r="BU191" s="491"/>
      <c r="BV191" s="491"/>
      <c r="BW191" s="491"/>
      <c r="BX191" s="491"/>
      <c r="BY191" s="491"/>
      <c r="BZ191" s="491"/>
      <c r="CA191" s="491"/>
      <c r="CB191" s="493"/>
    </row>
    <row r="192" spans="2:80" ht="12" customHeight="1" thickBot="1">
      <c r="C192" s="497"/>
      <c r="D192" s="588" t="s">
        <v>877</v>
      </c>
      <c r="CB192" s="499"/>
    </row>
    <row r="193" spans="3:80" ht="12" customHeight="1">
      <c r="C193" s="497"/>
      <c r="D193" s="1122" t="s">
        <v>878</v>
      </c>
      <c r="E193" s="1123"/>
      <c r="F193" s="1128" t="s">
        <v>879</v>
      </c>
      <c r="G193" s="1129"/>
      <c r="H193" s="1130"/>
      <c r="I193" s="1128" t="s">
        <v>880</v>
      </c>
      <c r="J193" s="1129"/>
      <c r="K193" s="1129"/>
      <c r="L193" s="1129"/>
      <c r="M193" s="1129"/>
      <c r="N193" s="1130"/>
      <c r="O193" s="1128" t="s">
        <v>881</v>
      </c>
      <c r="P193" s="1130"/>
      <c r="Q193" s="1128" t="s">
        <v>882</v>
      </c>
      <c r="R193" s="1129"/>
      <c r="S193" s="1129"/>
      <c r="T193" s="1129"/>
      <c r="U193" s="1129"/>
      <c r="V193" s="1113" t="s">
        <v>883</v>
      </c>
      <c r="W193" s="1130"/>
      <c r="X193" s="1113" t="s">
        <v>884</v>
      </c>
      <c r="Y193" s="1114"/>
      <c r="Z193" s="1114"/>
      <c r="AA193" s="1115"/>
      <c r="AB193" s="1138" t="s">
        <v>885</v>
      </c>
      <c r="AC193" s="1138"/>
      <c r="AD193" s="1138"/>
      <c r="AE193" s="1138"/>
      <c r="AF193" s="1139" t="s">
        <v>886</v>
      </c>
      <c r="AG193" s="1138"/>
      <c r="AH193" s="1138"/>
      <c r="AI193" s="1138"/>
      <c r="AJ193" s="1138"/>
      <c r="AK193" s="1138"/>
      <c r="AL193" s="1138"/>
      <c r="AM193" s="1138"/>
      <c r="AN193" s="1138"/>
      <c r="AO193" s="1138"/>
      <c r="AP193" s="1138"/>
      <c r="AQ193" s="1138"/>
      <c r="AR193" s="1138"/>
      <c r="AS193" s="1138"/>
      <c r="AT193" s="1138"/>
      <c r="AU193" s="1138"/>
      <c r="AV193" s="1138"/>
      <c r="AW193" s="1138"/>
      <c r="AX193" s="1138"/>
      <c r="AY193" s="1138"/>
      <c r="AZ193" s="1138"/>
      <c r="BA193" s="1138"/>
      <c r="BB193" s="1138"/>
      <c r="BC193" s="1138"/>
      <c r="BD193" s="1138"/>
      <c r="BE193" s="1138"/>
      <c r="BF193" s="1138"/>
      <c r="BG193" s="1138"/>
      <c r="BH193" s="1138" t="s">
        <v>887</v>
      </c>
      <c r="BI193" s="1138"/>
      <c r="BJ193" s="1138"/>
      <c r="BK193" s="1138"/>
      <c r="BL193" s="1138" t="s">
        <v>888</v>
      </c>
      <c r="BM193" s="1138"/>
      <c r="BN193" s="1138"/>
      <c r="BO193" s="1138"/>
      <c r="BP193" s="1138" t="s">
        <v>889</v>
      </c>
      <c r="BQ193" s="1138"/>
      <c r="BR193" s="1138"/>
      <c r="BS193" s="1138"/>
      <c r="BT193" s="1129" t="s">
        <v>890</v>
      </c>
      <c r="BU193" s="1129"/>
      <c r="BV193" s="1129"/>
      <c r="BW193" s="1129"/>
      <c r="BX193" s="1129"/>
      <c r="BY193" s="1137"/>
      <c r="BZ193" s="595" t="s">
        <v>891</v>
      </c>
      <c r="CB193" s="499"/>
    </row>
    <row r="194" spans="3:80" ht="12" customHeight="1">
      <c r="C194" s="497"/>
      <c r="D194" s="1124"/>
      <c r="E194" s="1125"/>
      <c r="F194" s="1131"/>
      <c r="G194" s="1132"/>
      <c r="H194" s="1133"/>
      <c r="I194" s="1131"/>
      <c r="J194" s="1132"/>
      <c r="K194" s="1132"/>
      <c r="L194" s="1132"/>
      <c r="M194" s="1132"/>
      <c r="N194" s="1133"/>
      <c r="O194" s="1131"/>
      <c r="P194" s="1133"/>
      <c r="Q194" s="1131"/>
      <c r="R194" s="1132"/>
      <c r="S194" s="1132"/>
      <c r="T194" s="1132"/>
      <c r="U194" s="1132"/>
      <c r="V194" s="1131"/>
      <c r="W194" s="1133"/>
      <c r="X194" s="1116"/>
      <c r="Y194" s="1117"/>
      <c r="Z194" s="1117"/>
      <c r="AA194" s="1118"/>
      <c r="AB194" s="1101" t="s">
        <v>885</v>
      </c>
      <c r="AC194" s="1105"/>
      <c r="AD194" s="1105"/>
      <c r="AE194" s="1102"/>
      <c r="AF194" s="1081" t="s">
        <v>892</v>
      </c>
      <c r="AG194" s="1082"/>
      <c r="AH194" s="1082"/>
      <c r="AI194" s="1083"/>
      <c r="AJ194" s="1081" t="s">
        <v>893</v>
      </c>
      <c r="AK194" s="1082"/>
      <c r="AL194" s="1082"/>
      <c r="AM194" s="1083"/>
      <c r="AN194" s="1081" t="s">
        <v>894</v>
      </c>
      <c r="AO194" s="1082"/>
      <c r="AP194" s="1082"/>
      <c r="AQ194" s="1083"/>
      <c r="AR194" s="1081" t="s">
        <v>895</v>
      </c>
      <c r="AS194" s="1082"/>
      <c r="AT194" s="1082"/>
      <c r="AU194" s="1082"/>
      <c r="AV194" s="1081" t="s">
        <v>896</v>
      </c>
      <c r="AW194" s="1082"/>
      <c r="AX194" s="1082"/>
      <c r="AY194" s="1083"/>
      <c r="AZ194" s="1081" t="s">
        <v>897</v>
      </c>
      <c r="BA194" s="1082"/>
      <c r="BB194" s="1082"/>
      <c r="BC194" s="1083"/>
      <c r="BD194" s="1081" t="s">
        <v>898</v>
      </c>
      <c r="BE194" s="1082"/>
      <c r="BF194" s="1082"/>
      <c r="BG194" s="1083"/>
      <c r="BH194" s="1101" t="s">
        <v>899</v>
      </c>
      <c r="BI194" s="1105"/>
      <c r="BJ194" s="1105"/>
      <c r="BK194" s="1102"/>
      <c r="BL194" s="1101" t="s">
        <v>900</v>
      </c>
      <c r="BM194" s="1105"/>
      <c r="BN194" s="1105"/>
      <c r="BO194" s="1102"/>
      <c r="BP194" s="1101" t="s">
        <v>901</v>
      </c>
      <c r="BQ194" s="1105"/>
      <c r="BR194" s="1105"/>
      <c r="BS194" s="1102"/>
      <c r="BT194" s="1101" t="s">
        <v>902</v>
      </c>
      <c r="BU194" s="1102"/>
      <c r="BV194" s="1105" t="s">
        <v>903</v>
      </c>
      <c r="BW194" s="1102"/>
      <c r="BX194" s="1101" t="s">
        <v>904</v>
      </c>
      <c r="BY194" s="1107"/>
      <c r="BZ194" s="596"/>
      <c r="CB194" s="499"/>
    </row>
    <row r="195" spans="3:80" ht="12" customHeight="1" thickBot="1">
      <c r="C195" s="497"/>
      <c r="D195" s="1126"/>
      <c r="E195" s="1127"/>
      <c r="F195" s="1134"/>
      <c r="G195" s="1135"/>
      <c r="H195" s="1136"/>
      <c r="I195" s="1134"/>
      <c r="J195" s="1135"/>
      <c r="K195" s="1135"/>
      <c r="L195" s="1135"/>
      <c r="M195" s="1135"/>
      <c r="N195" s="1136"/>
      <c r="O195" s="1134"/>
      <c r="P195" s="1136"/>
      <c r="Q195" s="1134"/>
      <c r="R195" s="1135"/>
      <c r="S195" s="1135"/>
      <c r="T195" s="1135"/>
      <c r="U195" s="1135"/>
      <c r="V195" s="1134"/>
      <c r="W195" s="1136"/>
      <c r="X195" s="1119"/>
      <c r="Y195" s="1120"/>
      <c r="Z195" s="1120"/>
      <c r="AA195" s="1121"/>
      <c r="AB195" s="1103"/>
      <c r="AC195" s="1106"/>
      <c r="AD195" s="1106"/>
      <c r="AE195" s="1104"/>
      <c r="AF195" s="597" t="s">
        <v>905</v>
      </c>
      <c r="AG195" s="598"/>
      <c r="AH195" s="598"/>
      <c r="AI195" s="598"/>
      <c r="AJ195" s="598"/>
      <c r="AK195" s="598"/>
      <c r="AL195" s="598"/>
      <c r="AM195" s="598"/>
      <c r="AN195" s="598"/>
      <c r="AO195" s="598"/>
      <c r="AP195" s="598"/>
      <c r="AQ195" s="598"/>
      <c r="AR195" s="598"/>
      <c r="AS195" s="598"/>
      <c r="AT195" s="598"/>
      <c r="AU195" s="598"/>
      <c r="AV195" s="597" t="s">
        <v>906</v>
      </c>
      <c r="AW195" s="598"/>
      <c r="AX195" s="598"/>
      <c r="AY195" s="598"/>
      <c r="AZ195" s="598"/>
      <c r="BA195" s="598"/>
      <c r="BB195" s="598"/>
      <c r="BC195" s="598"/>
      <c r="BD195" s="598"/>
      <c r="BE195" s="598"/>
      <c r="BF195" s="598"/>
      <c r="BG195" s="599"/>
      <c r="BH195" s="1103"/>
      <c r="BI195" s="1106"/>
      <c r="BJ195" s="1106"/>
      <c r="BK195" s="1104"/>
      <c r="BL195" s="1103"/>
      <c r="BM195" s="1106"/>
      <c r="BN195" s="1106"/>
      <c r="BO195" s="1104"/>
      <c r="BP195" s="1109" t="s">
        <v>907</v>
      </c>
      <c r="BQ195" s="1110"/>
      <c r="BR195" s="1110"/>
      <c r="BS195" s="1111"/>
      <c r="BT195" s="1103"/>
      <c r="BU195" s="1104"/>
      <c r="BV195" s="1106"/>
      <c r="BW195" s="1104"/>
      <c r="BX195" s="1103"/>
      <c r="BY195" s="1108"/>
      <c r="BZ195" s="595"/>
      <c r="CB195" s="499"/>
    </row>
    <row r="196" spans="3:80" ht="12" customHeight="1">
      <c r="C196" s="497"/>
      <c r="D196" s="1277" t="s">
        <v>908</v>
      </c>
      <c r="E196" s="1278"/>
      <c r="F196" s="981" t="s">
        <v>909</v>
      </c>
      <c r="G196" s="982"/>
      <c r="H196" s="983"/>
      <c r="I196" s="990" t="s">
        <v>910</v>
      </c>
      <c r="J196" s="991"/>
      <c r="K196" s="996" t="s">
        <v>911</v>
      </c>
      <c r="L196" s="997"/>
      <c r="M196" s="997"/>
      <c r="N196" s="997"/>
      <c r="O196" s="1100">
        <v>30</v>
      </c>
      <c r="P196" s="1025"/>
      <c r="Q196" s="1011" t="s">
        <v>912</v>
      </c>
      <c r="R196" s="1012"/>
      <c r="S196" s="1012"/>
      <c r="T196" s="1012"/>
      <c r="U196" s="1013"/>
      <c r="V196" s="602" t="s">
        <v>755</v>
      </c>
      <c r="W196" s="603"/>
      <c r="X196" s="1011" t="s">
        <v>913</v>
      </c>
      <c r="Y196" s="1012"/>
      <c r="Z196" s="1012"/>
      <c r="AA196" s="1020"/>
      <c r="AB196" s="1068"/>
      <c r="AC196" s="1024"/>
      <c r="AD196" s="1024"/>
      <c r="AE196" s="1025"/>
      <c r="AF196" s="604" t="s">
        <v>914</v>
      </c>
      <c r="AG196" s="605"/>
      <c r="AH196" s="605"/>
      <c r="AI196" s="606"/>
      <c r="AJ196" s="604" t="s">
        <v>915</v>
      </c>
      <c r="AK196" s="605"/>
      <c r="AL196" s="605"/>
      <c r="AM196" s="606"/>
      <c r="AN196" s="605" t="s">
        <v>916</v>
      </c>
      <c r="AO196" s="605"/>
      <c r="AP196" s="605"/>
      <c r="AQ196" s="605"/>
      <c r="AR196" s="604" t="s">
        <v>917</v>
      </c>
      <c r="AS196" s="605"/>
      <c r="AT196" s="605"/>
      <c r="AU196" s="606"/>
      <c r="AV196" s="604" t="s">
        <v>918</v>
      </c>
      <c r="AW196" s="605"/>
      <c r="AX196" s="605"/>
      <c r="AY196" s="606"/>
      <c r="AZ196" s="604"/>
      <c r="BA196" s="605"/>
      <c r="BB196" s="605"/>
      <c r="BC196" s="606"/>
      <c r="BD196" s="957"/>
      <c r="BE196" s="958"/>
      <c r="BF196" s="958"/>
      <c r="BG196" s="959"/>
      <c r="BH196" s="1100"/>
      <c r="BI196" s="1024"/>
      <c r="BJ196" s="1024"/>
      <c r="BK196" s="1025"/>
      <c r="BL196" s="1100"/>
      <c r="BM196" s="1024"/>
      <c r="BN196" s="1024"/>
      <c r="BO196" s="1025"/>
      <c r="BP196" s="607"/>
      <c r="BQ196" s="608"/>
      <c r="BR196" s="608"/>
      <c r="BS196" s="609"/>
      <c r="BT196" s="610"/>
      <c r="BU196" s="611"/>
      <c r="BV196" s="612"/>
      <c r="BW196" s="613"/>
      <c r="BX196" s="1100"/>
      <c r="BY196" s="964"/>
      <c r="BZ196" s="595"/>
      <c r="CB196" s="499"/>
    </row>
    <row r="197" spans="3:80" ht="12" customHeight="1">
      <c r="C197" s="497"/>
      <c r="D197" s="1279"/>
      <c r="E197" s="1280"/>
      <c r="F197" s="984"/>
      <c r="G197" s="985"/>
      <c r="H197" s="986"/>
      <c r="I197" s="992"/>
      <c r="J197" s="993"/>
      <c r="K197" s="999"/>
      <c r="L197" s="1000"/>
      <c r="M197" s="1000"/>
      <c r="N197" s="1000"/>
      <c r="O197" s="1096"/>
      <c r="P197" s="1070"/>
      <c r="Q197" s="1014"/>
      <c r="R197" s="1015"/>
      <c r="S197" s="1015"/>
      <c r="T197" s="1015"/>
      <c r="U197" s="1016"/>
      <c r="V197" s="617"/>
      <c r="W197" s="618"/>
      <c r="X197" s="1014"/>
      <c r="Y197" s="1015"/>
      <c r="Z197" s="1015"/>
      <c r="AA197" s="1021"/>
      <c r="AB197" s="1026"/>
      <c r="AC197" s="1027"/>
      <c r="AD197" s="1027"/>
      <c r="AE197" s="1028"/>
      <c r="AF197" s="619" t="s">
        <v>830</v>
      </c>
      <c r="AG197" s="620"/>
      <c r="AH197" s="620"/>
      <c r="AI197" s="621"/>
      <c r="AJ197" s="619" t="s">
        <v>919</v>
      </c>
      <c r="AK197" s="620"/>
      <c r="AL197" s="620"/>
      <c r="AM197" s="621"/>
      <c r="AN197" s="619" t="s">
        <v>920</v>
      </c>
      <c r="AO197" s="620"/>
      <c r="AP197" s="620"/>
      <c r="AQ197" s="621"/>
      <c r="AR197" s="619" t="s">
        <v>919</v>
      </c>
      <c r="AS197" s="620"/>
      <c r="AT197" s="620"/>
      <c r="AU197" s="621"/>
      <c r="AV197" s="622"/>
      <c r="AW197" s="620"/>
      <c r="AX197" s="620"/>
      <c r="AY197" s="621"/>
      <c r="AZ197" s="622"/>
      <c r="BA197" s="620"/>
      <c r="BB197" s="620"/>
      <c r="BC197" s="621"/>
      <c r="BD197" s="1084"/>
      <c r="BE197" s="1085"/>
      <c r="BF197" s="1085"/>
      <c r="BG197" s="1086"/>
      <c r="BH197" s="972"/>
      <c r="BI197" s="973"/>
      <c r="BJ197" s="973"/>
      <c r="BK197" s="974"/>
      <c r="BL197" s="972"/>
      <c r="BM197" s="973"/>
      <c r="BN197" s="973"/>
      <c r="BO197" s="974"/>
      <c r="BP197" s="623"/>
      <c r="BQ197" s="624"/>
      <c r="BR197" s="624"/>
      <c r="BS197" s="625"/>
      <c r="BT197" s="626"/>
      <c r="BU197" s="627"/>
      <c r="BV197" s="628"/>
      <c r="BW197" s="629"/>
      <c r="BX197" s="965"/>
      <c r="BY197" s="966"/>
      <c r="BZ197" s="595"/>
      <c r="CB197" s="499"/>
    </row>
    <row r="198" spans="3:80" ht="12" customHeight="1" thickBot="1">
      <c r="C198" s="497"/>
      <c r="D198" s="1281"/>
      <c r="E198" s="1282"/>
      <c r="F198" s="987"/>
      <c r="G198" s="988"/>
      <c r="H198" s="989"/>
      <c r="I198" s="994"/>
      <c r="J198" s="995"/>
      <c r="K198" s="1002"/>
      <c r="L198" s="1003"/>
      <c r="M198" s="1003"/>
      <c r="N198" s="1003"/>
      <c r="O198" s="1112"/>
      <c r="P198" s="1073"/>
      <c r="Q198" s="1017"/>
      <c r="R198" s="1018"/>
      <c r="S198" s="1018"/>
      <c r="T198" s="1018"/>
      <c r="U198" s="1019"/>
      <c r="V198" s="632"/>
      <c r="W198" s="633"/>
      <c r="X198" s="1017"/>
      <c r="Y198" s="1018"/>
      <c r="Z198" s="1018"/>
      <c r="AA198" s="1022"/>
      <c r="AB198" s="1029"/>
      <c r="AC198" s="1030"/>
      <c r="AD198" s="1030"/>
      <c r="AE198" s="1031"/>
      <c r="AF198" s="634" t="s">
        <v>921</v>
      </c>
      <c r="AG198" s="635"/>
      <c r="AH198" s="635"/>
      <c r="AI198" s="635"/>
      <c r="AJ198" s="635"/>
      <c r="AK198" s="635"/>
      <c r="AL198" s="635"/>
      <c r="AM198" s="635"/>
      <c r="AN198" s="635"/>
      <c r="AO198" s="635"/>
      <c r="AP198" s="635"/>
      <c r="AQ198" s="635"/>
      <c r="AR198" s="635"/>
      <c r="AS198" s="635"/>
      <c r="AT198" s="635"/>
      <c r="AU198" s="636"/>
      <c r="AV198" s="637" t="s">
        <v>922</v>
      </c>
      <c r="AW198" s="638"/>
      <c r="AX198" s="638"/>
      <c r="AY198" s="638"/>
      <c r="AZ198" s="638"/>
      <c r="BA198" s="638"/>
      <c r="BB198" s="638"/>
      <c r="BC198" s="638"/>
      <c r="BD198" s="638"/>
      <c r="BE198" s="638"/>
      <c r="BF198" s="638"/>
      <c r="BG198" s="639"/>
      <c r="BH198" s="952"/>
      <c r="BI198" s="953"/>
      <c r="BJ198" s="953"/>
      <c r="BK198" s="954"/>
      <c r="BL198" s="952"/>
      <c r="BM198" s="953"/>
      <c r="BN198" s="953"/>
      <c r="BO198" s="954"/>
      <c r="BP198" s="640"/>
      <c r="BQ198" s="641"/>
      <c r="BR198" s="641"/>
      <c r="BS198" s="642"/>
      <c r="BT198" s="643"/>
      <c r="BU198" s="644"/>
      <c r="BV198" s="645"/>
      <c r="BW198" s="646"/>
      <c r="BX198" s="967"/>
      <c r="BY198" s="968"/>
      <c r="BZ198" s="595"/>
      <c r="CB198" s="499"/>
    </row>
    <row r="199" spans="3:80" ht="12" customHeight="1">
      <c r="C199" s="497"/>
      <c r="D199" s="1279" t="s">
        <v>923</v>
      </c>
      <c r="E199" s="1280"/>
      <c r="F199" s="984" t="s">
        <v>924</v>
      </c>
      <c r="G199" s="985"/>
      <c r="H199" s="986"/>
      <c r="I199" s="992" t="s">
        <v>925</v>
      </c>
      <c r="J199" s="993"/>
      <c r="K199" s="999" t="s">
        <v>926</v>
      </c>
      <c r="L199" s="1000"/>
      <c r="M199" s="1000"/>
      <c r="N199" s="1000"/>
      <c r="O199" s="1096">
        <v>30</v>
      </c>
      <c r="P199" s="1070"/>
      <c r="Q199" s="1014" t="s">
        <v>927</v>
      </c>
      <c r="R199" s="1015"/>
      <c r="S199" s="1015"/>
      <c r="T199" s="1015"/>
      <c r="U199" s="1016"/>
      <c r="V199" s="617" t="s">
        <v>928</v>
      </c>
      <c r="W199" s="647"/>
      <c r="X199" s="1011" t="s">
        <v>928</v>
      </c>
      <c r="Y199" s="1012"/>
      <c r="Z199" s="1012"/>
      <c r="AA199" s="1020"/>
      <c r="AB199" s="1023">
        <v>44990</v>
      </c>
      <c r="AC199" s="1024"/>
      <c r="AD199" s="1024"/>
      <c r="AE199" s="1025"/>
      <c r="AF199" s="648"/>
      <c r="AG199" s="567"/>
      <c r="AH199" s="567"/>
      <c r="AI199" s="649"/>
      <c r="AJ199" s="650" t="s">
        <v>929</v>
      </c>
      <c r="AK199" s="540"/>
      <c r="AL199" s="540"/>
      <c r="AM199" s="651"/>
      <c r="AN199" s="540" t="s">
        <v>930</v>
      </c>
      <c r="AO199" s="540"/>
      <c r="AP199" s="540"/>
      <c r="AQ199" s="540"/>
      <c r="AR199" s="650" t="s">
        <v>931</v>
      </c>
      <c r="AS199" s="540"/>
      <c r="AT199" s="540"/>
      <c r="AU199" s="540"/>
      <c r="AV199" s="652"/>
      <c r="AW199" s="653"/>
      <c r="AX199" s="653"/>
      <c r="AY199" s="654"/>
      <c r="AZ199" s="650"/>
      <c r="BA199" s="540"/>
      <c r="BB199" s="540"/>
      <c r="BC199" s="651"/>
      <c r="BD199" s="652"/>
      <c r="BE199" s="653"/>
      <c r="BF199" s="653"/>
      <c r="BG199" s="654"/>
      <c r="BH199" s="1092"/>
      <c r="BI199" s="1093"/>
      <c r="BJ199" s="1093"/>
      <c r="BK199" s="1094"/>
      <c r="BL199" s="1092"/>
      <c r="BM199" s="1093"/>
      <c r="BN199" s="1093"/>
      <c r="BO199" s="1094"/>
      <c r="BP199" s="623"/>
      <c r="BQ199" s="624"/>
      <c r="BR199" s="624"/>
      <c r="BS199" s="625"/>
      <c r="BT199" s="628"/>
      <c r="BU199" s="629"/>
      <c r="BV199" s="628"/>
      <c r="BW199" s="629"/>
      <c r="BX199" s="963" t="s">
        <v>919</v>
      </c>
      <c r="BY199" s="964"/>
      <c r="BZ199" s="595"/>
      <c r="CB199" s="499"/>
    </row>
    <row r="200" spans="3:80" ht="12" customHeight="1">
      <c r="C200" s="497"/>
      <c r="D200" s="1279"/>
      <c r="E200" s="1280"/>
      <c r="F200" s="984"/>
      <c r="G200" s="985"/>
      <c r="H200" s="986"/>
      <c r="I200" s="992"/>
      <c r="J200" s="993"/>
      <c r="K200" s="999"/>
      <c r="L200" s="1000"/>
      <c r="M200" s="1000"/>
      <c r="N200" s="1000"/>
      <c r="O200" s="1096"/>
      <c r="P200" s="1070"/>
      <c r="Q200" s="1014"/>
      <c r="R200" s="1015"/>
      <c r="S200" s="1015"/>
      <c r="T200" s="1015"/>
      <c r="U200" s="1016"/>
      <c r="V200" s="617"/>
      <c r="W200" s="647"/>
      <c r="X200" s="1014"/>
      <c r="Y200" s="1015"/>
      <c r="Z200" s="1015"/>
      <c r="AA200" s="1021"/>
      <c r="AB200" s="1026"/>
      <c r="AC200" s="1027"/>
      <c r="AD200" s="1027"/>
      <c r="AE200" s="1028"/>
      <c r="AF200" s="656"/>
      <c r="AG200" s="657"/>
      <c r="AH200" s="657"/>
      <c r="AI200" s="657"/>
      <c r="AJ200" s="658" t="s">
        <v>932</v>
      </c>
      <c r="AK200" s="659"/>
      <c r="AL200" s="659"/>
      <c r="AM200" s="660"/>
      <c r="AN200" s="658" t="s">
        <v>933</v>
      </c>
      <c r="AO200" s="659"/>
      <c r="AP200" s="659"/>
      <c r="AQ200" s="660"/>
      <c r="AR200" s="661" t="s">
        <v>934</v>
      </c>
      <c r="AS200" s="659"/>
      <c r="AT200" s="659"/>
      <c r="AU200" s="659"/>
      <c r="AV200" s="662"/>
      <c r="AW200" s="663"/>
      <c r="AX200" s="663"/>
      <c r="AY200" s="664"/>
      <c r="AZ200" s="665"/>
      <c r="BA200" s="666"/>
      <c r="BB200" s="666"/>
      <c r="BC200" s="667"/>
      <c r="BD200" s="662"/>
      <c r="BE200" s="663"/>
      <c r="BF200" s="663"/>
      <c r="BG200" s="664"/>
      <c r="BH200" s="972"/>
      <c r="BI200" s="973"/>
      <c r="BJ200" s="973"/>
      <c r="BK200" s="974"/>
      <c r="BL200" s="972"/>
      <c r="BM200" s="973"/>
      <c r="BN200" s="973"/>
      <c r="BO200" s="974"/>
      <c r="BP200" s="623"/>
      <c r="BQ200" s="624"/>
      <c r="BR200" s="624"/>
      <c r="BS200" s="625"/>
      <c r="BT200" s="628"/>
      <c r="BU200" s="629"/>
      <c r="BV200" s="628"/>
      <c r="BW200" s="629"/>
      <c r="BX200" s="965"/>
      <c r="BY200" s="966"/>
      <c r="BZ200" s="595"/>
      <c r="CB200" s="499"/>
    </row>
    <row r="201" spans="3:80" ht="12" customHeight="1">
      <c r="C201" s="497"/>
      <c r="D201" s="1279"/>
      <c r="E201" s="1280"/>
      <c r="F201" s="984"/>
      <c r="G201" s="985"/>
      <c r="H201" s="986"/>
      <c r="I201" s="992"/>
      <c r="J201" s="993"/>
      <c r="K201" s="1066"/>
      <c r="L201" s="1067"/>
      <c r="M201" s="1067"/>
      <c r="N201" s="1067"/>
      <c r="O201" s="1096"/>
      <c r="P201" s="1070"/>
      <c r="Q201" s="1014"/>
      <c r="R201" s="1015"/>
      <c r="S201" s="1015"/>
      <c r="T201" s="1015"/>
      <c r="U201" s="1016"/>
      <c r="V201" s="617"/>
      <c r="W201" s="647"/>
      <c r="X201" s="1014"/>
      <c r="Y201" s="1015"/>
      <c r="Z201" s="1015"/>
      <c r="AA201" s="1021"/>
      <c r="AB201" s="1026"/>
      <c r="AC201" s="1027"/>
      <c r="AD201" s="1027"/>
      <c r="AE201" s="1028"/>
      <c r="AF201" s="1095"/>
      <c r="AG201" s="1095"/>
      <c r="AH201" s="1095"/>
      <c r="AI201" s="1095"/>
      <c r="AJ201" s="1095"/>
      <c r="AK201" s="1095"/>
      <c r="AL201" s="1095"/>
      <c r="AM201" s="1095"/>
      <c r="AN201" s="1095"/>
      <c r="AO201" s="1095"/>
      <c r="AP201" s="1095"/>
      <c r="AQ201" s="1095"/>
      <c r="AR201" s="1095"/>
      <c r="AS201" s="1095"/>
      <c r="AT201" s="1095"/>
      <c r="AU201" s="1095"/>
      <c r="AV201" s="668"/>
      <c r="AW201" s="669"/>
      <c r="AX201" s="669"/>
      <c r="AY201" s="669"/>
      <c r="AZ201" s="669"/>
      <c r="BA201" s="669"/>
      <c r="BB201" s="669"/>
      <c r="BC201" s="669"/>
      <c r="BD201" s="669"/>
      <c r="BE201" s="669"/>
      <c r="BF201" s="669"/>
      <c r="BG201" s="669"/>
      <c r="BH201" s="972"/>
      <c r="BI201" s="973"/>
      <c r="BJ201" s="973"/>
      <c r="BK201" s="974"/>
      <c r="BL201" s="972"/>
      <c r="BM201" s="973"/>
      <c r="BN201" s="973"/>
      <c r="BO201" s="974"/>
      <c r="BP201" s="670"/>
      <c r="BQ201" s="671"/>
      <c r="BR201" s="671"/>
      <c r="BS201" s="672"/>
      <c r="BT201" s="628"/>
      <c r="BU201" s="629"/>
      <c r="BV201" s="628"/>
      <c r="BW201" s="629"/>
      <c r="BX201" s="965"/>
      <c r="BY201" s="966"/>
      <c r="BZ201" s="595"/>
      <c r="CB201" s="499"/>
    </row>
    <row r="202" spans="3:80" ht="12" customHeight="1">
      <c r="C202" s="497"/>
      <c r="D202" s="1279"/>
      <c r="E202" s="1280"/>
      <c r="F202" s="984"/>
      <c r="G202" s="985"/>
      <c r="H202" s="986"/>
      <c r="I202" s="1075" t="s">
        <v>935</v>
      </c>
      <c r="J202" s="1076"/>
      <c r="K202" s="1079" t="s">
        <v>936</v>
      </c>
      <c r="L202" s="1080"/>
      <c r="M202" s="1080"/>
      <c r="N202" s="1080"/>
      <c r="O202" s="1096"/>
      <c r="P202" s="1070"/>
      <c r="Q202" s="1014"/>
      <c r="R202" s="1015"/>
      <c r="S202" s="1015"/>
      <c r="T202" s="1015"/>
      <c r="U202" s="1016"/>
      <c r="V202" s="617"/>
      <c r="W202" s="647"/>
      <c r="X202" s="1014"/>
      <c r="Y202" s="1015"/>
      <c r="Z202" s="1015"/>
      <c r="AA202" s="1021"/>
      <c r="AB202" s="1026"/>
      <c r="AC202" s="1027"/>
      <c r="AD202" s="1027"/>
      <c r="AE202" s="1028"/>
      <c r="AF202" s="673" t="s">
        <v>937</v>
      </c>
      <c r="AG202" s="674"/>
      <c r="AH202" s="674"/>
      <c r="AI202" s="674"/>
      <c r="AJ202" s="673" t="s">
        <v>938</v>
      </c>
      <c r="AK202" s="674"/>
      <c r="AL202" s="674"/>
      <c r="AM202" s="675"/>
      <c r="AN202" s="676" t="s">
        <v>939</v>
      </c>
      <c r="AO202" s="677"/>
      <c r="AP202" s="677"/>
      <c r="AQ202" s="678"/>
      <c r="AR202" s="676" t="s">
        <v>940</v>
      </c>
      <c r="AS202" s="677"/>
      <c r="AT202" s="677"/>
      <c r="AU202" s="678"/>
      <c r="AV202" s="676" t="s">
        <v>941</v>
      </c>
      <c r="AW202" s="677"/>
      <c r="AX202" s="677"/>
      <c r="AY202" s="678"/>
      <c r="AZ202" s="676" t="s">
        <v>936</v>
      </c>
      <c r="BA202" s="677"/>
      <c r="BB202" s="677"/>
      <c r="BC202" s="678"/>
      <c r="BD202" s="674" t="s">
        <v>942</v>
      </c>
      <c r="BE202" s="674"/>
      <c r="BF202" s="674"/>
      <c r="BG202" s="674"/>
      <c r="BH202" s="972"/>
      <c r="BI202" s="973"/>
      <c r="BJ202" s="973"/>
      <c r="BK202" s="974"/>
      <c r="BL202" s="972"/>
      <c r="BM202" s="973"/>
      <c r="BN202" s="973"/>
      <c r="BO202" s="974"/>
      <c r="BP202" s="679"/>
      <c r="BQ202" s="680"/>
      <c r="BR202" s="680"/>
      <c r="BS202" s="681"/>
      <c r="BT202" s="628"/>
      <c r="BU202" s="629"/>
      <c r="BV202" s="628"/>
      <c r="BW202" s="629"/>
      <c r="BX202" s="965"/>
      <c r="BY202" s="966"/>
      <c r="BZ202" s="596"/>
      <c r="CB202" s="499"/>
    </row>
    <row r="203" spans="3:80" ht="12" customHeight="1">
      <c r="C203" s="497"/>
      <c r="D203" s="1279"/>
      <c r="E203" s="1280"/>
      <c r="F203" s="984"/>
      <c r="G203" s="985"/>
      <c r="H203" s="986"/>
      <c r="I203" s="992"/>
      <c r="J203" s="993"/>
      <c r="K203" s="999"/>
      <c r="L203" s="1000"/>
      <c r="M203" s="1000"/>
      <c r="N203" s="1000"/>
      <c r="O203" s="1096"/>
      <c r="P203" s="1070"/>
      <c r="Q203" s="1014"/>
      <c r="R203" s="1015"/>
      <c r="S203" s="1015"/>
      <c r="T203" s="1015"/>
      <c r="U203" s="1016"/>
      <c r="V203" s="617"/>
      <c r="W203" s="647"/>
      <c r="X203" s="1014"/>
      <c r="Y203" s="1015"/>
      <c r="Z203" s="1015"/>
      <c r="AA203" s="1021"/>
      <c r="AB203" s="1026"/>
      <c r="AC203" s="1027"/>
      <c r="AD203" s="1027"/>
      <c r="AE203" s="1028"/>
      <c r="AF203" s="682"/>
      <c r="AG203" s="659"/>
      <c r="AH203" s="659"/>
      <c r="AI203" s="660"/>
      <c r="AJ203" s="658" t="s">
        <v>943</v>
      </c>
      <c r="AK203" s="659"/>
      <c r="AL203" s="659"/>
      <c r="AM203" s="660"/>
      <c r="AN203" s="658" t="s">
        <v>933</v>
      </c>
      <c r="AO203" s="659"/>
      <c r="AP203" s="659"/>
      <c r="AQ203" s="660"/>
      <c r="AR203" s="658"/>
      <c r="AS203" s="659"/>
      <c r="AT203" s="659"/>
      <c r="AU203" s="660"/>
      <c r="AV203" s="658"/>
      <c r="AW203" s="659"/>
      <c r="AX203" s="659"/>
      <c r="AY203" s="660"/>
      <c r="AZ203" s="661" t="s">
        <v>944</v>
      </c>
      <c r="BA203" s="659"/>
      <c r="BB203" s="659"/>
      <c r="BC203" s="660"/>
      <c r="BD203" s="658" t="s">
        <v>945</v>
      </c>
      <c r="BE203" s="659"/>
      <c r="BF203" s="659"/>
      <c r="BG203" s="660"/>
      <c r="BH203" s="972"/>
      <c r="BI203" s="973"/>
      <c r="BJ203" s="973"/>
      <c r="BK203" s="974"/>
      <c r="BL203" s="972"/>
      <c r="BM203" s="973"/>
      <c r="BN203" s="973"/>
      <c r="BO203" s="974"/>
      <c r="BP203" s="683"/>
      <c r="BQ203" s="684"/>
      <c r="BR203" s="684"/>
      <c r="BS203" s="685"/>
      <c r="BT203" s="628"/>
      <c r="BU203" s="629"/>
      <c r="BV203" s="628"/>
      <c r="BW203" s="629"/>
      <c r="BX203" s="965"/>
      <c r="BY203" s="966"/>
      <c r="BZ203" s="596"/>
      <c r="CB203" s="499"/>
    </row>
    <row r="204" spans="3:80" ht="12" customHeight="1" thickBot="1">
      <c r="C204" s="497"/>
      <c r="D204" s="1283"/>
      <c r="E204" s="1284"/>
      <c r="F204" s="1063"/>
      <c r="G204" s="1064"/>
      <c r="H204" s="1065"/>
      <c r="I204" s="1077"/>
      <c r="J204" s="1078"/>
      <c r="K204" s="1066"/>
      <c r="L204" s="1067"/>
      <c r="M204" s="1067"/>
      <c r="N204" s="1067"/>
      <c r="O204" s="1092"/>
      <c r="P204" s="1094"/>
      <c r="Q204" s="1097"/>
      <c r="R204" s="1098"/>
      <c r="S204" s="1098"/>
      <c r="T204" s="1098"/>
      <c r="U204" s="1099"/>
      <c r="V204" s="686"/>
      <c r="W204" s="687"/>
      <c r="X204" s="1017"/>
      <c r="Y204" s="1018"/>
      <c r="Z204" s="1018"/>
      <c r="AA204" s="1022"/>
      <c r="AB204" s="1029"/>
      <c r="AC204" s="1030"/>
      <c r="AD204" s="1030"/>
      <c r="AE204" s="1031"/>
      <c r="AF204" s="688" t="s">
        <v>921</v>
      </c>
      <c r="AG204" s="689"/>
      <c r="AH204" s="689"/>
      <c r="AI204" s="689"/>
      <c r="AJ204" s="689"/>
      <c r="AK204" s="689"/>
      <c r="AL204" s="689"/>
      <c r="AM204" s="689"/>
      <c r="AN204" s="689"/>
      <c r="AO204" s="689"/>
      <c r="AP204" s="689"/>
      <c r="AQ204" s="689"/>
      <c r="AR204" s="689"/>
      <c r="AS204" s="689"/>
      <c r="AT204" s="689"/>
      <c r="AU204" s="690"/>
      <c r="AV204" s="691" t="s">
        <v>922</v>
      </c>
      <c r="AW204" s="692"/>
      <c r="AX204" s="692"/>
      <c r="AY204" s="692"/>
      <c r="AZ204" s="692"/>
      <c r="BA204" s="692"/>
      <c r="BB204" s="692"/>
      <c r="BC204" s="692"/>
      <c r="BD204" s="692"/>
      <c r="BE204" s="692"/>
      <c r="BF204" s="692"/>
      <c r="BG204" s="693"/>
      <c r="BH204" s="972"/>
      <c r="BI204" s="973"/>
      <c r="BJ204" s="973"/>
      <c r="BK204" s="974"/>
      <c r="BL204" s="972"/>
      <c r="BM204" s="973"/>
      <c r="BN204" s="973"/>
      <c r="BO204" s="974"/>
      <c r="BP204" s="694"/>
      <c r="BQ204" s="695"/>
      <c r="BR204" s="695"/>
      <c r="BS204" s="696"/>
      <c r="BT204" s="697"/>
      <c r="BU204" s="698"/>
      <c r="BV204" s="697"/>
      <c r="BW204" s="698"/>
      <c r="BX204" s="967"/>
      <c r="BY204" s="968"/>
      <c r="BZ204" s="596"/>
      <c r="CB204" s="499"/>
    </row>
    <row r="205" spans="3:80" ht="12" customHeight="1">
      <c r="C205" s="497"/>
      <c r="D205" s="1277" t="s">
        <v>946</v>
      </c>
      <c r="E205" s="1278"/>
      <c r="F205" s="981" t="s">
        <v>947</v>
      </c>
      <c r="G205" s="982"/>
      <c r="H205" s="983"/>
      <c r="I205" s="990" t="s">
        <v>948</v>
      </c>
      <c r="J205" s="991"/>
      <c r="K205" s="996" t="s">
        <v>949</v>
      </c>
      <c r="L205" s="997"/>
      <c r="M205" s="997"/>
      <c r="N205" s="997"/>
      <c r="O205" s="1005">
        <v>40</v>
      </c>
      <c r="P205" s="1006"/>
      <c r="Q205" s="1048" t="s">
        <v>950</v>
      </c>
      <c r="R205" s="1049"/>
      <c r="S205" s="1049"/>
      <c r="T205" s="1049"/>
      <c r="U205" s="1050"/>
      <c r="V205" s="602" t="s">
        <v>928</v>
      </c>
      <c r="W205" s="699"/>
      <c r="X205" s="602" t="s">
        <v>928</v>
      </c>
      <c r="Y205" s="699"/>
      <c r="Z205" s="602" t="s">
        <v>928</v>
      </c>
      <c r="AA205" s="699"/>
      <c r="AB205" s="1068"/>
      <c r="AC205" s="1024"/>
      <c r="AD205" s="1024"/>
      <c r="AE205" s="1025"/>
      <c r="AF205" s="604" t="s">
        <v>951</v>
      </c>
      <c r="AG205" s="605"/>
      <c r="AH205" s="605"/>
      <c r="AI205" s="605"/>
      <c r="AJ205" s="604" t="s">
        <v>952</v>
      </c>
      <c r="AK205" s="605"/>
      <c r="AL205" s="605"/>
      <c r="AM205" s="606"/>
      <c r="AN205" s="700" t="s">
        <v>953</v>
      </c>
      <c r="AO205" s="701"/>
      <c r="AP205" s="701"/>
      <c r="AQ205" s="702"/>
      <c r="AR205" s="700" t="s">
        <v>954</v>
      </c>
      <c r="AS205" s="701"/>
      <c r="AT205" s="701"/>
      <c r="AU205" s="702"/>
      <c r="AV205" s="700" t="s">
        <v>955</v>
      </c>
      <c r="AW205" s="701"/>
      <c r="AX205" s="701"/>
      <c r="AY205" s="702"/>
      <c r="AZ205" s="700" t="s">
        <v>238</v>
      </c>
      <c r="BA205" s="701"/>
      <c r="BB205" s="701"/>
      <c r="BC205" s="702"/>
      <c r="BD205" s="605" t="s">
        <v>956</v>
      </c>
      <c r="BE205" s="605"/>
      <c r="BF205" s="605"/>
      <c r="BG205" s="605"/>
      <c r="BH205" s="960"/>
      <c r="BI205" s="961"/>
      <c r="BJ205" s="961"/>
      <c r="BK205" s="962"/>
      <c r="BL205" s="960"/>
      <c r="BM205" s="961"/>
      <c r="BN205" s="961"/>
      <c r="BO205" s="962"/>
      <c r="BP205" s="607"/>
      <c r="BQ205" s="608"/>
      <c r="BR205" s="608"/>
      <c r="BS205" s="609"/>
      <c r="BT205" s="612"/>
      <c r="BU205" s="613"/>
      <c r="BV205" s="612"/>
      <c r="BW205" s="613"/>
      <c r="BX205" s="600"/>
      <c r="BY205" s="703"/>
      <c r="BZ205" s="595"/>
      <c r="CB205" s="499"/>
    </row>
    <row r="206" spans="3:80" ht="12" customHeight="1">
      <c r="C206" s="497"/>
      <c r="D206" s="1279"/>
      <c r="E206" s="1280"/>
      <c r="F206" s="984"/>
      <c r="G206" s="985"/>
      <c r="H206" s="986"/>
      <c r="I206" s="992"/>
      <c r="J206" s="993"/>
      <c r="K206" s="999"/>
      <c r="L206" s="1000"/>
      <c r="M206" s="1000"/>
      <c r="N206" s="1000"/>
      <c r="O206" s="1007"/>
      <c r="P206" s="1008"/>
      <c r="Q206" s="1051"/>
      <c r="R206" s="1052"/>
      <c r="S206" s="1052"/>
      <c r="T206" s="1052"/>
      <c r="U206" s="1053"/>
      <c r="V206" s="617"/>
      <c r="W206" s="647"/>
      <c r="X206" s="617"/>
      <c r="Y206" s="647"/>
      <c r="Z206" s="617"/>
      <c r="AA206" s="647"/>
      <c r="AB206" s="1069"/>
      <c r="AC206" s="891"/>
      <c r="AD206" s="891"/>
      <c r="AE206" s="1070"/>
      <c r="AF206" s="658" t="s">
        <v>957</v>
      </c>
      <c r="AG206" s="659"/>
      <c r="AH206" s="659"/>
      <c r="AI206" s="660"/>
      <c r="AJ206" s="658" t="s">
        <v>958</v>
      </c>
      <c r="AK206" s="659"/>
      <c r="AL206" s="659"/>
      <c r="AM206" s="660"/>
      <c r="AN206" s="658" t="s">
        <v>959</v>
      </c>
      <c r="AO206" s="659"/>
      <c r="AP206" s="659"/>
      <c r="AQ206" s="660"/>
      <c r="AR206" s="658" t="s">
        <v>960</v>
      </c>
      <c r="AS206" s="659"/>
      <c r="AT206" s="659"/>
      <c r="AU206" s="660"/>
      <c r="AV206" s="658" t="s">
        <v>961</v>
      </c>
      <c r="AW206" s="659"/>
      <c r="AX206" s="659"/>
      <c r="AY206" s="660"/>
      <c r="AZ206" s="661" t="s">
        <v>962</v>
      </c>
      <c r="BA206" s="659"/>
      <c r="BB206" s="659"/>
      <c r="BC206" s="660"/>
      <c r="BD206" s="658"/>
      <c r="BE206" s="659"/>
      <c r="BF206" s="659"/>
      <c r="BG206" s="660"/>
      <c r="BH206" s="972"/>
      <c r="BI206" s="973"/>
      <c r="BJ206" s="973"/>
      <c r="BK206" s="974"/>
      <c r="BL206" s="972"/>
      <c r="BM206" s="973"/>
      <c r="BN206" s="973"/>
      <c r="BO206" s="974"/>
      <c r="BP206" s="623"/>
      <c r="BQ206" s="624"/>
      <c r="BR206" s="624"/>
      <c r="BS206" s="625"/>
      <c r="BT206" s="628"/>
      <c r="BU206" s="629"/>
      <c r="BV206" s="628"/>
      <c r="BW206" s="629"/>
      <c r="BX206" s="614"/>
      <c r="BY206" s="704"/>
      <c r="BZ206" s="595"/>
      <c r="CB206" s="499"/>
    </row>
    <row r="207" spans="3:80" ht="12" customHeight="1">
      <c r="C207" s="497"/>
      <c r="D207" s="1279"/>
      <c r="E207" s="1280"/>
      <c r="F207" s="984"/>
      <c r="G207" s="985"/>
      <c r="H207" s="986"/>
      <c r="I207" s="992"/>
      <c r="J207" s="993"/>
      <c r="K207" s="1066"/>
      <c r="L207" s="1067"/>
      <c r="M207" s="1067"/>
      <c r="N207" s="1067"/>
      <c r="O207" s="1007"/>
      <c r="P207" s="1008"/>
      <c r="Q207" s="1051"/>
      <c r="R207" s="1052"/>
      <c r="S207" s="1052"/>
      <c r="T207" s="1052"/>
      <c r="U207" s="1053"/>
      <c r="V207" s="617"/>
      <c r="W207" s="647"/>
      <c r="X207" s="617"/>
      <c r="Y207" s="647"/>
      <c r="Z207" s="617"/>
      <c r="AA207" s="647"/>
      <c r="AB207" s="1069"/>
      <c r="AC207" s="891"/>
      <c r="AD207" s="891"/>
      <c r="AE207" s="1070"/>
      <c r="AF207" s="1057"/>
      <c r="AG207" s="1057"/>
      <c r="AH207" s="1057"/>
      <c r="AI207" s="1057"/>
      <c r="AJ207" s="1057"/>
      <c r="AK207" s="1057"/>
      <c r="AL207" s="1057"/>
      <c r="AM207" s="1057"/>
      <c r="AN207" s="1057"/>
      <c r="AO207" s="1057"/>
      <c r="AP207" s="1057"/>
      <c r="AQ207" s="1057"/>
      <c r="AR207" s="1057"/>
      <c r="AS207" s="1057"/>
      <c r="AT207" s="1057"/>
      <c r="AU207" s="1057"/>
      <c r="AV207" s="1058"/>
      <c r="AW207" s="1059"/>
      <c r="AX207" s="1059"/>
      <c r="AY207" s="1059"/>
      <c r="AZ207" s="1059"/>
      <c r="BA207" s="1059"/>
      <c r="BB207" s="1059"/>
      <c r="BC207" s="1059"/>
      <c r="BD207" s="1059"/>
      <c r="BE207" s="1059"/>
      <c r="BF207" s="1059"/>
      <c r="BG207" s="1060"/>
      <c r="BH207" s="972"/>
      <c r="BI207" s="973"/>
      <c r="BJ207" s="973"/>
      <c r="BK207" s="974"/>
      <c r="BL207" s="972"/>
      <c r="BM207" s="973"/>
      <c r="BN207" s="973"/>
      <c r="BO207" s="974"/>
      <c r="BP207" s="670"/>
      <c r="BQ207" s="671"/>
      <c r="BR207" s="671"/>
      <c r="BS207" s="672"/>
      <c r="BT207" s="628"/>
      <c r="BU207" s="629"/>
      <c r="BV207" s="628"/>
      <c r="BW207" s="629"/>
      <c r="BX207" s="614"/>
      <c r="BY207" s="704"/>
      <c r="BZ207" s="595"/>
      <c r="CB207" s="499"/>
    </row>
    <row r="208" spans="3:80" ht="12" customHeight="1">
      <c r="C208" s="497"/>
      <c r="D208" s="1279"/>
      <c r="E208" s="1280"/>
      <c r="F208" s="984"/>
      <c r="G208" s="985"/>
      <c r="H208" s="986"/>
      <c r="I208" s="1075" t="s">
        <v>963</v>
      </c>
      <c r="J208" s="1076"/>
      <c r="K208" s="1079" t="s">
        <v>964</v>
      </c>
      <c r="L208" s="1080"/>
      <c r="M208" s="1080"/>
      <c r="N208" s="1080"/>
      <c r="O208" s="1007"/>
      <c r="P208" s="1008"/>
      <c r="Q208" s="1051"/>
      <c r="R208" s="1052"/>
      <c r="S208" s="1052"/>
      <c r="T208" s="1052"/>
      <c r="U208" s="1053"/>
      <c r="V208" s="617"/>
      <c r="W208" s="647"/>
      <c r="X208" s="617"/>
      <c r="Y208" s="647"/>
      <c r="Z208" s="617"/>
      <c r="AA208" s="647"/>
      <c r="AB208" s="1069"/>
      <c r="AC208" s="891"/>
      <c r="AD208" s="891"/>
      <c r="AE208" s="1070"/>
      <c r="AF208" s="673" t="s">
        <v>951</v>
      </c>
      <c r="AG208" s="674"/>
      <c r="AH208" s="674"/>
      <c r="AI208" s="674"/>
      <c r="AJ208" s="673" t="s">
        <v>952</v>
      </c>
      <c r="AK208" s="674"/>
      <c r="AL208" s="674"/>
      <c r="AM208" s="675"/>
      <c r="AN208" s="673"/>
      <c r="AO208" s="674"/>
      <c r="AP208" s="674"/>
      <c r="AQ208" s="675"/>
      <c r="AR208" s="673"/>
      <c r="AS208" s="674"/>
      <c r="AT208" s="674"/>
      <c r="AU208" s="675"/>
      <c r="AV208" s="1081"/>
      <c r="AW208" s="1082"/>
      <c r="AX208" s="1082"/>
      <c r="AY208" s="1083"/>
      <c r="AZ208" s="673"/>
      <c r="BA208" s="674"/>
      <c r="BB208" s="674"/>
      <c r="BC208" s="675"/>
      <c r="BD208" s="1081"/>
      <c r="BE208" s="1082"/>
      <c r="BF208" s="1082"/>
      <c r="BG208" s="1083"/>
      <c r="BH208" s="972"/>
      <c r="BI208" s="973"/>
      <c r="BJ208" s="973"/>
      <c r="BK208" s="974"/>
      <c r="BL208" s="972"/>
      <c r="BM208" s="973"/>
      <c r="BN208" s="973"/>
      <c r="BO208" s="974"/>
      <c r="BP208" s="679"/>
      <c r="BQ208" s="680"/>
      <c r="BR208" s="680"/>
      <c r="BS208" s="681"/>
      <c r="BT208" s="628"/>
      <c r="BU208" s="629"/>
      <c r="BV208" s="628"/>
      <c r="BW208" s="629"/>
      <c r="BX208" s="614"/>
      <c r="BY208" s="704"/>
      <c r="BZ208" s="596"/>
      <c r="CB208" s="499"/>
    </row>
    <row r="209" spans="3:80" ht="12" customHeight="1">
      <c r="C209" s="497"/>
      <c r="D209" s="1279"/>
      <c r="E209" s="1280"/>
      <c r="F209" s="984"/>
      <c r="G209" s="985"/>
      <c r="H209" s="986"/>
      <c r="I209" s="992"/>
      <c r="J209" s="993"/>
      <c r="K209" s="999"/>
      <c r="L209" s="1000"/>
      <c r="M209" s="1000"/>
      <c r="N209" s="1000"/>
      <c r="O209" s="1007"/>
      <c r="P209" s="1008"/>
      <c r="Q209" s="1051"/>
      <c r="R209" s="1052"/>
      <c r="S209" s="1052"/>
      <c r="T209" s="1052"/>
      <c r="U209" s="1053"/>
      <c r="V209" s="617"/>
      <c r="W209" s="647"/>
      <c r="X209" s="617"/>
      <c r="Y209" s="647"/>
      <c r="Z209" s="617"/>
      <c r="AA209" s="647"/>
      <c r="AB209" s="1069"/>
      <c r="AC209" s="891"/>
      <c r="AD209" s="891"/>
      <c r="AE209" s="1070"/>
      <c r="AF209" s="658" t="s">
        <v>957</v>
      </c>
      <c r="AG209" s="659"/>
      <c r="AH209" s="659"/>
      <c r="AI209" s="660"/>
      <c r="AJ209" s="658" t="s">
        <v>965</v>
      </c>
      <c r="AK209" s="659"/>
      <c r="AL209" s="659"/>
      <c r="AM209" s="660"/>
      <c r="AN209" s="665"/>
      <c r="AO209" s="666"/>
      <c r="AP209" s="666"/>
      <c r="AQ209" s="667"/>
      <c r="AR209" s="665"/>
      <c r="AS209" s="666"/>
      <c r="AT209" s="666"/>
      <c r="AU209" s="667"/>
      <c r="AV209" s="1045"/>
      <c r="AW209" s="1046"/>
      <c r="AX209" s="1046"/>
      <c r="AY209" s="1047"/>
      <c r="AZ209" s="665"/>
      <c r="BA209" s="666"/>
      <c r="BB209" s="666"/>
      <c r="BC209" s="667"/>
      <c r="BD209" s="1045"/>
      <c r="BE209" s="1046"/>
      <c r="BF209" s="1046"/>
      <c r="BG209" s="1047"/>
      <c r="BH209" s="972"/>
      <c r="BI209" s="973"/>
      <c r="BJ209" s="973"/>
      <c r="BK209" s="974"/>
      <c r="BL209" s="972"/>
      <c r="BM209" s="973"/>
      <c r="BN209" s="973"/>
      <c r="BO209" s="974"/>
      <c r="BP209" s="683"/>
      <c r="BQ209" s="684"/>
      <c r="BR209" s="684"/>
      <c r="BS209" s="685"/>
      <c r="BT209" s="628"/>
      <c r="BU209" s="629"/>
      <c r="BV209" s="628"/>
      <c r="BW209" s="629"/>
      <c r="BX209" s="614"/>
      <c r="BY209" s="704"/>
      <c r="BZ209" s="596"/>
      <c r="CB209" s="499"/>
    </row>
    <row r="210" spans="3:80" ht="12" customHeight="1" thickBot="1">
      <c r="C210" s="497"/>
      <c r="D210" s="1283"/>
      <c r="E210" s="1284"/>
      <c r="F210" s="1063"/>
      <c r="G210" s="1064"/>
      <c r="H210" s="1065"/>
      <c r="I210" s="1077"/>
      <c r="J210" s="1078"/>
      <c r="K210" s="1066"/>
      <c r="L210" s="1067"/>
      <c r="M210" s="1067"/>
      <c r="N210" s="1067"/>
      <c r="O210" s="1087"/>
      <c r="P210" s="1088"/>
      <c r="Q210" s="1089"/>
      <c r="R210" s="1090"/>
      <c r="S210" s="1090"/>
      <c r="T210" s="1090"/>
      <c r="U210" s="1091"/>
      <c r="V210" s="686"/>
      <c r="W210" s="687"/>
      <c r="X210" s="686"/>
      <c r="Y210" s="687"/>
      <c r="Z210" s="686"/>
      <c r="AA210" s="687"/>
      <c r="AB210" s="1071"/>
      <c r="AC210" s="1072"/>
      <c r="AD210" s="1072"/>
      <c r="AE210" s="1073"/>
      <c r="AF210" s="1074"/>
      <c r="AG210" s="1074"/>
      <c r="AH210" s="1074"/>
      <c r="AI210" s="1074"/>
      <c r="AJ210" s="1074"/>
      <c r="AK210" s="1074"/>
      <c r="AL210" s="1074"/>
      <c r="AM210" s="1074"/>
      <c r="AN210" s="1074"/>
      <c r="AO210" s="1074"/>
      <c r="AP210" s="1074"/>
      <c r="AQ210" s="1074"/>
      <c r="AR210" s="1074"/>
      <c r="AS210" s="1074"/>
      <c r="AT210" s="1074"/>
      <c r="AU210" s="1074"/>
      <c r="AV210" s="1058"/>
      <c r="AW210" s="1059"/>
      <c r="AX210" s="1059"/>
      <c r="AY210" s="1059"/>
      <c r="AZ210" s="1059"/>
      <c r="BA210" s="1059"/>
      <c r="BB210" s="1059"/>
      <c r="BC210" s="1059"/>
      <c r="BD210" s="1059"/>
      <c r="BE210" s="1059"/>
      <c r="BF210" s="1059"/>
      <c r="BG210" s="1060"/>
      <c r="BH210" s="972"/>
      <c r="BI210" s="973"/>
      <c r="BJ210" s="973"/>
      <c r="BK210" s="974"/>
      <c r="BL210" s="972"/>
      <c r="BM210" s="973"/>
      <c r="BN210" s="973"/>
      <c r="BO210" s="974"/>
      <c r="BP210" s="694"/>
      <c r="BQ210" s="695"/>
      <c r="BR210" s="695"/>
      <c r="BS210" s="696"/>
      <c r="BT210" s="697"/>
      <c r="BU210" s="698"/>
      <c r="BV210" s="697"/>
      <c r="BW210" s="698"/>
      <c r="BX210" s="655"/>
      <c r="BY210" s="705"/>
      <c r="BZ210" s="596"/>
      <c r="CB210" s="499"/>
    </row>
    <row r="211" spans="3:80" ht="12" customHeight="1">
      <c r="C211" s="497"/>
      <c r="D211" s="1277" t="s">
        <v>966</v>
      </c>
      <c r="E211" s="1278"/>
      <c r="F211" s="981" t="s">
        <v>967</v>
      </c>
      <c r="G211" s="982"/>
      <c r="H211" s="983"/>
      <c r="I211" s="990" t="s">
        <v>968</v>
      </c>
      <c r="J211" s="991"/>
      <c r="K211" s="996" t="s">
        <v>967</v>
      </c>
      <c r="L211" s="997"/>
      <c r="M211" s="997"/>
      <c r="N211" s="997"/>
      <c r="O211" s="1005">
        <v>40</v>
      </c>
      <c r="P211" s="1006"/>
      <c r="Q211" s="1048" t="s">
        <v>969</v>
      </c>
      <c r="R211" s="1049"/>
      <c r="S211" s="1049"/>
      <c r="T211" s="1049"/>
      <c r="U211" s="1050"/>
      <c r="V211" s="602" t="s">
        <v>755</v>
      </c>
      <c r="W211" s="699"/>
      <c r="X211" s="602" t="s">
        <v>755</v>
      </c>
      <c r="Y211" s="699"/>
      <c r="Z211" s="602" t="s">
        <v>755</v>
      </c>
      <c r="AA211" s="699"/>
      <c r="AB211" s="1068"/>
      <c r="AC211" s="1024"/>
      <c r="AD211" s="1024"/>
      <c r="AE211" s="1025"/>
      <c r="AF211" s="604" t="s">
        <v>970</v>
      </c>
      <c r="AG211" s="605"/>
      <c r="AH211" s="605"/>
      <c r="AI211" s="606"/>
      <c r="AJ211" s="604" t="s">
        <v>971</v>
      </c>
      <c r="AK211" s="605"/>
      <c r="AL211" s="605"/>
      <c r="AM211" s="606"/>
      <c r="AN211" s="604" t="s">
        <v>972</v>
      </c>
      <c r="AO211" s="605"/>
      <c r="AP211" s="605"/>
      <c r="AQ211" s="606"/>
      <c r="AR211" s="604" t="s">
        <v>973</v>
      </c>
      <c r="AS211" s="605"/>
      <c r="AT211" s="605"/>
      <c r="AU211" s="606"/>
      <c r="AV211" s="957" t="s">
        <v>974</v>
      </c>
      <c r="AW211" s="958"/>
      <c r="AX211" s="958"/>
      <c r="AY211" s="959"/>
      <c r="AZ211" s="604" t="s">
        <v>975</v>
      </c>
      <c r="BA211" s="605"/>
      <c r="BB211" s="605"/>
      <c r="BC211" s="606"/>
      <c r="BD211" s="957" t="s">
        <v>976</v>
      </c>
      <c r="BE211" s="958"/>
      <c r="BF211" s="958"/>
      <c r="BG211" s="959"/>
      <c r="BH211" s="960"/>
      <c r="BI211" s="961"/>
      <c r="BJ211" s="961"/>
      <c r="BK211" s="962"/>
      <c r="BL211" s="960"/>
      <c r="BM211" s="961"/>
      <c r="BN211" s="961"/>
      <c r="BO211" s="962"/>
      <c r="BP211" s="607"/>
      <c r="BQ211" s="608"/>
      <c r="BR211" s="608"/>
      <c r="BS211" s="609"/>
      <c r="BT211" s="600"/>
      <c r="BU211" s="601"/>
      <c r="BV211" s="600"/>
      <c r="BW211" s="601"/>
      <c r="BX211" s="600"/>
      <c r="BY211" s="703"/>
      <c r="BZ211" s="595"/>
      <c r="CB211" s="499"/>
    </row>
    <row r="212" spans="3:80" ht="12" customHeight="1">
      <c r="C212" s="497"/>
      <c r="D212" s="1279"/>
      <c r="E212" s="1280"/>
      <c r="F212" s="984"/>
      <c r="G212" s="985"/>
      <c r="H212" s="986"/>
      <c r="I212" s="992"/>
      <c r="J212" s="993"/>
      <c r="K212" s="999"/>
      <c r="L212" s="1000"/>
      <c r="M212" s="1000"/>
      <c r="N212" s="1000"/>
      <c r="O212" s="1007"/>
      <c r="P212" s="1008"/>
      <c r="Q212" s="1051"/>
      <c r="R212" s="1052"/>
      <c r="S212" s="1052"/>
      <c r="T212" s="1052"/>
      <c r="U212" s="1053"/>
      <c r="V212" s="617"/>
      <c r="W212" s="647"/>
      <c r="X212" s="617"/>
      <c r="Y212" s="647"/>
      <c r="Z212" s="617"/>
      <c r="AA212" s="647"/>
      <c r="AB212" s="1069"/>
      <c r="AC212" s="891"/>
      <c r="AD212" s="891"/>
      <c r="AE212" s="1070"/>
      <c r="AF212" s="661"/>
      <c r="AG212" s="659"/>
      <c r="AH212" s="659"/>
      <c r="AI212" s="660"/>
      <c r="AJ212" s="661" t="s">
        <v>977</v>
      </c>
      <c r="AK212" s="659"/>
      <c r="AL212" s="659"/>
      <c r="AM212" s="660"/>
      <c r="AN212" s="665" t="s">
        <v>978</v>
      </c>
      <c r="AO212" s="666"/>
      <c r="AP212" s="666"/>
      <c r="AQ212" s="667"/>
      <c r="AR212" s="665"/>
      <c r="AS212" s="666"/>
      <c r="AT212" s="666"/>
      <c r="AU212" s="667"/>
      <c r="AV212" s="1045" t="s">
        <v>979</v>
      </c>
      <c r="AW212" s="1046"/>
      <c r="AX212" s="1046"/>
      <c r="AY212" s="1047"/>
      <c r="AZ212" s="665" t="s">
        <v>979</v>
      </c>
      <c r="BA212" s="666"/>
      <c r="BB212" s="666"/>
      <c r="BC212" s="667"/>
      <c r="BD212" s="1045" t="s">
        <v>979</v>
      </c>
      <c r="BE212" s="1046"/>
      <c r="BF212" s="1046"/>
      <c r="BG212" s="1047"/>
      <c r="BH212" s="972"/>
      <c r="BI212" s="973"/>
      <c r="BJ212" s="973"/>
      <c r="BK212" s="974"/>
      <c r="BL212" s="972"/>
      <c r="BM212" s="973"/>
      <c r="BN212" s="973"/>
      <c r="BO212" s="974"/>
      <c r="BP212" s="623"/>
      <c r="BQ212" s="624"/>
      <c r="BR212" s="624"/>
      <c r="BS212" s="625"/>
      <c r="BT212" s="614"/>
      <c r="BU212" s="615"/>
      <c r="BV212" s="614"/>
      <c r="BW212" s="615"/>
      <c r="BX212" s="614"/>
      <c r="BY212" s="704"/>
      <c r="BZ212" s="596"/>
      <c r="CB212" s="499"/>
    </row>
    <row r="213" spans="3:80" ht="12" customHeight="1" thickBot="1">
      <c r="C213" s="497"/>
      <c r="D213" s="1283"/>
      <c r="E213" s="1284"/>
      <c r="F213" s="1063"/>
      <c r="G213" s="1064"/>
      <c r="H213" s="1065"/>
      <c r="I213" s="1077"/>
      <c r="J213" s="1078"/>
      <c r="K213" s="1066"/>
      <c r="L213" s="1067"/>
      <c r="M213" s="1067"/>
      <c r="N213" s="1067"/>
      <c r="O213" s="1007"/>
      <c r="P213" s="1008"/>
      <c r="Q213" s="1051"/>
      <c r="R213" s="1052"/>
      <c r="S213" s="1052"/>
      <c r="T213" s="1052"/>
      <c r="U213" s="1053"/>
      <c r="V213" s="617"/>
      <c r="W213" s="647"/>
      <c r="X213" s="617"/>
      <c r="Y213" s="647"/>
      <c r="Z213" s="617"/>
      <c r="AA213" s="647"/>
      <c r="AB213" s="1071"/>
      <c r="AC213" s="1072"/>
      <c r="AD213" s="1072"/>
      <c r="AE213" s="1073"/>
      <c r="AF213" s="1074"/>
      <c r="AG213" s="1074"/>
      <c r="AH213" s="1074"/>
      <c r="AI213" s="1074"/>
      <c r="AJ213" s="1074"/>
      <c r="AK213" s="1074"/>
      <c r="AL213" s="1074"/>
      <c r="AM213" s="1074"/>
      <c r="AN213" s="1074"/>
      <c r="AO213" s="1074"/>
      <c r="AP213" s="1074"/>
      <c r="AQ213" s="1074"/>
      <c r="AR213" s="1074"/>
      <c r="AS213" s="1074"/>
      <c r="AT213" s="1074"/>
      <c r="AU213" s="1074"/>
      <c r="AV213" s="1058"/>
      <c r="AW213" s="1059"/>
      <c r="AX213" s="1059"/>
      <c r="AY213" s="1059"/>
      <c r="AZ213" s="1059"/>
      <c r="BA213" s="1059"/>
      <c r="BB213" s="1059"/>
      <c r="BC213" s="1059"/>
      <c r="BD213" s="1059"/>
      <c r="BE213" s="1059"/>
      <c r="BF213" s="1059"/>
      <c r="BG213" s="1060"/>
      <c r="BH213" s="972"/>
      <c r="BI213" s="973"/>
      <c r="BJ213" s="973"/>
      <c r="BK213" s="974"/>
      <c r="BL213" s="972"/>
      <c r="BM213" s="973"/>
      <c r="BN213" s="973"/>
      <c r="BO213" s="974"/>
      <c r="BP213" s="670"/>
      <c r="BQ213" s="671"/>
      <c r="BR213" s="671"/>
      <c r="BS213" s="672"/>
      <c r="BT213" s="614"/>
      <c r="BU213" s="615"/>
      <c r="BV213" s="614"/>
      <c r="BW213" s="615"/>
      <c r="BX213" s="614"/>
      <c r="BY213" s="704"/>
      <c r="BZ213" s="595"/>
      <c r="CB213" s="499"/>
    </row>
    <row r="214" spans="3:80" ht="12" customHeight="1">
      <c r="C214" s="497"/>
      <c r="D214" s="1277" t="s">
        <v>980</v>
      </c>
      <c r="E214" s="1278"/>
      <c r="F214" s="981" t="s">
        <v>981</v>
      </c>
      <c r="G214" s="982"/>
      <c r="H214" s="983"/>
      <c r="I214" s="990" t="s">
        <v>982</v>
      </c>
      <c r="J214" s="991"/>
      <c r="K214" s="996" t="s">
        <v>983</v>
      </c>
      <c r="L214" s="997"/>
      <c r="M214" s="997"/>
      <c r="N214" s="997"/>
      <c r="O214" s="1005">
        <v>40</v>
      </c>
      <c r="P214" s="1006"/>
      <c r="Q214" s="1048" t="s">
        <v>950</v>
      </c>
      <c r="R214" s="1049"/>
      <c r="S214" s="1049"/>
      <c r="T214" s="1049"/>
      <c r="U214" s="1050"/>
      <c r="V214" s="602" t="s">
        <v>928</v>
      </c>
      <c r="W214" s="699"/>
      <c r="X214" s="602" t="s">
        <v>928</v>
      </c>
      <c r="Y214" s="699"/>
      <c r="Z214" s="602" t="s">
        <v>928</v>
      </c>
      <c r="AA214" s="699"/>
      <c r="AB214" s="1068"/>
      <c r="AC214" s="1024"/>
      <c r="AD214" s="1024"/>
      <c r="AE214" s="1025"/>
      <c r="AF214" s="604" t="s">
        <v>984</v>
      </c>
      <c r="AG214" s="605"/>
      <c r="AH214" s="605"/>
      <c r="AI214" s="605"/>
      <c r="AJ214" s="604" t="s">
        <v>985</v>
      </c>
      <c r="AK214" s="605"/>
      <c r="AL214" s="605"/>
      <c r="AM214" s="606"/>
      <c r="AN214" s="604" t="s">
        <v>986</v>
      </c>
      <c r="AO214" s="605"/>
      <c r="AP214" s="605"/>
      <c r="AQ214" s="606"/>
      <c r="AR214" s="604"/>
      <c r="AS214" s="605"/>
      <c r="AT214" s="605"/>
      <c r="AU214" s="606"/>
      <c r="AV214" s="957"/>
      <c r="AW214" s="958"/>
      <c r="AX214" s="958"/>
      <c r="AY214" s="959"/>
      <c r="AZ214" s="604"/>
      <c r="BA214" s="605"/>
      <c r="BB214" s="605"/>
      <c r="BC214" s="606"/>
      <c r="BD214" s="957"/>
      <c r="BE214" s="958"/>
      <c r="BF214" s="958"/>
      <c r="BG214" s="959"/>
      <c r="BH214" s="960"/>
      <c r="BI214" s="961"/>
      <c r="BJ214" s="961"/>
      <c r="BK214" s="962"/>
      <c r="BL214" s="960"/>
      <c r="BM214" s="961"/>
      <c r="BN214" s="961"/>
      <c r="BO214" s="962"/>
      <c r="BP214" s="607"/>
      <c r="BQ214" s="608"/>
      <c r="BR214" s="608"/>
      <c r="BS214" s="609"/>
      <c r="BT214" s="612"/>
      <c r="BU214" s="613"/>
      <c r="BV214" s="612"/>
      <c r="BW214" s="613"/>
      <c r="BX214" s="600"/>
      <c r="BY214" s="703"/>
      <c r="BZ214" s="595"/>
      <c r="CB214" s="499"/>
    </row>
    <row r="215" spans="3:80" ht="12" customHeight="1">
      <c r="C215" s="497"/>
      <c r="D215" s="1279"/>
      <c r="E215" s="1280"/>
      <c r="F215" s="984"/>
      <c r="G215" s="985"/>
      <c r="H215" s="986"/>
      <c r="I215" s="992"/>
      <c r="J215" s="993"/>
      <c r="K215" s="999"/>
      <c r="L215" s="1000"/>
      <c r="M215" s="1000"/>
      <c r="N215" s="1000"/>
      <c r="O215" s="1007"/>
      <c r="P215" s="1008"/>
      <c r="Q215" s="1051"/>
      <c r="R215" s="1052"/>
      <c r="S215" s="1052"/>
      <c r="T215" s="1052"/>
      <c r="U215" s="1053"/>
      <c r="V215" s="617"/>
      <c r="W215" s="647"/>
      <c r="X215" s="617"/>
      <c r="Y215" s="647"/>
      <c r="Z215" s="617"/>
      <c r="AA215" s="647"/>
      <c r="AB215" s="1069"/>
      <c r="AC215" s="891"/>
      <c r="AD215" s="891"/>
      <c r="AE215" s="1070"/>
      <c r="AF215" s="658" t="s">
        <v>987</v>
      </c>
      <c r="AG215" s="659"/>
      <c r="AH215" s="659"/>
      <c r="AI215" s="660"/>
      <c r="AJ215" s="658" t="s">
        <v>988</v>
      </c>
      <c r="AK215" s="659"/>
      <c r="AL215" s="659"/>
      <c r="AM215" s="660"/>
      <c r="AN215" s="658" t="s">
        <v>989</v>
      </c>
      <c r="AO215" s="659"/>
      <c r="AP215" s="659"/>
      <c r="AQ215" s="660"/>
      <c r="AR215" s="622"/>
      <c r="AS215" s="620"/>
      <c r="AT215" s="620"/>
      <c r="AU215" s="621"/>
      <c r="AV215" s="1084"/>
      <c r="AW215" s="1085"/>
      <c r="AX215" s="1085"/>
      <c r="AY215" s="1086"/>
      <c r="AZ215" s="622"/>
      <c r="BA215" s="620"/>
      <c r="BB215" s="620"/>
      <c r="BC215" s="621"/>
      <c r="BD215" s="1084"/>
      <c r="BE215" s="1085"/>
      <c r="BF215" s="1085"/>
      <c r="BG215" s="1086"/>
      <c r="BH215" s="972"/>
      <c r="BI215" s="973"/>
      <c r="BJ215" s="973"/>
      <c r="BK215" s="974"/>
      <c r="BL215" s="972"/>
      <c r="BM215" s="973"/>
      <c r="BN215" s="973"/>
      <c r="BO215" s="974"/>
      <c r="BP215" s="623"/>
      <c r="BQ215" s="624"/>
      <c r="BR215" s="624"/>
      <c r="BS215" s="625"/>
      <c r="BT215" s="628"/>
      <c r="BU215" s="629"/>
      <c r="BV215" s="628"/>
      <c r="BW215" s="629"/>
      <c r="BX215" s="614"/>
      <c r="BY215" s="704"/>
      <c r="BZ215" s="595"/>
      <c r="CB215" s="499"/>
    </row>
    <row r="216" spans="3:80" ht="12" customHeight="1">
      <c r="C216" s="497"/>
      <c r="D216" s="1279"/>
      <c r="E216" s="1280"/>
      <c r="F216" s="984"/>
      <c r="G216" s="985"/>
      <c r="H216" s="986"/>
      <c r="I216" s="992"/>
      <c r="J216" s="993"/>
      <c r="K216" s="1066"/>
      <c r="L216" s="1067"/>
      <c r="M216" s="1067"/>
      <c r="N216" s="1067"/>
      <c r="O216" s="1007"/>
      <c r="P216" s="1008"/>
      <c r="Q216" s="1051"/>
      <c r="R216" s="1052"/>
      <c r="S216" s="1052"/>
      <c r="T216" s="1052"/>
      <c r="U216" s="1053"/>
      <c r="V216" s="617"/>
      <c r="W216" s="647"/>
      <c r="X216" s="617"/>
      <c r="Y216" s="647"/>
      <c r="Z216" s="617"/>
      <c r="AA216" s="647"/>
      <c r="AB216" s="1069"/>
      <c r="AC216" s="891"/>
      <c r="AD216" s="891"/>
      <c r="AE216" s="1070"/>
      <c r="AF216" s="1057"/>
      <c r="AG216" s="1057"/>
      <c r="AH216" s="1057"/>
      <c r="AI216" s="1057"/>
      <c r="AJ216" s="1057"/>
      <c r="AK216" s="1057"/>
      <c r="AL216" s="1057"/>
      <c r="AM216" s="1057"/>
      <c r="AN216" s="1057"/>
      <c r="AO216" s="1057"/>
      <c r="AP216" s="1057"/>
      <c r="AQ216" s="1057"/>
      <c r="AR216" s="1057"/>
      <c r="AS216" s="1057"/>
      <c r="AT216" s="1057"/>
      <c r="AU216" s="1057"/>
      <c r="AV216" s="1058"/>
      <c r="AW216" s="1059"/>
      <c r="AX216" s="1059"/>
      <c r="AY216" s="1059"/>
      <c r="AZ216" s="1059"/>
      <c r="BA216" s="1059"/>
      <c r="BB216" s="1059"/>
      <c r="BC216" s="1059"/>
      <c r="BD216" s="1059"/>
      <c r="BE216" s="1059"/>
      <c r="BF216" s="1059"/>
      <c r="BG216" s="1060"/>
      <c r="BH216" s="972"/>
      <c r="BI216" s="973"/>
      <c r="BJ216" s="973"/>
      <c r="BK216" s="974"/>
      <c r="BL216" s="972"/>
      <c r="BM216" s="973"/>
      <c r="BN216" s="973"/>
      <c r="BO216" s="974"/>
      <c r="BP216" s="670"/>
      <c r="BQ216" s="671"/>
      <c r="BR216" s="671"/>
      <c r="BS216" s="672"/>
      <c r="BT216" s="628"/>
      <c r="BU216" s="629"/>
      <c r="BV216" s="628"/>
      <c r="BW216" s="629"/>
      <c r="BX216" s="614"/>
      <c r="BY216" s="704"/>
      <c r="BZ216" s="595"/>
      <c r="CB216" s="499"/>
    </row>
    <row r="217" spans="3:80" ht="12" customHeight="1">
      <c r="C217" s="497"/>
      <c r="D217" s="1279"/>
      <c r="E217" s="1280"/>
      <c r="F217" s="984"/>
      <c r="G217" s="985"/>
      <c r="H217" s="986"/>
      <c r="I217" s="1075" t="s">
        <v>990</v>
      </c>
      <c r="J217" s="1076"/>
      <c r="K217" s="1079" t="s">
        <v>991</v>
      </c>
      <c r="L217" s="1080"/>
      <c r="M217" s="1080"/>
      <c r="N217" s="1080"/>
      <c r="O217" s="1007"/>
      <c r="P217" s="1008"/>
      <c r="Q217" s="1051"/>
      <c r="R217" s="1052"/>
      <c r="S217" s="1052"/>
      <c r="T217" s="1052"/>
      <c r="U217" s="1053"/>
      <c r="V217" s="617"/>
      <c r="W217" s="647"/>
      <c r="X217" s="617"/>
      <c r="Y217" s="647"/>
      <c r="Z217" s="617"/>
      <c r="AA217" s="647"/>
      <c r="AB217" s="1069"/>
      <c r="AC217" s="891"/>
      <c r="AD217" s="891"/>
      <c r="AE217" s="1070"/>
      <c r="AF217" s="673" t="s">
        <v>992</v>
      </c>
      <c r="AG217" s="674"/>
      <c r="AH217" s="674"/>
      <c r="AI217" s="674"/>
      <c r="AJ217" s="673" t="s">
        <v>993</v>
      </c>
      <c r="AK217" s="674"/>
      <c r="AL217" s="674"/>
      <c r="AM217" s="675"/>
      <c r="AN217" s="676" t="s">
        <v>994</v>
      </c>
      <c r="AO217" s="677"/>
      <c r="AP217" s="677"/>
      <c r="AQ217" s="678"/>
      <c r="AR217" s="676" t="s">
        <v>995</v>
      </c>
      <c r="AS217" s="677"/>
      <c r="AT217" s="677"/>
      <c r="AU217" s="678"/>
      <c r="AV217" s="676" t="s">
        <v>996</v>
      </c>
      <c r="AW217" s="677"/>
      <c r="AX217" s="677"/>
      <c r="AY217" s="678"/>
      <c r="AZ217" s="673"/>
      <c r="BA217" s="674"/>
      <c r="BB217" s="674"/>
      <c r="BC217" s="675"/>
      <c r="BD217" s="1081"/>
      <c r="BE217" s="1082"/>
      <c r="BF217" s="1082"/>
      <c r="BG217" s="1083"/>
      <c r="BH217" s="972"/>
      <c r="BI217" s="973"/>
      <c r="BJ217" s="973"/>
      <c r="BK217" s="974"/>
      <c r="BL217" s="972"/>
      <c r="BM217" s="973"/>
      <c r="BN217" s="973"/>
      <c r="BO217" s="974"/>
      <c r="BP217" s="679"/>
      <c r="BQ217" s="680"/>
      <c r="BR217" s="680"/>
      <c r="BS217" s="681"/>
      <c r="BT217" s="628"/>
      <c r="BU217" s="629"/>
      <c r="BV217" s="628"/>
      <c r="BW217" s="629"/>
      <c r="BX217" s="614"/>
      <c r="BY217" s="704"/>
      <c r="BZ217" s="596"/>
      <c r="CB217" s="499"/>
    </row>
    <row r="218" spans="3:80" ht="12" customHeight="1">
      <c r="C218" s="497"/>
      <c r="D218" s="1279"/>
      <c r="E218" s="1280"/>
      <c r="F218" s="984"/>
      <c r="G218" s="985"/>
      <c r="H218" s="986"/>
      <c r="I218" s="992"/>
      <c r="J218" s="993"/>
      <c r="K218" s="999"/>
      <c r="L218" s="1000"/>
      <c r="M218" s="1000"/>
      <c r="N218" s="1000"/>
      <c r="O218" s="1007"/>
      <c r="P218" s="1008"/>
      <c r="Q218" s="1051"/>
      <c r="R218" s="1052"/>
      <c r="S218" s="1052"/>
      <c r="T218" s="1052"/>
      <c r="U218" s="1053"/>
      <c r="V218" s="617"/>
      <c r="W218" s="647"/>
      <c r="X218" s="617"/>
      <c r="Y218" s="647"/>
      <c r="Z218" s="617"/>
      <c r="AA218" s="647"/>
      <c r="AB218" s="1069"/>
      <c r="AC218" s="891"/>
      <c r="AD218" s="891"/>
      <c r="AE218" s="1070"/>
      <c r="AF218" s="658" t="s">
        <v>919</v>
      </c>
      <c r="AG218" s="659"/>
      <c r="AH218" s="659"/>
      <c r="AI218" s="660"/>
      <c r="AJ218" s="658"/>
      <c r="AK218" s="659"/>
      <c r="AL218" s="659"/>
      <c r="AM218" s="660"/>
      <c r="AN218" s="658"/>
      <c r="AO218" s="659"/>
      <c r="AP218" s="659"/>
      <c r="AQ218" s="660"/>
      <c r="AR218" s="658" t="s">
        <v>997</v>
      </c>
      <c r="AS218" s="659"/>
      <c r="AT218" s="659"/>
      <c r="AU218" s="660"/>
      <c r="AV218" s="658" t="s">
        <v>998</v>
      </c>
      <c r="AW218" s="659"/>
      <c r="AX218" s="659"/>
      <c r="AY218" s="660"/>
      <c r="AZ218" s="622"/>
      <c r="BA218" s="620"/>
      <c r="BB218" s="620"/>
      <c r="BC218" s="621"/>
      <c r="BD218" s="1084"/>
      <c r="BE218" s="1085"/>
      <c r="BF218" s="1085"/>
      <c r="BG218" s="1086"/>
      <c r="BH218" s="972"/>
      <c r="BI218" s="973"/>
      <c r="BJ218" s="973"/>
      <c r="BK218" s="974"/>
      <c r="BL218" s="972"/>
      <c r="BM218" s="973"/>
      <c r="BN218" s="973"/>
      <c r="BO218" s="974"/>
      <c r="BP218" s="683"/>
      <c r="BQ218" s="684"/>
      <c r="BR218" s="684"/>
      <c r="BS218" s="685"/>
      <c r="BT218" s="628"/>
      <c r="BU218" s="629"/>
      <c r="BV218" s="628"/>
      <c r="BW218" s="629"/>
      <c r="BX218" s="614"/>
      <c r="BY218" s="704"/>
      <c r="BZ218" s="596"/>
      <c r="CB218" s="499"/>
    </row>
    <row r="219" spans="3:80" ht="12" customHeight="1">
      <c r="C219" s="497"/>
      <c r="D219" s="1279"/>
      <c r="E219" s="1280"/>
      <c r="F219" s="984"/>
      <c r="G219" s="985"/>
      <c r="H219" s="986"/>
      <c r="I219" s="1077"/>
      <c r="J219" s="1078"/>
      <c r="K219" s="1066"/>
      <c r="L219" s="1067"/>
      <c r="M219" s="1067"/>
      <c r="N219" s="1067"/>
      <c r="O219" s="1007"/>
      <c r="P219" s="1008"/>
      <c r="Q219" s="1051"/>
      <c r="R219" s="1052"/>
      <c r="S219" s="1052"/>
      <c r="T219" s="1052"/>
      <c r="U219" s="1053"/>
      <c r="V219" s="617"/>
      <c r="W219" s="647"/>
      <c r="X219" s="617"/>
      <c r="Y219" s="647"/>
      <c r="Z219" s="617"/>
      <c r="AA219" s="647"/>
      <c r="AB219" s="1069"/>
      <c r="AC219" s="891"/>
      <c r="AD219" s="891"/>
      <c r="AE219" s="1070"/>
      <c r="AF219" s="1057"/>
      <c r="AG219" s="1057"/>
      <c r="AH219" s="1057"/>
      <c r="AI219" s="1057"/>
      <c r="AJ219" s="1057"/>
      <c r="AK219" s="1057"/>
      <c r="AL219" s="1057"/>
      <c r="AM219" s="1057"/>
      <c r="AN219" s="1057"/>
      <c r="AO219" s="1057"/>
      <c r="AP219" s="1057"/>
      <c r="AQ219" s="1057"/>
      <c r="AR219" s="1057"/>
      <c r="AS219" s="1057"/>
      <c r="AT219" s="1057"/>
      <c r="AU219" s="1057"/>
      <c r="AV219" s="1058"/>
      <c r="AW219" s="1059"/>
      <c r="AX219" s="1059"/>
      <c r="AY219" s="1059"/>
      <c r="AZ219" s="1059"/>
      <c r="BA219" s="1059"/>
      <c r="BB219" s="1059"/>
      <c r="BC219" s="1059"/>
      <c r="BD219" s="1059"/>
      <c r="BE219" s="1059"/>
      <c r="BF219" s="1059"/>
      <c r="BG219" s="1060"/>
      <c r="BH219" s="972"/>
      <c r="BI219" s="973"/>
      <c r="BJ219" s="973"/>
      <c r="BK219" s="974"/>
      <c r="BL219" s="972"/>
      <c r="BM219" s="973"/>
      <c r="BN219" s="973"/>
      <c r="BO219" s="974"/>
      <c r="BP219" s="694"/>
      <c r="BQ219" s="695"/>
      <c r="BR219" s="695"/>
      <c r="BS219" s="696"/>
      <c r="BT219" s="628"/>
      <c r="BU219" s="629"/>
      <c r="BV219" s="628"/>
      <c r="BW219" s="629"/>
      <c r="BX219" s="614"/>
      <c r="BY219" s="704"/>
      <c r="BZ219" s="596"/>
      <c r="CB219" s="499"/>
    </row>
    <row r="220" spans="3:80" ht="12" customHeight="1">
      <c r="C220" s="497"/>
      <c r="D220" s="1279"/>
      <c r="E220" s="1280"/>
      <c r="F220" s="984"/>
      <c r="G220" s="985"/>
      <c r="H220" s="986"/>
      <c r="I220" s="992" t="s">
        <v>999</v>
      </c>
      <c r="J220" s="993"/>
      <c r="K220" s="1079" t="s">
        <v>1000</v>
      </c>
      <c r="L220" s="1080"/>
      <c r="M220" s="1080"/>
      <c r="N220" s="1080"/>
      <c r="O220" s="1007"/>
      <c r="P220" s="1008"/>
      <c r="Q220" s="1051"/>
      <c r="R220" s="1052"/>
      <c r="S220" s="1052"/>
      <c r="T220" s="1052"/>
      <c r="U220" s="1053"/>
      <c r="V220" s="617"/>
      <c r="W220" s="647"/>
      <c r="X220" s="617"/>
      <c r="Y220" s="647"/>
      <c r="Z220" s="617"/>
      <c r="AA220" s="647"/>
      <c r="AB220" s="1069"/>
      <c r="AC220" s="891"/>
      <c r="AD220" s="891"/>
      <c r="AE220" s="1070"/>
      <c r="AF220" s="673" t="s">
        <v>1001</v>
      </c>
      <c r="AG220" s="674"/>
      <c r="AH220" s="674"/>
      <c r="AI220" s="674"/>
      <c r="AJ220" s="673" t="s">
        <v>1002</v>
      </c>
      <c r="AK220" s="674"/>
      <c r="AL220" s="674"/>
      <c r="AM220" s="675"/>
      <c r="AN220" s="673" t="s">
        <v>1003</v>
      </c>
      <c r="AO220" s="674"/>
      <c r="AP220" s="674"/>
      <c r="AQ220" s="675"/>
      <c r="AR220" s="673"/>
      <c r="AS220" s="674"/>
      <c r="AT220" s="674"/>
      <c r="AU220" s="675"/>
      <c r="AV220" s="1081"/>
      <c r="AW220" s="1082"/>
      <c r="AX220" s="1082"/>
      <c r="AY220" s="1083"/>
      <c r="AZ220" s="673"/>
      <c r="BA220" s="674"/>
      <c r="BB220" s="674"/>
      <c r="BC220" s="675"/>
      <c r="BD220" s="1081"/>
      <c r="BE220" s="1082"/>
      <c r="BF220" s="1082"/>
      <c r="BG220" s="1083"/>
      <c r="BH220" s="972"/>
      <c r="BI220" s="973"/>
      <c r="BJ220" s="973"/>
      <c r="BK220" s="974"/>
      <c r="BL220" s="972"/>
      <c r="BM220" s="973"/>
      <c r="BN220" s="973"/>
      <c r="BO220" s="974"/>
      <c r="BP220" s="679"/>
      <c r="BQ220" s="680"/>
      <c r="BR220" s="680"/>
      <c r="BS220" s="681"/>
      <c r="BT220" s="628"/>
      <c r="BU220" s="629"/>
      <c r="BV220" s="628"/>
      <c r="BW220" s="629"/>
      <c r="BX220" s="614"/>
      <c r="BY220" s="704"/>
      <c r="BZ220" s="596"/>
      <c r="CB220" s="499"/>
    </row>
    <row r="221" spans="3:80" ht="12" customHeight="1">
      <c r="C221" s="497"/>
      <c r="D221" s="1279"/>
      <c r="E221" s="1280"/>
      <c r="F221" s="984"/>
      <c r="G221" s="985"/>
      <c r="H221" s="986"/>
      <c r="I221" s="992"/>
      <c r="J221" s="993"/>
      <c r="K221" s="999"/>
      <c r="L221" s="1000"/>
      <c r="M221" s="1000"/>
      <c r="N221" s="1000"/>
      <c r="O221" s="1007"/>
      <c r="P221" s="1008"/>
      <c r="Q221" s="1051"/>
      <c r="R221" s="1052"/>
      <c r="S221" s="1052"/>
      <c r="T221" s="1052"/>
      <c r="U221" s="1053"/>
      <c r="V221" s="617"/>
      <c r="W221" s="647"/>
      <c r="X221" s="617"/>
      <c r="Y221" s="647"/>
      <c r="Z221" s="617"/>
      <c r="AA221" s="647"/>
      <c r="AB221" s="1069"/>
      <c r="AC221" s="891"/>
      <c r="AD221" s="891"/>
      <c r="AE221" s="1070"/>
      <c r="AF221" s="658" t="s">
        <v>1004</v>
      </c>
      <c r="AG221" s="659"/>
      <c r="AH221" s="659"/>
      <c r="AI221" s="660"/>
      <c r="AJ221" s="658" t="s">
        <v>1005</v>
      </c>
      <c r="AK221" s="659"/>
      <c r="AL221" s="659"/>
      <c r="AM221" s="660"/>
      <c r="AN221" s="658" t="s">
        <v>1006</v>
      </c>
      <c r="AO221" s="659"/>
      <c r="AP221" s="659"/>
      <c r="AQ221" s="660"/>
      <c r="AR221" s="665"/>
      <c r="AS221" s="666"/>
      <c r="AT221" s="666"/>
      <c r="AU221" s="667"/>
      <c r="AV221" s="1045"/>
      <c r="AW221" s="1046"/>
      <c r="AX221" s="1046"/>
      <c r="AY221" s="1047"/>
      <c r="AZ221" s="665"/>
      <c r="BA221" s="666"/>
      <c r="BB221" s="666"/>
      <c r="BC221" s="667"/>
      <c r="BD221" s="1045"/>
      <c r="BE221" s="1046"/>
      <c r="BF221" s="1046"/>
      <c r="BG221" s="1047"/>
      <c r="BH221" s="972"/>
      <c r="BI221" s="973"/>
      <c r="BJ221" s="973"/>
      <c r="BK221" s="974"/>
      <c r="BL221" s="972"/>
      <c r="BM221" s="973"/>
      <c r="BN221" s="973"/>
      <c r="BO221" s="974"/>
      <c r="BP221" s="683"/>
      <c r="BQ221" s="684"/>
      <c r="BR221" s="684"/>
      <c r="BS221" s="685"/>
      <c r="BT221" s="628"/>
      <c r="BU221" s="629"/>
      <c r="BV221" s="628"/>
      <c r="BW221" s="629"/>
      <c r="BX221" s="614"/>
      <c r="BY221" s="704"/>
      <c r="BZ221" s="596"/>
      <c r="CB221" s="499"/>
    </row>
    <row r="222" spans="3:80" ht="12" customHeight="1" thickBot="1">
      <c r="C222" s="497"/>
      <c r="D222" s="1283"/>
      <c r="E222" s="1284"/>
      <c r="F222" s="1063"/>
      <c r="G222" s="1064"/>
      <c r="H222" s="1065"/>
      <c r="I222" s="1077"/>
      <c r="J222" s="1078"/>
      <c r="K222" s="1066"/>
      <c r="L222" s="1067"/>
      <c r="M222" s="1067"/>
      <c r="N222" s="1067"/>
      <c r="O222" s="1087"/>
      <c r="P222" s="1088"/>
      <c r="Q222" s="1089"/>
      <c r="R222" s="1090"/>
      <c r="S222" s="1090"/>
      <c r="T222" s="1090"/>
      <c r="U222" s="1091"/>
      <c r="V222" s="686"/>
      <c r="W222" s="687"/>
      <c r="X222" s="686"/>
      <c r="Y222" s="687"/>
      <c r="Z222" s="686"/>
      <c r="AA222" s="687"/>
      <c r="AB222" s="1071"/>
      <c r="AC222" s="1072"/>
      <c r="AD222" s="1072"/>
      <c r="AE222" s="1073"/>
      <c r="AF222" s="1074"/>
      <c r="AG222" s="1074"/>
      <c r="AH222" s="1074"/>
      <c r="AI222" s="1074"/>
      <c r="AJ222" s="1074"/>
      <c r="AK222" s="1074"/>
      <c r="AL222" s="1074"/>
      <c r="AM222" s="1074"/>
      <c r="AN222" s="1074"/>
      <c r="AO222" s="1074"/>
      <c r="AP222" s="1074"/>
      <c r="AQ222" s="1074"/>
      <c r="AR222" s="1074"/>
      <c r="AS222" s="1074"/>
      <c r="AT222" s="1074"/>
      <c r="AU222" s="1074"/>
      <c r="AV222" s="1058"/>
      <c r="AW222" s="1059"/>
      <c r="AX222" s="1059"/>
      <c r="AY222" s="1059"/>
      <c r="AZ222" s="1059"/>
      <c r="BA222" s="1059"/>
      <c r="BB222" s="1059"/>
      <c r="BC222" s="1059"/>
      <c r="BD222" s="1059"/>
      <c r="BE222" s="1059"/>
      <c r="BF222" s="1059"/>
      <c r="BG222" s="1060"/>
      <c r="BH222" s="972"/>
      <c r="BI222" s="973"/>
      <c r="BJ222" s="973"/>
      <c r="BK222" s="974"/>
      <c r="BL222" s="972"/>
      <c r="BM222" s="973"/>
      <c r="BN222" s="973"/>
      <c r="BO222" s="974"/>
      <c r="BP222" s="694"/>
      <c r="BQ222" s="695"/>
      <c r="BR222" s="695"/>
      <c r="BS222" s="696"/>
      <c r="BT222" s="697"/>
      <c r="BU222" s="698"/>
      <c r="BV222" s="697"/>
      <c r="BW222" s="698"/>
      <c r="BX222" s="655"/>
      <c r="BY222" s="705"/>
      <c r="BZ222" s="596"/>
      <c r="CB222" s="499"/>
    </row>
    <row r="223" spans="3:80" ht="12" customHeight="1">
      <c r="C223" s="497"/>
      <c r="D223" s="1277" t="s">
        <v>1007</v>
      </c>
      <c r="E223" s="1278"/>
      <c r="F223" s="981" t="s">
        <v>1008</v>
      </c>
      <c r="G223" s="982"/>
      <c r="H223" s="983"/>
      <c r="I223" s="990" t="s">
        <v>1009</v>
      </c>
      <c r="J223" s="991"/>
      <c r="K223" s="996" t="s">
        <v>1008</v>
      </c>
      <c r="L223" s="997"/>
      <c r="M223" s="997"/>
      <c r="N223" s="997"/>
      <c r="O223" s="1005">
        <v>40</v>
      </c>
      <c r="P223" s="1006"/>
      <c r="Q223" s="1011" t="s">
        <v>1010</v>
      </c>
      <c r="R223" s="1012"/>
      <c r="S223" s="1012"/>
      <c r="T223" s="1012"/>
      <c r="U223" s="1013"/>
      <c r="V223" s="602" t="s">
        <v>755</v>
      </c>
      <c r="W223" s="699"/>
      <c r="X223" s="602" t="s">
        <v>755</v>
      </c>
      <c r="Y223" s="699"/>
      <c r="Z223" s="602" t="s">
        <v>755</v>
      </c>
      <c r="AA223" s="699"/>
      <c r="AB223" s="1068"/>
      <c r="AC223" s="1024"/>
      <c r="AD223" s="1024"/>
      <c r="AE223" s="1025"/>
      <c r="AF223" s="604" t="s">
        <v>1011</v>
      </c>
      <c r="AG223" s="605"/>
      <c r="AH223" s="605"/>
      <c r="AI223" s="606"/>
      <c r="AJ223" s="604" t="s">
        <v>1012</v>
      </c>
      <c r="AK223" s="605"/>
      <c r="AL223" s="605"/>
      <c r="AM223" s="606"/>
      <c r="AN223" s="604"/>
      <c r="AO223" s="605"/>
      <c r="AP223" s="605"/>
      <c r="AQ223" s="606"/>
      <c r="AR223" s="604"/>
      <c r="AS223" s="605"/>
      <c r="AT223" s="605"/>
      <c r="AU223" s="606"/>
      <c r="AV223" s="957"/>
      <c r="AW223" s="958"/>
      <c r="AX223" s="958"/>
      <c r="AY223" s="959"/>
      <c r="AZ223" s="604"/>
      <c r="BA223" s="605"/>
      <c r="BB223" s="605"/>
      <c r="BC223" s="606"/>
      <c r="BD223" s="957"/>
      <c r="BE223" s="958"/>
      <c r="BF223" s="958"/>
      <c r="BG223" s="959"/>
      <c r="BH223" s="960"/>
      <c r="BI223" s="961"/>
      <c r="BJ223" s="961"/>
      <c r="BK223" s="962"/>
      <c r="BL223" s="960"/>
      <c r="BM223" s="961"/>
      <c r="BN223" s="961"/>
      <c r="BO223" s="962"/>
      <c r="BP223" s="607"/>
      <c r="BQ223" s="608"/>
      <c r="BR223" s="608"/>
      <c r="BS223" s="609"/>
      <c r="BT223" s="600"/>
      <c r="BU223" s="601"/>
      <c r="BV223" s="600"/>
      <c r="BW223" s="601"/>
      <c r="BX223" s="600"/>
      <c r="BY223" s="703"/>
      <c r="BZ223" s="595"/>
      <c r="CB223" s="499"/>
    </row>
    <row r="224" spans="3:80" ht="12" customHeight="1">
      <c r="C224" s="497"/>
      <c r="D224" s="1279"/>
      <c r="E224" s="1280"/>
      <c r="F224" s="984"/>
      <c r="G224" s="985"/>
      <c r="H224" s="986"/>
      <c r="I224" s="992"/>
      <c r="J224" s="993"/>
      <c r="K224" s="999"/>
      <c r="L224" s="1000"/>
      <c r="M224" s="1000"/>
      <c r="N224" s="1000"/>
      <c r="O224" s="1007"/>
      <c r="P224" s="1008"/>
      <c r="Q224" s="1014"/>
      <c r="R224" s="1015"/>
      <c r="S224" s="1015"/>
      <c r="T224" s="1015"/>
      <c r="U224" s="1016"/>
      <c r="V224" s="617"/>
      <c r="W224" s="647"/>
      <c r="X224" s="617"/>
      <c r="Y224" s="647"/>
      <c r="Z224" s="617"/>
      <c r="AA224" s="647"/>
      <c r="AB224" s="1069"/>
      <c r="AC224" s="891"/>
      <c r="AD224" s="891"/>
      <c r="AE224" s="1070"/>
      <c r="AF224" s="661" t="s">
        <v>1013</v>
      </c>
      <c r="AG224" s="659"/>
      <c r="AH224" s="659"/>
      <c r="AI224" s="660"/>
      <c r="AJ224" s="661" t="s">
        <v>1014</v>
      </c>
      <c r="AK224" s="659"/>
      <c r="AL224" s="659"/>
      <c r="AM224" s="660"/>
      <c r="AN224" s="665"/>
      <c r="AO224" s="666"/>
      <c r="AP224" s="666"/>
      <c r="AQ224" s="667"/>
      <c r="AR224" s="665"/>
      <c r="AS224" s="666"/>
      <c r="AT224" s="666"/>
      <c r="AU224" s="667"/>
      <c r="AV224" s="1045"/>
      <c r="AW224" s="1046"/>
      <c r="AX224" s="1046"/>
      <c r="AY224" s="1047"/>
      <c r="AZ224" s="665"/>
      <c r="BA224" s="666"/>
      <c r="BB224" s="666"/>
      <c r="BC224" s="667"/>
      <c r="BD224" s="1045"/>
      <c r="BE224" s="1046"/>
      <c r="BF224" s="1046"/>
      <c r="BG224" s="1047"/>
      <c r="BH224" s="972"/>
      <c r="BI224" s="973"/>
      <c r="BJ224" s="973"/>
      <c r="BK224" s="974"/>
      <c r="BL224" s="972"/>
      <c r="BM224" s="973"/>
      <c r="BN224" s="973"/>
      <c r="BO224" s="974"/>
      <c r="BP224" s="623"/>
      <c r="BQ224" s="624"/>
      <c r="BR224" s="624"/>
      <c r="BS224" s="625"/>
      <c r="BT224" s="614"/>
      <c r="BU224" s="615"/>
      <c r="BV224" s="614"/>
      <c r="BW224" s="615"/>
      <c r="BX224" s="614"/>
      <c r="BY224" s="704"/>
      <c r="BZ224" s="596"/>
      <c r="CB224" s="499"/>
    </row>
    <row r="225" spans="3:80" ht="12" customHeight="1" thickBot="1">
      <c r="C225" s="497"/>
      <c r="D225" s="1283"/>
      <c r="E225" s="1284"/>
      <c r="F225" s="1063"/>
      <c r="G225" s="1064"/>
      <c r="H225" s="1065"/>
      <c r="I225" s="1077"/>
      <c r="J225" s="1078"/>
      <c r="K225" s="1066"/>
      <c r="L225" s="1067"/>
      <c r="M225" s="1067"/>
      <c r="N225" s="1067"/>
      <c r="O225" s="1007"/>
      <c r="P225" s="1008"/>
      <c r="Q225" s="1014"/>
      <c r="R225" s="1015"/>
      <c r="S225" s="1015"/>
      <c r="T225" s="1015"/>
      <c r="U225" s="1016"/>
      <c r="V225" s="617"/>
      <c r="W225" s="647"/>
      <c r="X225" s="617"/>
      <c r="Y225" s="647"/>
      <c r="Z225" s="617"/>
      <c r="AA225" s="647"/>
      <c r="AB225" s="1071"/>
      <c r="AC225" s="1072"/>
      <c r="AD225" s="1072"/>
      <c r="AE225" s="1073"/>
      <c r="AF225" s="1074"/>
      <c r="AG225" s="1074"/>
      <c r="AH225" s="1074"/>
      <c r="AI225" s="1074"/>
      <c r="AJ225" s="1074"/>
      <c r="AK225" s="1074"/>
      <c r="AL225" s="1074"/>
      <c r="AM225" s="1074"/>
      <c r="AN225" s="1074"/>
      <c r="AO225" s="1074"/>
      <c r="AP225" s="1074"/>
      <c r="AQ225" s="1074"/>
      <c r="AR225" s="1074"/>
      <c r="AS225" s="1074"/>
      <c r="AT225" s="1074"/>
      <c r="AU225" s="1074"/>
      <c r="AV225" s="1058"/>
      <c r="AW225" s="1059"/>
      <c r="AX225" s="1059"/>
      <c r="AY225" s="1059"/>
      <c r="AZ225" s="1059"/>
      <c r="BA225" s="1059"/>
      <c r="BB225" s="1059"/>
      <c r="BC225" s="1059"/>
      <c r="BD225" s="1059"/>
      <c r="BE225" s="1059"/>
      <c r="BF225" s="1059"/>
      <c r="BG225" s="1060"/>
      <c r="BH225" s="972"/>
      <c r="BI225" s="973"/>
      <c r="BJ225" s="973"/>
      <c r="BK225" s="974"/>
      <c r="BL225" s="972"/>
      <c r="BM225" s="973"/>
      <c r="BN225" s="973"/>
      <c r="BO225" s="974"/>
      <c r="BP225" s="670"/>
      <c r="BQ225" s="671"/>
      <c r="BR225" s="671"/>
      <c r="BS225" s="672"/>
      <c r="BT225" s="614"/>
      <c r="BU225" s="615"/>
      <c r="BV225" s="614"/>
      <c r="BW225" s="615"/>
      <c r="BX225" s="614"/>
      <c r="BY225" s="704"/>
      <c r="BZ225" s="595"/>
      <c r="CB225" s="499"/>
    </row>
    <row r="226" spans="3:80" ht="12" customHeight="1">
      <c r="C226" s="497"/>
      <c r="D226" s="1277" t="s">
        <v>1048</v>
      </c>
      <c r="E226" s="1278"/>
      <c r="F226" s="981" t="s">
        <v>1049</v>
      </c>
      <c r="G226" s="982"/>
      <c r="H226" s="983"/>
      <c r="I226" s="990" t="s">
        <v>1050</v>
      </c>
      <c r="J226" s="991"/>
      <c r="K226" s="996" t="s">
        <v>1051</v>
      </c>
      <c r="L226" s="997"/>
      <c r="M226" s="997"/>
      <c r="N226" s="997"/>
      <c r="O226" s="1005">
        <v>40</v>
      </c>
      <c r="P226" s="1006"/>
      <c r="Q226" s="1048" t="s">
        <v>1052</v>
      </c>
      <c r="R226" s="1049"/>
      <c r="S226" s="1049"/>
      <c r="T226" s="1049"/>
      <c r="U226" s="1050"/>
      <c r="V226" s="602" t="s">
        <v>755</v>
      </c>
      <c r="W226" s="603"/>
      <c r="X226" s="1011"/>
      <c r="Y226" s="1012"/>
      <c r="Z226" s="1012"/>
      <c r="AA226" s="1020"/>
      <c r="AB226" s="1023">
        <v>44992</v>
      </c>
      <c r="AC226" s="1024"/>
      <c r="AD226" s="1024"/>
      <c r="AE226" s="1025"/>
      <c r="AF226" s="604" t="s">
        <v>1053</v>
      </c>
      <c r="AG226" s="605"/>
      <c r="AH226" s="605"/>
      <c r="AI226" s="606"/>
      <c r="AJ226" s="604" t="s">
        <v>1054</v>
      </c>
      <c r="AK226" s="605"/>
      <c r="AL226" s="605"/>
      <c r="AM226" s="606"/>
      <c r="AN226" s="604" t="s">
        <v>1055</v>
      </c>
      <c r="AO226" s="605"/>
      <c r="AP226" s="605"/>
      <c r="AQ226" s="606"/>
      <c r="AR226" s="604" t="s">
        <v>1056</v>
      </c>
      <c r="AS226" s="605"/>
      <c r="AT226" s="605"/>
      <c r="AU226" s="606"/>
      <c r="AV226" s="957" t="s">
        <v>1057</v>
      </c>
      <c r="AW226" s="958"/>
      <c r="AX226" s="958"/>
      <c r="AY226" s="959"/>
      <c r="AZ226" s="604" t="s">
        <v>1058</v>
      </c>
      <c r="BA226" s="605"/>
      <c r="BB226" s="605"/>
      <c r="BC226" s="606"/>
      <c r="BD226" s="957" t="s">
        <v>1059</v>
      </c>
      <c r="BE226" s="958"/>
      <c r="BF226" s="958"/>
      <c r="BG226" s="959"/>
      <c r="BH226" s="960"/>
      <c r="BI226" s="961"/>
      <c r="BJ226" s="961"/>
      <c r="BK226" s="962"/>
      <c r="BL226" s="960"/>
      <c r="BM226" s="961"/>
      <c r="BN226" s="961"/>
      <c r="BO226" s="962"/>
      <c r="BP226" s="607"/>
      <c r="BQ226" s="608"/>
      <c r="BR226" s="608"/>
      <c r="BS226" s="609"/>
      <c r="BT226" s="600"/>
      <c r="BU226" s="601"/>
      <c r="BV226" s="600"/>
      <c r="BW226" s="601"/>
      <c r="BX226" s="963" t="s">
        <v>1044</v>
      </c>
      <c r="BY226" s="964"/>
      <c r="BZ226" s="595"/>
      <c r="CB226" s="499"/>
    </row>
    <row r="227" spans="3:80" ht="12" customHeight="1">
      <c r="C227" s="497"/>
      <c r="D227" s="1279"/>
      <c r="E227" s="1280"/>
      <c r="F227" s="984"/>
      <c r="G227" s="985"/>
      <c r="H227" s="986"/>
      <c r="I227" s="992"/>
      <c r="J227" s="993"/>
      <c r="K227" s="999"/>
      <c r="L227" s="1000"/>
      <c r="M227" s="1000"/>
      <c r="N227" s="1000"/>
      <c r="O227" s="1007"/>
      <c r="P227" s="1008"/>
      <c r="Q227" s="1051"/>
      <c r="R227" s="1052"/>
      <c r="S227" s="1052"/>
      <c r="T227" s="1052"/>
      <c r="U227" s="1053"/>
      <c r="V227" s="617"/>
      <c r="W227" s="618"/>
      <c r="X227" s="1014"/>
      <c r="Y227" s="1015"/>
      <c r="Z227" s="1015"/>
      <c r="AA227" s="1021"/>
      <c r="AB227" s="1026"/>
      <c r="AC227" s="1027"/>
      <c r="AD227" s="1027"/>
      <c r="AE227" s="1028"/>
      <c r="AF227" s="661" t="s">
        <v>1060</v>
      </c>
      <c r="AG227" s="659"/>
      <c r="AH227" s="659"/>
      <c r="AI227" s="660"/>
      <c r="AJ227" s="661" t="s">
        <v>1061</v>
      </c>
      <c r="AK227" s="659"/>
      <c r="AL227" s="659"/>
      <c r="AM227" s="660"/>
      <c r="AN227" s="665" t="s">
        <v>1062</v>
      </c>
      <c r="AO227" s="666"/>
      <c r="AP227" s="666"/>
      <c r="AQ227" s="667"/>
      <c r="AR227" s="665" t="s">
        <v>1063</v>
      </c>
      <c r="AS227" s="666"/>
      <c r="AT227" s="666"/>
      <c r="AU227" s="667"/>
      <c r="AV227" s="1045"/>
      <c r="AW227" s="1046"/>
      <c r="AX227" s="1046"/>
      <c r="AY227" s="1047"/>
      <c r="AZ227" s="665"/>
      <c r="BA227" s="666"/>
      <c r="BB227" s="666"/>
      <c r="BC227" s="667"/>
      <c r="BD227" s="1045"/>
      <c r="BE227" s="1046"/>
      <c r="BF227" s="1046"/>
      <c r="BG227" s="1047"/>
      <c r="BH227" s="972"/>
      <c r="BI227" s="973"/>
      <c r="BJ227" s="973"/>
      <c r="BK227" s="974"/>
      <c r="BL227" s="972"/>
      <c r="BM227" s="973"/>
      <c r="BN227" s="973"/>
      <c r="BO227" s="974"/>
      <c r="BP227" s="623"/>
      <c r="BQ227" s="624"/>
      <c r="BR227" s="624"/>
      <c r="BS227" s="625"/>
      <c r="BT227" s="614"/>
      <c r="BU227" s="615"/>
      <c r="BV227" s="614"/>
      <c r="BW227" s="615"/>
      <c r="BX227" s="965"/>
      <c r="BY227" s="966"/>
      <c r="BZ227" s="596"/>
      <c r="CB227" s="499"/>
    </row>
    <row r="228" spans="3:80" ht="12" customHeight="1" thickBot="1">
      <c r="C228" s="497"/>
      <c r="D228" s="1281"/>
      <c r="E228" s="1282"/>
      <c r="F228" s="987"/>
      <c r="G228" s="988"/>
      <c r="H228" s="989"/>
      <c r="I228" s="994"/>
      <c r="J228" s="995"/>
      <c r="K228" s="1002"/>
      <c r="L228" s="1003"/>
      <c r="M228" s="1003"/>
      <c r="N228" s="1003"/>
      <c r="O228" s="1009"/>
      <c r="P228" s="1010"/>
      <c r="Q228" s="1054"/>
      <c r="R228" s="1055"/>
      <c r="S228" s="1055"/>
      <c r="T228" s="1055"/>
      <c r="U228" s="1056"/>
      <c r="V228" s="632"/>
      <c r="W228" s="633"/>
      <c r="X228" s="1017"/>
      <c r="Y228" s="1018"/>
      <c r="Z228" s="1018"/>
      <c r="AA228" s="1022"/>
      <c r="AB228" s="1029"/>
      <c r="AC228" s="1030"/>
      <c r="AD228" s="1030"/>
      <c r="AE228" s="1031"/>
      <c r="AF228" s="1044"/>
      <c r="AG228" s="1044"/>
      <c r="AH228" s="1044"/>
      <c r="AI228" s="1044"/>
      <c r="AJ228" s="1044"/>
      <c r="AK228" s="1044"/>
      <c r="AL228" s="1044"/>
      <c r="AM228" s="1044"/>
      <c r="AN228" s="1044"/>
      <c r="AO228" s="1044"/>
      <c r="AP228" s="1044"/>
      <c r="AQ228" s="1044"/>
      <c r="AR228" s="1044"/>
      <c r="AS228" s="1044"/>
      <c r="AT228" s="1044"/>
      <c r="AU228" s="1044"/>
      <c r="AV228" s="1035"/>
      <c r="AW228" s="1036"/>
      <c r="AX228" s="1036"/>
      <c r="AY228" s="1036"/>
      <c r="AZ228" s="1036"/>
      <c r="BA228" s="1036"/>
      <c r="BB228" s="1036"/>
      <c r="BC228" s="1036"/>
      <c r="BD228" s="1036"/>
      <c r="BE228" s="1036"/>
      <c r="BF228" s="1036"/>
      <c r="BG228" s="1037"/>
      <c r="BH228" s="952"/>
      <c r="BI228" s="953"/>
      <c r="BJ228" s="953"/>
      <c r="BK228" s="954"/>
      <c r="BL228" s="952"/>
      <c r="BM228" s="953"/>
      <c r="BN228" s="953"/>
      <c r="BO228" s="954"/>
      <c r="BP228" s="640"/>
      <c r="BQ228" s="641"/>
      <c r="BR228" s="641"/>
      <c r="BS228" s="642"/>
      <c r="BT228" s="630"/>
      <c r="BU228" s="631"/>
      <c r="BV228" s="630"/>
      <c r="BW228" s="631"/>
      <c r="BX228" s="967"/>
      <c r="BY228" s="968"/>
      <c r="BZ228" s="595"/>
      <c r="CB228" s="499"/>
    </row>
    <row r="229" spans="3:80" ht="12" customHeight="1">
      <c r="C229" s="497"/>
      <c r="D229" s="1277" t="s">
        <v>1064</v>
      </c>
      <c r="E229" s="1278"/>
      <c r="F229" s="981" t="s">
        <v>1065</v>
      </c>
      <c r="G229" s="982"/>
      <c r="H229" s="983"/>
      <c r="I229" s="990" t="s">
        <v>1066</v>
      </c>
      <c r="J229" s="991"/>
      <c r="K229" s="996" t="s">
        <v>1067</v>
      </c>
      <c r="L229" s="997"/>
      <c r="M229" s="997"/>
      <c r="N229" s="998"/>
      <c r="O229" s="1005">
        <v>40</v>
      </c>
      <c r="P229" s="1006"/>
      <c r="Q229" s="1011" t="s">
        <v>1036</v>
      </c>
      <c r="R229" s="1012"/>
      <c r="S229" s="1012"/>
      <c r="T229" s="1012"/>
      <c r="U229" s="1013"/>
      <c r="V229" s="602" t="s">
        <v>928</v>
      </c>
      <c r="W229" s="603"/>
      <c r="X229" s="1011"/>
      <c r="Y229" s="1012"/>
      <c r="Z229" s="1012"/>
      <c r="AA229" s="1020"/>
      <c r="AB229" s="1023">
        <v>44992</v>
      </c>
      <c r="AC229" s="1024"/>
      <c r="AD229" s="1024"/>
      <c r="AE229" s="1025"/>
      <c r="AF229" s="604" t="s">
        <v>1068</v>
      </c>
      <c r="AG229" s="605"/>
      <c r="AH229" s="605"/>
      <c r="AI229" s="605"/>
      <c r="AJ229" s="604" t="s">
        <v>1069</v>
      </c>
      <c r="AK229" s="605"/>
      <c r="AL229" s="605"/>
      <c r="AM229" s="606"/>
      <c r="AN229" s="605" t="s">
        <v>1070</v>
      </c>
      <c r="AO229" s="605"/>
      <c r="AP229" s="605"/>
      <c r="AQ229" s="605"/>
      <c r="AR229" s="604"/>
      <c r="AS229" s="605"/>
      <c r="AT229" s="605"/>
      <c r="AU229" s="606"/>
      <c r="AV229" s="604"/>
      <c r="AW229" s="605"/>
      <c r="AX229" s="605"/>
      <c r="AY229" s="606"/>
      <c r="AZ229" s="605" t="s">
        <v>1071</v>
      </c>
      <c r="BA229" s="605"/>
      <c r="BB229" s="605"/>
      <c r="BC229" s="606"/>
      <c r="BD229" s="605" t="s">
        <v>1072</v>
      </c>
      <c r="BE229" s="605"/>
      <c r="BF229" s="605"/>
      <c r="BG229" s="605"/>
      <c r="BH229" s="960"/>
      <c r="BI229" s="961"/>
      <c r="BJ229" s="961"/>
      <c r="BK229" s="962"/>
      <c r="BL229" s="960"/>
      <c r="BM229" s="961"/>
      <c r="BN229" s="961"/>
      <c r="BO229" s="962"/>
      <c r="BP229" s="607"/>
      <c r="BQ229" s="608"/>
      <c r="BR229" s="608"/>
      <c r="BS229" s="609"/>
      <c r="BT229" s="612"/>
      <c r="BU229" s="613"/>
      <c r="BV229" s="612"/>
      <c r="BW229" s="613"/>
      <c r="BX229" s="963" t="s">
        <v>1044</v>
      </c>
      <c r="BY229" s="964"/>
      <c r="BZ229" s="595"/>
      <c r="CB229" s="499"/>
    </row>
    <row r="230" spans="3:80" ht="12" customHeight="1">
      <c r="C230" s="497"/>
      <c r="D230" s="1279"/>
      <c r="E230" s="1280"/>
      <c r="F230" s="984"/>
      <c r="G230" s="985"/>
      <c r="H230" s="986"/>
      <c r="I230" s="992"/>
      <c r="J230" s="993"/>
      <c r="K230" s="999"/>
      <c r="L230" s="1000"/>
      <c r="M230" s="1000"/>
      <c r="N230" s="1001"/>
      <c r="O230" s="1007"/>
      <c r="P230" s="1008"/>
      <c r="Q230" s="1014"/>
      <c r="R230" s="1015"/>
      <c r="S230" s="1015"/>
      <c r="T230" s="1015"/>
      <c r="U230" s="1016"/>
      <c r="V230" s="617"/>
      <c r="W230" s="618"/>
      <c r="X230" s="1014"/>
      <c r="Y230" s="1015"/>
      <c r="Z230" s="1015"/>
      <c r="AA230" s="1021"/>
      <c r="AB230" s="1026"/>
      <c r="AC230" s="1027"/>
      <c r="AD230" s="1027"/>
      <c r="AE230" s="1028"/>
      <c r="AF230" s="682" t="s">
        <v>1073</v>
      </c>
      <c r="AG230" s="659"/>
      <c r="AH230" s="659"/>
      <c r="AI230" s="660"/>
      <c r="AJ230" s="658" t="s">
        <v>1074</v>
      </c>
      <c r="AK230" s="659"/>
      <c r="AL230" s="659"/>
      <c r="AM230" s="660"/>
      <c r="AN230" s="661" t="s">
        <v>1075</v>
      </c>
      <c r="AO230" s="659"/>
      <c r="AP230" s="659"/>
      <c r="AQ230" s="660"/>
      <c r="AR230" s="661"/>
      <c r="AS230" s="659"/>
      <c r="AT230" s="659"/>
      <c r="AU230" s="659"/>
      <c r="AV230" s="661"/>
      <c r="AW230" s="659"/>
      <c r="AX230" s="659"/>
      <c r="AY230" s="659"/>
      <c r="AZ230" s="661" t="s">
        <v>1076</v>
      </c>
      <c r="BA230" s="659"/>
      <c r="BB230" s="659"/>
      <c r="BC230" s="660"/>
      <c r="BD230" s="659"/>
      <c r="BE230" s="659"/>
      <c r="BF230" s="659"/>
      <c r="BG230" s="660"/>
      <c r="BH230" s="972"/>
      <c r="BI230" s="973"/>
      <c r="BJ230" s="973"/>
      <c r="BK230" s="974"/>
      <c r="BL230" s="972"/>
      <c r="BM230" s="973"/>
      <c r="BN230" s="973"/>
      <c r="BO230" s="974"/>
      <c r="BP230" s="623"/>
      <c r="BQ230" s="624"/>
      <c r="BR230" s="624"/>
      <c r="BS230" s="625"/>
      <c r="BT230" s="628"/>
      <c r="BU230" s="629"/>
      <c r="BV230" s="628"/>
      <c r="BW230" s="629"/>
      <c r="BX230" s="965"/>
      <c r="BY230" s="966"/>
      <c r="BZ230" s="595"/>
      <c r="CB230" s="499"/>
    </row>
    <row r="231" spans="3:80" ht="12" customHeight="1" thickBot="1">
      <c r="C231" s="497"/>
      <c r="D231" s="1281"/>
      <c r="E231" s="1282"/>
      <c r="F231" s="987"/>
      <c r="G231" s="988"/>
      <c r="H231" s="989"/>
      <c r="I231" s="994"/>
      <c r="J231" s="995"/>
      <c r="K231" s="1002"/>
      <c r="L231" s="1003"/>
      <c r="M231" s="1003"/>
      <c r="N231" s="1004"/>
      <c r="O231" s="1009"/>
      <c r="P231" s="1010"/>
      <c r="Q231" s="1017"/>
      <c r="R231" s="1018"/>
      <c r="S231" s="1018"/>
      <c r="T231" s="1018"/>
      <c r="U231" s="1019"/>
      <c r="V231" s="632"/>
      <c r="W231" s="633"/>
      <c r="X231" s="1017"/>
      <c r="Y231" s="1018"/>
      <c r="Z231" s="1018"/>
      <c r="AA231" s="1022"/>
      <c r="AB231" s="1029"/>
      <c r="AC231" s="1030"/>
      <c r="AD231" s="1030"/>
      <c r="AE231" s="1031"/>
      <c r="AF231" s="1032"/>
      <c r="AG231" s="1033"/>
      <c r="AH231" s="1033"/>
      <c r="AI231" s="1033"/>
      <c r="AJ231" s="1033"/>
      <c r="AK231" s="1033"/>
      <c r="AL231" s="1033"/>
      <c r="AM231" s="1033"/>
      <c r="AN231" s="1033"/>
      <c r="AO231" s="1033"/>
      <c r="AP231" s="1033"/>
      <c r="AQ231" s="1033"/>
      <c r="AR231" s="1033"/>
      <c r="AS231" s="1033"/>
      <c r="AT231" s="1033"/>
      <c r="AU231" s="1034"/>
      <c r="AV231" s="1035"/>
      <c r="AW231" s="1036"/>
      <c r="AX231" s="1036"/>
      <c r="AY231" s="1036"/>
      <c r="AZ231" s="1036"/>
      <c r="BA231" s="1036"/>
      <c r="BB231" s="1036"/>
      <c r="BC231" s="1036"/>
      <c r="BD231" s="1036"/>
      <c r="BE231" s="1036"/>
      <c r="BF231" s="1036"/>
      <c r="BG231" s="1037"/>
      <c r="BH231" s="952"/>
      <c r="BI231" s="953"/>
      <c r="BJ231" s="953"/>
      <c r="BK231" s="954"/>
      <c r="BL231" s="952"/>
      <c r="BM231" s="953"/>
      <c r="BN231" s="953"/>
      <c r="BO231" s="954"/>
      <c r="BP231" s="640"/>
      <c r="BQ231" s="641"/>
      <c r="BR231" s="641"/>
      <c r="BS231" s="642"/>
      <c r="BT231" s="645"/>
      <c r="BU231" s="646"/>
      <c r="BV231" s="645"/>
      <c r="BW231" s="646"/>
      <c r="BX231" s="967"/>
      <c r="BY231" s="968"/>
      <c r="BZ231" s="595"/>
      <c r="CB231" s="499"/>
    </row>
    <row r="232" spans="3:80" ht="12" customHeight="1">
      <c r="C232" s="497"/>
      <c r="D232" s="1271" t="s">
        <v>1077</v>
      </c>
      <c r="E232" s="1272"/>
      <c r="F232" s="981" t="s">
        <v>1078</v>
      </c>
      <c r="G232" s="982"/>
      <c r="H232" s="983"/>
      <c r="I232" s="990" t="s">
        <v>1079</v>
      </c>
      <c r="J232" s="991"/>
      <c r="K232" s="996" t="s">
        <v>1078</v>
      </c>
      <c r="L232" s="997"/>
      <c r="M232" s="997"/>
      <c r="N232" s="998"/>
      <c r="O232" s="1005">
        <v>40</v>
      </c>
      <c r="P232" s="1006"/>
      <c r="Q232" s="1011" t="s">
        <v>1036</v>
      </c>
      <c r="R232" s="1012"/>
      <c r="S232" s="1012"/>
      <c r="T232" s="1012"/>
      <c r="U232" s="1013"/>
      <c r="V232" s="602" t="s">
        <v>928</v>
      </c>
      <c r="W232" s="603"/>
      <c r="X232" s="1011" t="s">
        <v>1080</v>
      </c>
      <c r="Y232" s="1012"/>
      <c r="Z232" s="1012"/>
      <c r="AA232" s="1020"/>
      <c r="AB232" s="1023">
        <v>44992</v>
      </c>
      <c r="AC232" s="1024"/>
      <c r="AD232" s="1024"/>
      <c r="AE232" s="1025"/>
      <c r="AF232" s="604" t="s">
        <v>1081</v>
      </c>
      <c r="AG232" s="605"/>
      <c r="AH232" s="605"/>
      <c r="AI232" s="606"/>
      <c r="AJ232" s="604" t="s">
        <v>1082</v>
      </c>
      <c r="AK232" s="605"/>
      <c r="AL232" s="605"/>
      <c r="AM232" s="606"/>
      <c r="AN232" s="604" t="s">
        <v>1083</v>
      </c>
      <c r="AO232" s="605"/>
      <c r="AP232" s="605"/>
      <c r="AQ232" s="606"/>
      <c r="AR232" s="604" t="s">
        <v>1084</v>
      </c>
      <c r="AS232" s="605"/>
      <c r="AT232" s="605"/>
      <c r="AU232" s="606"/>
      <c r="AV232" s="957" t="s">
        <v>1085</v>
      </c>
      <c r="AW232" s="958"/>
      <c r="AX232" s="958"/>
      <c r="AY232" s="959"/>
      <c r="AZ232" s="604" t="s">
        <v>1086</v>
      </c>
      <c r="BA232" s="605"/>
      <c r="BB232" s="605"/>
      <c r="BC232" s="606"/>
      <c r="BD232" s="957"/>
      <c r="BE232" s="958"/>
      <c r="BF232" s="958"/>
      <c r="BG232" s="959"/>
      <c r="BH232" s="960"/>
      <c r="BI232" s="961"/>
      <c r="BJ232" s="961"/>
      <c r="BK232" s="962"/>
      <c r="BL232" s="960"/>
      <c r="BM232" s="961"/>
      <c r="BN232" s="961"/>
      <c r="BO232" s="962"/>
      <c r="BP232" s="607"/>
      <c r="BQ232" s="608"/>
      <c r="BR232" s="608"/>
      <c r="BS232" s="609"/>
      <c r="BT232" s="600"/>
      <c r="BU232" s="601"/>
      <c r="BV232" s="600"/>
      <c r="BW232" s="601"/>
      <c r="BX232" s="963" t="s">
        <v>1044</v>
      </c>
      <c r="BY232" s="964"/>
      <c r="BZ232" s="596"/>
      <c r="CB232" s="499"/>
    </row>
    <row r="233" spans="3:80" ht="12" customHeight="1">
      <c r="C233" s="497"/>
      <c r="D233" s="1273"/>
      <c r="E233" s="1274"/>
      <c r="F233" s="984"/>
      <c r="G233" s="985"/>
      <c r="H233" s="986"/>
      <c r="I233" s="992"/>
      <c r="J233" s="993"/>
      <c r="K233" s="999"/>
      <c r="L233" s="1000"/>
      <c r="M233" s="1000"/>
      <c r="N233" s="1001"/>
      <c r="O233" s="1007"/>
      <c r="P233" s="1008"/>
      <c r="Q233" s="1014"/>
      <c r="R233" s="1015"/>
      <c r="S233" s="1015"/>
      <c r="T233" s="1015"/>
      <c r="U233" s="1016"/>
      <c r="V233" s="617"/>
      <c r="W233" s="618"/>
      <c r="X233" s="1014"/>
      <c r="Y233" s="1015"/>
      <c r="Z233" s="1015"/>
      <c r="AA233" s="1021"/>
      <c r="AB233" s="1026"/>
      <c r="AC233" s="1027"/>
      <c r="AD233" s="1027"/>
      <c r="AE233" s="1028"/>
      <c r="AF233" s="682" t="s">
        <v>1087</v>
      </c>
      <c r="AG233" s="707"/>
      <c r="AH233" s="707"/>
      <c r="AI233" s="708"/>
      <c r="AJ233" s="682" t="s">
        <v>1088</v>
      </c>
      <c r="AK233" s="707"/>
      <c r="AL233" s="707"/>
      <c r="AM233" s="708"/>
      <c r="AN233" s="709" t="s">
        <v>1089</v>
      </c>
      <c r="AO233" s="710"/>
      <c r="AP233" s="710"/>
      <c r="AQ233" s="711"/>
      <c r="AR233" s="709" t="s">
        <v>1090</v>
      </c>
      <c r="AS233" s="710"/>
      <c r="AT233" s="710"/>
      <c r="AU233" s="711"/>
      <c r="AV233" s="969" t="s">
        <v>1090</v>
      </c>
      <c r="AW233" s="970"/>
      <c r="AX233" s="970"/>
      <c r="AY233" s="971"/>
      <c r="AZ233" s="665" t="s">
        <v>1091</v>
      </c>
      <c r="BA233" s="666"/>
      <c r="BB233" s="666"/>
      <c r="BC233" s="667"/>
      <c r="BD233" s="969"/>
      <c r="BE233" s="970"/>
      <c r="BF233" s="970"/>
      <c r="BG233" s="971"/>
      <c r="BH233" s="972"/>
      <c r="BI233" s="973"/>
      <c r="BJ233" s="973"/>
      <c r="BK233" s="974"/>
      <c r="BL233" s="972"/>
      <c r="BM233" s="973"/>
      <c r="BN233" s="973"/>
      <c r="BO233" s="974"/>
      <c r="BP233" s="623"/>
      <c r="BQ233" s="624"/>
      <c r="BR233" s="624"/>
      <c r="BS233" s="625"/>
      <c r="BT233" s="614"/>
      <c r="BU233" s="615"/>
      <c r="BV233" s="614"/>
      <c r="BW233" s="615"/>
      <c r="BX233" s="965"/>
      <c r="BY233" s="966"/>
      <c r="BZ233" s="596"/>
      <c r="CB233" s="499"/>
    </row>
    <row r="234" spans="3:80" ht="12" customHeight="1" thickBot="1">
      <c r="C234" s="497"/>
      <c r="D234" s="1275"/>
      <c r="E234" s="1276"/>
      <c r="F234" s="987"/>
      <c r="G234" s="988"/>
      <c r="H234" s="989"/>
      <c r="I234" s="994"/>
      <c r="J234" s="995"/>
      <c r="K234" s="1002"/>
      <c r="L234" s="1003"/>
      <c r="M234" s="1003"/>
      <c r="N234" s="1004"/>
      <c r="O234" s="1009"/>
      <c r="P234" s="1010"/>
      <c r="Q234" s="1017"/>
      <c r="R234" s="1018"/>
      <c r="S234" s="1018"/>
      <c r="T234" s="1018"/>
      <c r="U234" s="1019"/>
      <c r="V234" s="632"/>
      <c r="W234" s="633"/>
      <c r="X234" s="1017"/>
      <c r="Y234" s="1018"/>
      <c r="Z234" s="1018"/>
      <c r="AA234" s="1022"/>
      <c r="AB234" s="1029"/>
      <c r="AC234" s="1030"/>
      <c r="AD234" s="1030"/>
      <c r="AE234" s="1031"/>
      <c r="AF234" s="1032"/>
      <c r="AG234" s="1033"/>
      <c r="AH234" s="1033"/>
      <c r="AI234" s="1033"/>
      <c r="AJ234" s="1033"/>
      <c r="AK234" s="1033"/>
      <c r="AL234" s="1033"/>
      <c r="AM234" s="1033"/>
      <c r="AN234" s="1033"/>
      <c r="AO234" s="1033"/>
      <c r="AP234" s="1033"/>
      <c r="AQ234" s="1033"/>
      <c r="AR234" s="1033"/>
      <c r="AS234" s="1033"/>
      <c r="AT234" s="1033"/>
      <c r="AU234" s="1034"/>
      <c r="AV234" s="1035"/>
      <c r="AW234" s="1036"/>
      <c r="AX234" s="1036"/>
      <c r="AY234" s="1036"/>
      <c r="AZ234" s="1036"/>
      <c r="BA234" s="1036"/>
      <c r="BB234" s="1036"/>
      <c r="BC234" s="1036"/>
      <c r="BD234" s="1036"/>
      <c r="BE234" s="1036"/>
      <c r="BF234" s="1036"/>
      <c r="BG234" s="1037"/>
      <c r="BH234" s="952"/>
      <c r="BI234" s="953"/>
      <c r="BJ234" s="953"/>
      <c r="BK234" s="954"/>
      <c r="BL234" s="952"/>
      <c r="BM234" s="953"/>
      <c r="BN234" s="953"/>
      <c r="BO234" s="954"/>
      <c r="BP234" s="640"/>
      <c r="BQ234" s="641"/>
      <c r="BR234" s="641"/>
      <c r="BS234" s="642"/>
      <c r="BT234" s="630"/>
      <c r="BU234" s="631"/>
      <c r="BV234" s="630"/>
      <c r="BW234" s="631"/>
      <c r="BX234" s="967"/>
      <c r="BY234" s="968"/>
      <c r="BZ234" s="596" t="s">
        <v>1092</v>
      </c>
      <c r="CB234" s="499"/>
    </row>
    <row r="235" spans="3:80" ht="12" customHeight="1">
      <c r="C235" s="497"/>
      <c r="D235" s="588"/>
      <c r="CB235" s="499"/>
    </row>
    <row r="236" spans="3:80" ht="12" customHeight="1">
      <c r="C236" s="712"/>
      <c r="D236" s="713"/>
      <c r="E236" s="714"/>
      <c r="F236" s="714"/>
      <c r="G236" s="715"/>
      <c r="H236" s="715"/>
      <c r="I236" s="715"/>
      <c r="J236" s="716"/>
      <c r="K236" s="616"/>
      <c r="L236" s="616"/>
      <c r="M236" s="616"/>
      <c r="N236" s="616"/>
      <c r="O236" s="579"/>
      <c r="P236" s="579"/>
      <c r="Q236" s="616"/>
      <c r="R236" s="616"/>
      <c r="S236" s="616"/>
      <c r="T236" s="616"/>
      <c r="U236" s="616"/>
      <c r="V236" s="579"/>
      <c r="W236" s="579"/>
      <c r="X236" s="579"/>
      <c r="Y236" s="579"/>
      <c r="Z236" s="579"/>
      <c r="AA236" s="579"/>
      <c r="AB236" s="579"/>
      <c r="AC236" s="579"/>
      <c r="AD236" s="717"/>
      <c r="AE236" s="717"/>
      <c r="AF236" s="717"/>
      <c r="AG236" s="579"/>
      <c r="AH236" s="579"/>
      <c r="AI236" s="579"/>
      <c r="AJ236" s="579"/>
      <c r="AK236" s="579"/>
      <c r="AL236" s="579"/>
      <c r="AM236" s="579"/>
      <c r="AN236" s="579"/>
      <c r="AO236" s="579"/>
      <c r="AP236" s="579"/>
      <c r="AQ236" s="579"/>
      <c r="AR236" s="579"/>
      <c r="AS236" s="579"/>
      <c r="AT236" s="579"/>
      <c r="AU236" s="579"/>
      <c r="AV236" s="579"/>
      <c r="AW236" s="579"/>
      <c r="AX236" s="718"/>
      <c r="AY236" s="718"/>
      <c r="AZ236" s="718"/>
      <c r="BA236" s="718"/>
      <c r="BB236" s="718"/>
      <c r="BC236" s="718"/>
      <c r="BD236" s="718"/>
      <c r="BE236" s="718"/>
      <c r="BF236" s="718"/>
      <c r="BG236" s="718"/>
      <c r="BH236" s="718"/>
      <c r="BI236" s="718"/>
      <c r="BJ236" s="579"/>
      <c r="BK236" s="579"/>
      <c r="BL236" s="579"/>
      <c r="BM236" s="579"/>
      <c r="BN236" s="579"/>
      <c r="BO236" s="719"/>
      <c r="BP236" s="719"/>
      <c r="BQ236" s="719"/>
      <c r="BR236" s="719"/>
      <c r="BS236" s="719"/>
      <c r="BT236" s="719"/>
      <c r="BU236" s="719"/>
      <c r="BV236" s="719"/>
      <c r="BW236" s="719"/>
      <c r="BX236" s="719"/>
      <c r="BY236" s="719"/>
      <c r="BZ236" s="719"/>
      <c r="CA236" s="719"/>
      <c r="CB236" s="499"/>
    </row>
    <row r="237" spans="3:80" ht="12" customHeight="1">
      <c r="C237" s="50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7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09"/>
    </row>
    <row r="238" spans="3:80" ht="12" customHeight="1" thickBot="1">
      <c r="C238" s="531"/>
      <c r="D238" s="532"/>
      <c r="E238" s="532"/>
      <c r="F238" s="532"/>
      <c r="G238" s="532"/>
      <c r="H238" s="532"/>
      <c r="I238" s="532"/>
      <c r="J238" s="532"/>
      <c r="K238" s="532"/>
      <c r="L238" s="532"/>
      <c r="M238" s="532"/>
      <c r="N238" s="532"/>
      <c r="O238" s="532"/>
      <c r="P238" s="532"/>
      <c r="Q238" s="532"/>
      <c r="R238" s="532"/>
      <c r="S238" s="532"/>
      <c r="T238" s="532"/>
      <c r="U238" s="532"/>
      <c r="V238" s="532"/>
      <c r="W238" s="532"/>
      <c r="X238" s="532"/>
      <c r="Y238" s="532"/>
      <c r="Z238" s="532"/>
      <c r="AA238" s="532"/>
      <c r="AB238" s="532"/>
      <c r="AC238" s="532"/>
      <c r="AD238" s="532"/>
      <c r="AE238" s="532"/>
      <c r="AF238" s="532"/>
      <c r="AG238" s="532"/>
      <c r="AH238" s="532"/>
      <c r="AI238" s="532"/>
      <c r="AJ238" s="532"/>
      <c r="AK238" s="532"/>
      <c r="AL238" s="532"/>
      <c r="AM238" s="532"/>
      <c r="AN238" s="532"/>
      <c r="AO238" s="532"/>
      <c r="AP238" s="532"/>
      <c r="AQ238" s="532"/>
      <c r="AR238" s="532"/>
      <c r="AS238" s="532"/>
      <c r="AT238" s="532"/>
      <c r="AU238" s="532"/>
      <c r="AV238" s="532"/>
      <c r="AW238" s="532"/>
      <c r="AX238" s="532"/>
      <c r="AY238" s="532"/>
      <c r="AZ238" s="532"/>
      <c r="BA238" s="532"/>
      <c r="BB238" s="532"/>
      <c r="BC238" s="532"/>
      <c r="BD238" s="532"/>
      <c r="BE238" s="532"/>
      <c r="BF238" s="532"/>
      <c r="BG238" s="532"/>
      <c r="BH238" s="532"/>
      <c r="BI238" s="532"/>
      <c r="BJ238" s="532"/>
      <c r="BK238" s="532"/>
      <c r="BL238" s="532"/>
      <c r="BM238" s="532"/>
      <c r="BN238" s="532"/>
      <c r="BO238" s="532"/>
      <c r="BP238" s="532"/>
      <c r="BQ238" s="532"/>
      <c r="BR238" s="532"/>
      <c r="BS238" s="532"/>
      <c r="BT238" s="532"/>
      <c r="BU238" s="532"/>
      <c r="BV238" s="532"/>
      <c r="BW238" s="532"/>
      <c r="BX238" s="532"/>
      <c r="BY238" s="532"/>
      <c r="BZ238" s="532"/>
      <c r="CA238" s="532"/>
      <c r="CB238" s="534"/>
    </row>
    <row r="244" spans="2:65" ht="28.5">
      <c r="B244" s="488" t="s">
        <v>1093</v>
      </c>
    </row>
    <row r="247" spans="2:65" ht="12" customHeight="1">
      <c r="C247" s="489" t="s">
        <v>1094</v>
      </c>
      <c r="D247" s="588"/>
    </row>
    <row r="250" spans="2:65" ht="12" customHeight="1" thickBot="1"/>
    <row r="251" spans="2:65" ht="12" customHeight="1">
      <c r="C251" s="753"/>
      <c r="D251" s="589" t="s">
        <v>735</v>
      </c>
      <c r="E251" s="589"/>
      <c r="F251" s="589"/>
      <c r="G251" s="754" t="s">
        <v>795</v>
      </c>
      <c r="H251" s="590"/>
      <c r="I251" s="590"/>
      <c r="J251" s="590"/>
      <c r="K251" s="590"/>
      <c r="L251" s="591"/>
      <c r="M251" s="491"/>
      <c r="N251" s="589" t="s">
        <v>697</v>
      </c>
      <c r="O251" s="589"/>
      <c r="P251" s="589"/>
      <c r="Q251" s="592" t="s">
        <v>794</v>
      </c>
      <c r="R251" s="590"/>
      <c r="S251" s="590"/>
      <c r="T251" s="590"/>
      <c r="U251" s="594" t="s">
        <v>1155</v>
      </c>
      <c r="V251" s="590"/>
      <c r="W251" s="590"/>
      <c r="X251" s="590"/>
      <c r="Y251" s="591"/>
      <c r="Z251" s="491"/>
      <c r="AA251" s="589" t="s">
        <v>874</v>
      </c>
      <c r="AB251" s="589"/>
      <c r="AC251" s="589"/>
      <c r="AD251" s="589"/>
      <c r="AE251" s="589"/>
      <c r="AF251" s="589"/>
      <c r="AG251" s="593" t="s">
        <v>1156</v>
      </c>
      <c r="AH251" s="590"/>
      <c r="AI251" s="590"/>
      <c r="AJ251" s="590"/>
      <c r="AK251" s="590"/>
      <c r="AL251" s="590"/>
      <c r="AM251" s="590"/>
      <c r="AN251" s="590"/>
      <c r="AO251" s="590"/>
      <c r="AP251" s="590"/>
      <c r="AQ251" s="590"/>
      <c r="AR251" s="590"/>
      <c r="AS251" s="590"/>
      <c r="AT251" s="590"/>
      <c r="AU251" s="590"/>
      <c r="AV251" s="590"/>
      <c r="AW251" s="590"/>
      <c r="AX251" s="590"/>
      <c r="AY251" s="590"/>
      <c r="AZ251" s="590"/>
      <c r="BA251" s="590"/>
      <c r="BB251" s="590"/>
      <c r="BC251" s="590"/>
      <c r="BD251" s="590"/>
      <c r="BE251" s="590"/>
      <c r="BF251" s="590"/>
      <c r="BG251" s="590"/>
      <c r="BH251" s="590"/>
      <c r="BI251" s="755"/>
      <c r="BJ251" s="755"/>
      <c r="BK251" s="756"/>
      <c r="BL251" s="757"/>
      <c r="BM251" s="758"/>
    </row>
    <row r="252" spans="2:65" ht="12" customHeight="1">
      <c r="C252" s="539"/>
      <c r="D252" s="540" t="s">
        <v>878</v>
      </c>
      <c r="E252" s="540"/>
      <c r="F252" s="540"/>
      <c r="G252" s="759" t="s">
        <v>1157</v>
      </c>
      <c r="H252" s="482"/>
      <c r="I252" s="482"/>
      <c r="J252" s="482"/>
      <c r="K252" s="483"/>
      <c r="L252" s="543"/>
      <c r="M252" s="543"/>
      <c r="N252" s="543"/>
      <c r="O252" s="543"/>
      <c r="P252" s="543"/>
      <c r="Q252" s="543"/>
      <c r="R252" s="543"/>
      <c r="S252" s="543"/>
      <c r="T252" s="543"/>
      <c r="U252" s="543"/>
      <c r="V252" s="543"/>
      <c r="W252" s="543"/>
      <c r="X252" s="543"/>
      <c r="Y252" s="544"/>
      <c r="Z252" s="647"/>
      <c r="AA252" s="498"/>
      <c r="AB252" s="498"/>
      <c r="AC252" s="498"/>
      <c r="AD252" s="498"/>
      <c r="AE252" s="498"/>
      <c r="AF252" s="498"/>
      <c r="AG252" s="498"/>
      <c r="AH252" s="498"/>
      <c r="AI252" s="498"/>
      <c r="AJ252" s="498"/>
      <c r="AK252" s="498"/>
      <c r="AL252" s="498"/>
      <c r="AM252" s="498"/>
      <c r="AN252" s="498"/>
      <c r="AO252" s="498"/>
      <c r="AP252" s="498"/>
      <c r="AQ252" s="498"/>
      <c r="AR252" s="498"/>
      <c r="AS252" s="498"/>
      <c r="AT252" s="498"/>
      <c r="AU252" s="498"/>
      <c r="AV252" s="498"/>
      <c r="AW252" s="498"/>
      <c r="AX252" s="498"/>
      <c r="AY252" s="498"/>
      <c r="AZ252" s="498"/>
      <c r="BA252" s="498"/>
      <c r="BB252" s="498"/>
      <c r="BC252" s="498"/>
      <c r="BD252" s="498"/>
      <c r="BE252" s="498"/>
      <c r="BF252" s="498"/>
      <c r="BG252" s="498"/>
      <c r="BH252" s="498"/>
      <c r="BI252" s="498"/>
      <c r="BJ252" s="498"/>
      <c r="BK252" s="498"/>
      <c r="BL252" s="498"/>
      <c r="BM252" s="760"/>
    </row>
    <row r="253" spans="2:65" ht="12" customHeight="1">
      <c r="C253" s="539"/>
      <c r="D253" s="498"/>
      <c r="E253" s="498"/>
      <c r="F253" s="498"/>
      <c r="G253" s="498"/>
      <c r="H253" s="498"/>
      <c r="I253" s="498"/>
      <c r="J253" s="498"/>
      <c r="K253" s="498"/>
      <c r="L253" s="498"/>
      <c r="M253" s="498"/>
      <c r="N253" s="498"/>
      <c r="O253" s="498"/>
      <c r="P253" s="498"/>
      <c r="Q253" s="498"/>
      <c r="R253" s="498"/>
      <c r="S253" s="498"/>
      <c r="T253" s="498"/>
      <c r="U253" s="498"/>
      <c r="V253" s="498"/>
      <c r="W253" s="498"/>
      <c r="X253" s="498"/>
      <c r="Y253" s="498"/>
      <c r="Z253" s="498"/>
      <c r="AA253" s="498"/>
      <c r="AB253" s="498"/>
      <c r="AC253" s="498"/>
      <c r="AD253" s="498"/>
      <c r="AE253" s="498"/>
      <c r="AF253" s="498"/>
      <c r="AG253" s="498"/>
      <c r="AH253" s="498"/>
      <c r="AI253" s="498"/>
      <c r="AJ253" s="498"/>
      <c r="AK253" s="498"/>
      <c r="AL253" s="498"/>
      <c r="AM253" s="498"/>
      <c r="AN253" s="498"/>
      <c r="AO253" s="498"/>
      <c r="AP253" s="498"/>
      <c r="AQ253" s="498"/>
      <c r="AR253" s="498"/>
      <c r="AS253" s="498"/>
      <c r="AT253" s="498"/>
      <c r="AU253" s="498"/>
      <c r="AV253" s="498"/>
      <c r="AW253" s="498"/>
      <c r="AX253" s="498"/>
      <c r="AY253" s="498"/>
      <c r="AZ253" s="498"/>
      <c r="BA253" s="498"/>
      <c r="BB253" s="498"/>
      <c r="BC253" s="498"/>
      <c r="BD253" s="498"/>
      <c r="BE253" s="498"/>
      <c r="BF253" s="498"/>
      <c r="BG253" s="498"/>
      <c r="BH253" s="498"/>
      <c r="BI253" s="498"/>
      <c r="BJ253" s="498"/>
      <c r="BK253" s="498"/>
      <c r="BL253" s="498"/>
      <c r="BM253" s="760"/>
    </row>
    <row r="254" spans="2:65" ht="12" customHeight="1">
      <c r="C254" s="539"/>
      <c r="D254" s="1268" t="s">
        <v>1158</v>
      </c>
      <c r="E254" s="1268"/>
      <c r="F254" s="1268"/>
      <c r="G254" s="1268"/>
      <c r="H254" s="1268"/>
      <c r="I254" s="1268"/>
      <c r="J254" s="1268"/>
      <c r="K254" s="1268"/>
      <c r="L254" s="1269" t="s">
        <v>1159</v>
      </c>
      <c r="M254" s="1269"/>
      <c r="N254" s="1269"/>
      <c r="O254" s="1269"/>
      <c r="P254" s="761" t="s">
        <v>1160</v>
      </c>
      <c r="Q254" s="762"/>
      <c r="R254" s="762"/>
      <c r="S254" s="762"/>
      <c r="T254" s="762"/>
      <c r="U254" s="762"/>
      <c r="V254" s="762"/>
      <c r="W254" s="762"/>
      <c r="X254" s="762"/>
      <c r="Y254" s="763"/>
      <c r="Z254" s="1268" t="s">
        <v>1161</v>
      </c>
      <c r="AA254" s="1268"/>
      <c r="AB254" s="1268"/>
      <c r="AC254" s="1268"/>
      <c r="AD254" s="1268"/>
      <c r="AE254" s="1268"/>
      <c r="AF254" s="1268"/>
      <c r="AG254" s="1270"/>
      <c r="AH254" s="764"/>
      <c r="AI254" s="765" t="s">
        <v>755</v>
      </c>
      <c r="AJ254" s="766"/>
      <c r="AK254" s="1268" t="s">
        <v>1162</v>
      </c>
      <c r="AL254" s="1268"/>
      <c r="AM254" s="1268"/>
      <c r="AN254" s="1268"/>
      <c r="AO254" s="1268"/>
      <c r="AP254" s="1268"/>
      <c r="AQ254" s="1268"/>
      <c r="AR254" s="1270"/>
      <c r="AS254" s="767"/>
      <c r="AT254" s="768"/>
      <c r="AU254" s="768"/>
      <c r="AV254" s="768"/>
      <c r="AW254" s="768"/>
      <c r="AX254" s="768"/>
      <c r="AY254" s="769"/>
      <c r="AZ254" s="498"/>
      <c r="BA254" s="498"/>
      <c r="BB254" s="498"/>
      <c r="BC254" s="498"/>
      <c r="BD254" s="498"/>
      <c r="BE254" s="498"/>
      <c r="BF254" s="498"/>
      <c r="BG254" s="498"/>
      <c r="BH254" s="498"/>
      <c r="BI254" s="498"/>
      <c r="BJ254" s="498"/>
      <c r="BK254" s="498"/>
      <c r="BL254" s="498"/>
      <c r="BM254" s="760"/>
    </row>
    <row r="255" spans="2:65" ht="12" customHeight="1" thickBot="1">
      <c r="C255" s="539"/>
      <c r="D255" s="498"/>
      <c r="E255" s="498"/>
      <c r="F255" s="498"/>
      <c r="G255" s="498"/>
      <c r="H255" s="498"/>
      <c r="I255" s="498"/>
      <c r="J255" s="498"/>
      <c r="K255" s="498"/>
      <c r="L255" s="498"/>
      <c r="M255" s="498"/>
      <c r="N255" s="498"/>
      <c r="O255" s="498"/>
      <c r="P255" s="498"/>
      <c r="Q255" s="498"/>
      <c r="R255" s="498"/>
      <c r="S255" s="498"/>
      <c r="T255" s="498"/>
      <c r="U255" s="498"/>
      <c r="V255" s="498"/>
      <c r="W255" s="498"/>
      <c r="X255" s="498"/>
      <c r="Y255" s="498"/>
      <c r="Z255" s="498"/>
      <c r="AA255" s="498"/>
      <c r="AB255" s="498"/>
      <c r="AC255" s="498"/>
      <c r="AD255" s="498"/>
      <c r="AE255" s="498"/>
      <c r="AF255" s="498"/>
      <c r="AG255" s="498"/>
      <c r="AH255" s="498"/>
      <c r="AI255" s="498"/>
      <c r="AJ255" s="498"/>
      <c r="AK255" s="498"/>
      <c r="AL255" s="498"/>
      <c r="AM255" s="498"/>
      <c r="AN255" s="498"/>
      <c r="AO255" s="498"/>
      <c r="AP255" s="498"/>
      <c r="AQ255" s="498"/>
      <c r="AR255" s="498"/>
      <c r="AS255" s="498"/>
      <c r="AT255" s="498"/>
      <c r="AU255" s="498"/>
      <c r="AV255" s="498"/>
      <c r="AW255" s="498"/>
      <c r="AX255" s="498"/>
      <c r="AY255" s="498"/>
      <c r="AZ255" s="498"/>
      <c r="BA255" s="498"/>
      <c r="BB255" s="498"/>
      <c r="BC255" s="498"/>
      <c r="BD255" s="498"/>
      <c r="BE255" s="498"/>
      <c r="BF255" s="498"/>
      <c r="BG255" s="498"/>
      <c r="BH255" s="498"/>
      <c r="BI255" s="498"/>
      <c r="BJ255" s="498"/>
      <c r="BK255" s="498"/>
      <c r="BL255" s="498"/>
      <c r="BM255" s="760"/>
    </row>
    <row r="256" spans="2:65" ht="12" customHeight="1" thickBot="1">
      <c r="C256" s="539"/>
      <c r="D256" s="1246" t="s">
        <v>1163</v>
      </c>
      <c r="E256" s="1247"/>
      <c r="F256" s="1246" t="s">
        <v>880</v>
      </c>
      <c r="G256" s="1252"/>
      <c r="H256" s="1252"/>
      <c r="I256" s="1252"/>
      <c r="J256" s="1252"/>
      <c r="K256" s="1252"/>
      <c r="L256" s="1252"/>
      <c r="M256" s="1247"/>
      <c r="N256" s="1252" t="s">
        <v>1164</v>
      </c>
      <c r="O256" s="1252"/>
      <c r="P256" s="1252"/>
      <c r="Q256" s="1252"/>
      <c r="R256" s="1252"/>
      <c r="S256" s="1252"/>
      <c r="T256" s="1252"/>
      <c r="U256" s="1252"/>
      <c r="V256" s="1252"/>
      <c r="W256" s="1252"/>
      <c r="X256" s="1252"/>
      <c r="Y256" s="1252"/>
      <c r="Z256" s="1252"/>
      <c r="AA256" s="1252"/>
      <c r="AB256" s="1252"/>
      <c r="AC256" s="1252"/>
      <c r="AD256" s="1252"/>
      <c r="AE256" s="1252"/>
      <c r="AF256" s="1252"/>
      <c r="AG256" s="1252"/>
      <c r="AH256" s="1252"/>
      <c r="AI256" s="1252"/>
      <c r="AJ256" s="1252"/>
      <c r="AK256" s="1252"/>
      <c r="AL256" s="1252"/>
      <c r="AM256" s="1252"/>
      <c r="AN256" s="1252"/>
      <c r="AO256" s="1247"/>
      <c r="AP256" s="1254" t="s">
        <v>887</v>
      </c>
      <c r="AQ256" s="1255"/>
      <c r="AR256" s="1255"/>
      <c r="AS256" s="1255"/>
      <c r="AT256" s="1255"/>
      <c r="AU256" s="1256"/>
      <c r="AV256" s="1254" t="s">
        <v>888</v>
      </c>
      <c r="AW256" s="1255"/>
      <c r="AX256" s="1255"/>
      <c r="AY256" s="1255"/>
      <c r="AZ256" s="1255"/>
      <c r="BA256" s="1256"/>
      <c r="BB256" s="498"/>
      <c r="BC256" s="498"/>
      <c r="BD256" s="498"/>
      <c r="BE256" s="498"/>
      <c r="BF256" s="498"/>
      <c r="BG256" s="498"/>
      <c r="BH256" s="498"/>
      <c r="BI256" s="498"/>
      <c r="BJ256" s="498"/>
      <c r="BK256" s="498"/>
      <c r="BL256" s="498"/>
      <c r="BM256" s="760"/>
    </row>
    <row r="257" spans="3:65" ht="12" customHeight="1" thickBot="1">
      <c r="C257" s="539"/>
      <c r="D257" s="1248"/>
      <c r="E257" s="1249"/>
      <c r="F257" s="1248"/>
      <c r="G257" s="1132"/>
      <c r="H257" s="1132"/>
      <c r="I257" s="1132"/>
      <c r="J257" s="1132"/>
      <c r="K257" s="1132"/>
      <c r="L257" s="1132"/>
      <c r="M257" s="1249"/>
      <c r="N257" s="1263" t="s">
        <v>892</v>
      </c>
      <c r="O257" s="1264"/>
      <c r="P257" s="1264"/>
      <c r="Q257" s="1265"/>
      <c r="R257" s="1266" t="s">
        <v>893</v>
      </c>
      <c r="S257" s="1264"/>
      <c r="T257" s="1264"/>
      <c r="U257" s="1265"/>
      <c r="V257" s="1266" t="s">
        <v>894</v>
      </c>
      <c r="W257" s="1264"/>
      <c r="X257" s="1264"/>
      <c r="Y257" s="1265"/>
      <c r="Z257" s="1266" t="s">
        <v>895</v>
      </c>
      <c r="AA257" s="1264"/>
      <c r="AB257" s="1264"/>
      <c r="AC257" s="1265"/>
      <c r="AD257" s="1266" t="s">
        <v>896</v>
      </c>
      <c r="AE257" s="1264"/>
      <c r="AF257" s="1264"/>
      <c r="AG257" s="1265"/>
      <c r="AH257" s="1266" t="s">
        <v>897</v>
      </c>
      <c r="AI257" s="1264"/>
      <c r="AJ257" s="1264"/>
      <c r="AK257" s="1265"/>
      <c r="AL257" s="1266" t="s">
        <v>898</v>
      </c>
      <c r="AM257" s="1264"/>
      <c r="AN257" s="1264"/>
      <c r="AO257" s="1267"/>
      <c r="AP257" s="1257"/>
      <c r="AQ257" s="1258"/>
      <c r="AR257" s="1258"/>
      <c r="AS257" s="1258"/>
      <c r="AT257" s="1258"/>
      <c r="AU257" s="1259"/>
      <c r="AV257" s="1257"/>
      <c r="AW257" s="1258"/>
      <c r="AX257" s="1258"/>
      <c r="AY257" s="1258"/>
      <c r="AZ257" s="1258"/>
      <c r="BA257" s="1259"/>
      <c r="BB257" s="498"/>
      <c r="BC257" s="498"/>
      <c r="BD257" s="498"/>
      <c r="BE257" s="498"/>
      <c r="BF257" s="498"/>
      <c r="BG257" s="498"/>
      <c r="BH257" s="498"/>
      <c r="BI257" s="498"/>
      <c r="BJ257" s="498"/>
      <c r="BK257" s="498"/>
      <c r="BL257" s="498"/>
      <c r="BM257" s="760"/>
    </row>
    <row r="258" spans="3:65" ht="12" customHeight="1" thickBot="1">
      <c r="C258" s="539"/>
      <c r="D258" s="1250"/>
      <c r="E258" s="1251"/>
      <c r="F258" s="770"/>
      <c r="G258" s="772"/>
      <c r="H258" s="772"/>
      <c r="I258" s="772"/>
      <c r="J258" s="772"/>
      <c r="K258" s="772"/>
      <c r="L258" s="772"/>
      <c r="M258" s="771"/>
      <c r="N258" s="773" t="s">
        <v>905</v>
      </c>
      <c r="O258" s="774"/>
      <c r="P258" s="774"/>
      <c r="Q258" s="774"/>
      <c r="R258" s="774"/>
      <c r="S258" s="774"/>
      <c r="T258" s="774"/>
      <c r="U258" s="774"/>
      <c r="V258" s="774"/>
      <c r="W258" s="774"/>
      <c r="X258" s="774"/>
      <c r="Y258" s="774"/>
      <c r="Z258" s="774"/>
      <c r="AA258" s="774"/>
      <c r="AB258" s="774"/>
      <c r="AC258" s="774"/>
      <c r="AD258" s="773" t="s">
        <v>906</v>
      </c>
      <c r="AE258" s="774"/>
      <c r="AF258" s="774"/>
      <c r="AG258" s="774"/>
      <c r="AH258" s="774"/>
      <c r="AI258" s="774"/>
      <c r="AJ258" s="774"/>
      <c r="AK258" s="774"/>
      <c r="AL258" s="774"/>
      <c r="AM258" s="774"/>
      <c r="AN258" s="774"/>
      <c r="AO258" s="775"/>
      <c r="AP258" s="1260"/>
      <c r="AQ258" s="1261"/>
      <c r="AR258" s="1261"/>
      <c r="AS258" s="1261"/>
      <c r="AT258" s="1261"/>
      <c r="AU258" s="1262"/>
      <c r="AV258" s="1260"/>
      <c r="AW258" s="1261"/>
      <c r="AX258" s="1261"/>
      <c r="AY258" s="1261"/>
      <c r="AZ258" s="1261"/>
      <c r="BA258" s="1262"/>
      <c r="BB258" s="498"/>
      <c r="BC258" s="498"/>
      <c r="BD258" s="498"/>
      <c r="BE258" s="498"/>
      <c r="BF258" s="498"/>
      <c r="BG258" s="498"/>
      <c r="BH258" s="498"/>
      <c r="BI258" s="498"/>
      <c r="BJ258" s="498"/>
      <c r="BK258" s="498"/>
      <c r="BL258" s="498"/>
      <c r="BM258" s="760"/>
    </row>
    <row r="259" spans="3:65" ht="12" customHeight="1">
      <c r="C259" s="539"/>
      <c r="D259" s="1212" t="s">
        <v>1165</v>
      </c>
      <c r="E259" s="1213"/>
      <c r="F259" s="1212">
        <v>1</v>
      </c>
      <c r="G259" s="1218"/>
      <c r="H259" s="1221" t="s">
        <v>1166</v>
      </c>
      <c r="I259" s="1222"/>
      <c r="J259" s="1222"/>
      <c r="K259" s="1222"/>
      <c r="L259" s="1222"/>
      <c r="M259" s="1223"/>
      <c r="N259" s="1244"/>
      <c r="O259" s="1245"/>
      <c r="P259" s="1245"/>
      <c r="Q259" s="1245"/>
      <c r="R259" s="1229" t="s">
        <v>1167</v>
      </c>
      <c r="S259" s="1229"/>
      <c r="T259" s="1229"/>
      <c r="U259" s="1229"/>
      <c r="V259" s="1229" t="s">
        <v>1168</v>
      </c>
      <c r="W259" s="1229"/>
      <c r="X259" s="1229"/>
      <c r="Y259" s="1229"/>
      <c r="Z259" s="1245" t="s">
        <v>931</v>
      </c>
      <c r="AA259" s="1245"/>
      <c r="AB259" s="1245"/>
      <c r="AC259" s="1245"/>
      <c r="AD259" s="1245"/>
      <c r="AE259" s="1245"/>
      <c r="AF259" s="1245"/>
      <c r="AG259" s="1245"/>
      <c r="AH259" s="1245"/>
      <c r="AI259" s="1245"/>
      <c r="AJ259" s="1245"/>
      <c r="AK259" s="1245"/>
      <c r="AL259" s="1245"/>
      <c r="AM259" s="1245"/>
      <c r="AN259" s="1245"/>
      <c r="AO259" s="1253"/>
      <c r="AP259" s="1230"/>
      <c r="AQ259" s="1231"/>
      <c r="AR259" s="1231"/>
      <c r="AS259" s="1231"/>
      <c r="AT259" s="1231"/>
      <c r="AU259" s="1232"/>
      <c r="AV259" s="1230"/>
      <c r="AW259" s="1231"/>
      <c r="AX259" s="1231"/>
      <c r="AY259" s="1231"/>
      <c r="AZ259" s="1231"/>
      <c r="BA259" s="1232"/>
      <c r="BB259" s="498"/>
      <c r="BC259" s="498"/>
      <c r="BD259" s="498"/>
      <c r="BE259" s="498"/>
      <c r="BF259" s="498"/>
      <c r="BG259" s="498"/>
      <c r="BH259" s="498"/>
      <c r="BI259" s="498"/>
      <c r="BJ259" s="498"/>
      <c r="BK259" s="498"/>
      <c r="BL259" s="498"/>
      <c r="BM259" s="760"/>
    </row>
    <row r="260" spans="3:65" ht="12" customHeight="1">
      <c r="C260" s="539"/>
      <c r="D260" s="1214"/>
      <c r="E260" s="1215"/>
      <c r="F260" s="1214"/>
      <c r="G260" s="1219"/>
      <c r="H260" s="1014"/>
      <c r="I260" s="1015"/>
      <c r="J260" s="1015"/>
      <c r="K260" s="1015"/>
      <c r="L260" s="1015"/>
      <c r="M260" s="1224"/>
      <c r="N260" s="1240"/>
      <c r="O260" s="1241"/>
      <c r="P260" s="1241"/>
      <c r="Q260" s="1241"/>
      <c r="R260" s="1234"/>
      <c r="S260" s="1234"/>
      <c r="T260" s="1234"/>
      <c r="U260" s="1234"/>
      <c r="V260" s="1234"/>
      <c r="W260" s="1234"/>
      <c r="X260" s="1234"/>
      <c r="Y260" s="1234"/>
      <c r="Z260" s="1242" t="s">
        <v>934</v>
      </c>
      <c r="AA260" s="1242"/>
      <c r="AB260" s="1242"/>
      <c r="AC260" s="1242"/>
      <c r="AD260" s="1241"/>
      <c r="AE260" s="1241"/>
      <c r="AF260" s="1241"/>
      <c r="AG260" s="1241"/>
      <c r="AH260" s="1241"/>
      <c r="AI260" s="1241"/>
      <c r="AJ260" s="1241"/>
      <c r="AK260" s="1241"/>
      <c r="AL260" s="1241"/>
      <c r="AM260" s="1241"/>
      <c r="AN260" s="1241"/>
      <c r="AO260" s="1243"/>
      <c r="AP260" s="1236"/>
      <c r="AQ260" s="1237"/>
      <c r="AR260" s="1237"/>
      <c r="AS260" s="1237"/>
      <c r="AT260" s="1237"/>
      <c r="AU260" s="1238"/>
      <c r="AV260" s="1236"/>
      <c r="AW260" s="1237"/>
      <c r="AX260" s="1237"/>
      <c r="AY260" s="1237"/>
      <c r="AZ260" s="1237"/>
      <c r="BA260" s="1238"/>
      <c r="BB260" s="498"/>
      <c r="BC260" s="498"/>
      <c r="BD260" s="498"/>
      <c r="BE260" s="498"/>
      <c r="BF260" s="498"/>
      <c r="BG260" s="498"/>
      <c r="BH260" s="498"/>
      <c r="BI260" s="498"/>
      <c r="BJ260" s="498"/>
      <c r="BK260" s="498"/>
      <c r="BL260" s="498"/>
      <c r="BM260" s="760"/>
    </row>
    <row r="261" spans="3:65" ht="12" customHeight="1" thickBot="1">
      <c r="C261" s="539"/>
      <c r="D261" s="1216"/>
      <c r="E261" s="1217"/>
      <c r="F261" s="1216"/>
      <c r="G261" s="1220"/>
      <c r="H261" s="1225"/>
      <c r="I261" s="1226"/>
      <c r="J261" s="1226"/>
      <c r="K261" s="1226"/>
      <c r="L261" s="1226"/>
      <c r="M261" s="1227"/>
      <c r="N261" s="776" t="s">
        <v>921</v>
      </c>
      <c r="O261" s="777"/>
      <c r="P261" s="777"/>
      <c r="Q261" s="777"/>
      <c r="R261" s="777"/>
      <c r="S261" s="777"/>
      <c r="T261" s="777"/>
      <c r="U261" s="777"/>
      <c r="V261" s="777"/>
      <c r="W261" s="777"/>
      <c r="X261" s="777"/>
      <c r="Y261" s="777"/>
      <c r="Z261" s="777"/>
      <c r="AA261" s="777"/>
      <c r="AB261" s="777"/>
      <c r="AC261" s="778"/>
      <c r="AD261" s="779" t="s">
        <v>922</v>
      </c>
      <c r="AE261" s="780"/>
      <c r="AF261" s="780"/>
      <c r="AG261" s="780"/>
      <c r="AH261" s="780"/>
      <c r="AI261" s="780"/>
      <c r="AJ261" s="780"/>
      <c r="AK261" s="780"/>
      <c r="AL261" s="780"/>
      <c r="AM261" s="780"/>
      <c r="AN261" s="780"/>
      <c r="AO261" s="781"/>
      <c r="AP261" s="1203"/>
      <c r="AQ261" s="1204"/>
      <c r="AR261" s="1204"/>
      <c r="AS261" s="1204"/>
      <c r="AT261" s="1204"/>
      <c r="AU261" s="1205"/>
      <c r="AV261" s="1203"/>
      <c r="AW261" s="1204"/>
      <c r="AX261" s="1204"/>
      <c r="AY261" s="1204"/>
      <c r="AZ261" s="1204"/>
      <c r="BA261" s="1205"/>
      <c r="BB261" s="498"/>
      <c r="BC261" s="498"/>
      <c r="BD261" s="498"/>
      <c r="BE261" s="498"/>
      <c r="BF261" s="498"/>
      <c r="BG261" s="498"/>
      <c r="BH261" s="498"/>
      <c r="BI261" s="498"/>
      <c r="BJ261" s="498"/>
      <c r="BK261" s="498"/>
      <c r="BL261" s="498"/>
      <c r="BM261" s="760"/>
    </row>
    <row r="262" spans="3:65" ht="12" customHeight="1">
      <c r="C262" s="539"/>
      <c r="D262" s="1212" t="s">
        <v>1165</v>
      </c>
      <c r="E262" s="1213"/>
      <c r="F262" s="1212">
        <v>2</v>
      </c>
      <c r="G262" s="1218"/>
      <c r="H262" s="1221" t="s">
        <v>1169</v>
      </c>
      <c r="I262" s="1222"/>
      <c r="J262" s="1222"/>
      <c r="K262" s="1222"/>
      <c r="L262" s="1222"/>
      <c r="M262" s="1223"/>
      <c r="N262" s="1228" t="s">
        <v>1170</v>
      </c>
      <c r="O262" s="1229"/>
      <c r="P262" s="1229"/>
      <c r="Q262" s="1229"/>
      <c r="R262" s="1229" t="s">
        <v>1171</v>
      </c>
      <c r="S262" s="1229"/>
      <c r="T262" s="1229"/>
      <c r="U262" s="1229"/>
      <c r="V262" s="1229" t="s">
        <v>1172</v>
      </c>
      <c r="W262" s="1229"/>
      <c r="X262" s="1229"/>
      <c r="Y262" s="1229"/>
      <c r="Z262" s="1229" t="s">
        <v>1173</v>
      </c>
      <c r="AA262" s="1229"/>
      <c r="AB262" s="1229"/>
      <c r="AC262" s="1229"/>
      <c r="AD262" s="1229" t="s">
        <v>1174</v>
      </c>
      <c r="AE262" s="1229"/>
      <c r="AF262" s="1229"/>
      <c r="AG262" s="1229"/>
      <c r="AH262" s="1229" t="s">
        <v>1175</v>
      </c>
      <c r="AI262" s="1229"/>
      <c r="AJ262" s="1229"/>
      <c r="AK262" s="1229"/>
      <c r="AL262" s="1229" t="s">
        <v>1176</v>
      </c>
      <c r="AM262" s="1229"/>
      <c r="AN262" s="1229"/>
      <c r="AO262" s="1239"/>
      <c r="AP262" s="1230"/>
      <c r="AQ262" s="1231"/>
      <c r="AR262" s="1231"/>
      <c r="AS262" s="1231"/>
      <c r="AT262" s="1231"/>
      <c r="AU262" s="1232"/>
      <c r="AV262" s="1230"/>
      <c r="AW262" s="1231"/>
      <c r="AX262" s="1231"/>
      <c r="AY262" s="1231"/>
      <c r="AZ262" s="1231"/>
      <c r="BA262" s="1232"/>
      <c r="BB262" s="498"/>
      <c r="BC262" s="498"/>
      <c r="BD262" s="498"/>
      <c r="BE262" s="498"/>
      <c r="BF262" s="498"/>
      <c r="BG262" s="498"/>
      <c r="BH262" s="498"/>
      <c r="BI262" s="498"/>
      <c r="BJ262" s="498"/>
      <c r="BK262" s="498"/>
      <c r="BL262" s="498"/>
      <c r="BM262" s="760"/>
    </row>
    <row r="263" spans="3:65" ht="12" customHeight="1">
      <c r="C263" s="539"/>
      <c r="D263" s="1214"/>
      <c r="E263" s="1215"/>
      <c r="F263" s="1214"/>
      <c r="G263" s="1219"/>
      <c r="H263" s="1014"/>
      <c r="I263" s="1015"/>
      <c r="J263" s="1015"/>
      <c r="K263" s="1015"/>
      <c r="L263" s="1015"/>
      <c r="M263" s="1224"/>
      <c r="N263" s="1233"/>
      <c r="O263" s="1234"/>
      <c r="P263" s="1234"/>
      <c r="Q263" s="1234"/>
      <c r="R263" s="1234"/>
      <c r="S263" s="1234"/>
      <c r="T263" s="1234"/>
      <c r="U263" s="1234"/>
      <c r="V263" s="1234"/>
      <c r="W263" s="1234"/>
      <c r="X263" s="1234"/>
      <c r="Y263" s="1234"/>
      <c r="Z263" s="1234"/>
      <c r="AA263" s="1234"/>
      <c r="AB263" s="1234"/>
      <c r="AC263" s="1234"/>
      <c r="AD263" s="1234"/>
      <c r="AE263" s="1234"/>
      <c r="AF263" s="1234"/>
      <c r="AG263" s="1234"/>
      <c r="AH263" s="1234"/>
      <c r="AI263" s="1234"/>
      <c r="AJ263" s="1234"/>
      <c r="AK263" s="1234"/>
      <c r="AL263" s="1234"/>
      <c r="AM263" s="1234"/>
      <c r="AN263" s="1234"/>
      <c r="AO263" s="1235"/>
      <c r="AP263" s="1236"/>
      <c r="AQ263" s="1237"/>
      <c r="AR263" s="1237"/>
      <c r="AS263" s="1237"/>
      <c r="AT263" s="1237"/>
      <c r="AU263" s="1238"/>
      <c r="AV263" s="1236"/>
      <c r="AW263" s="1237"/>
      <c r="AX263" s="1237"/>
      <c r="AY263" s="1237"/>
      <c r="AZ263" s="1237"/>
      <c r="BA263" s="1238"/>
      <c r="BB263" s="498"/>
      <c r="BC263" s="498"/>
      <c r="BD263" s="498"/>
      <c r="BE263" s="498"/>
      <c r="BF263" s="498"/>
      <c r="BG263" s="498"/>
      <c r="BH263" s="498"/>
      <c r="BI263" s="498"/>
      <c r="BJ263" s="498"/>
      <c r="BK263" s="498"/>
      <c r="BL263" s="498"/>
      <c r="BM263" s="760"/>
    </row>
    <row r="264" spans="3:65" ht="12" customHeight="1" thickBot="1">
      <c r="C264" s="539"/>
      <c r="D264" s="1216"/>
      <c r="E264" s="1217"/>
      <c r="F264" s="1216"/>
      <c r="G264" s="1220"/>
      <c r="H264" s="1225"/>
      <c r="I264" s="1226"/>
      <c r="J264" s="1226"/>
      <c r="K264" s="1226"/>
      <c r="L264" s="1226"/>
      <c r="M264" s="1227"/>
      <c r="N264" s="776" t="s">
        <v>921</v>
      </c>
      <c r="O264" s="777"/>
      <c r="P264" s="777"/>
      <c r="Q264" s="777"/>
      <c r="R264" s="777"/>
      <c r="S264" s="777"/>
      <c r="T264" s="777"/>
      <c r="U264" s="777"/>
      <c r="V264" s="777"/>
      <c r="W264" s="777"/>
      <c r="X264" s="777"/>
      <c r="Y264" s="777"/>
      <c r="Z264" s="777"/>
      <c r="AA264" s="777"/>
      <c r="AB264" s="777"/>
      <c r="AC264" s="778"/>
      <c r="AD264" s="779" t="s">
        <v>1177</v>
      </c>
      <c r="AE264" s="780"/>
      <c r="AF264" s="780"/>
      <c r="AG264" s="780"/>
      <c r="AH264" s="780"/>
      <c r="AI264" s="780"/>
      <c r="AJ264" s="780"/>
      <c r="AK264" s="780"/>
      <c r="AL264" s="780"/>
      <c r="AM264" s="780"/>
      <c r="AN264" s="780"/>
      <c r="AO264" s="781"/>
      <c r="AP264" s="1203"/>
      <c r="AQ264" s="1204"/>
      <c r="AR264" s="1204"/>
      <c r="AS264" s="1204"/>
      <c r="AT264" s="1204"/>
      <c r="AU264" s="1205"/>
      <c r="AV264" s="1203"/>
      <c r="AW264" s="1204"/>
      <c r="AX264" s="1204"/>
      <c r="AY264" s="1204"/>
      <c r="AZ264" s="1204"/>
      <c r="BA264" s="1205"/>
      <c r="BB264" s="498"/>
      <c r="BC264" s="498"/>
      <c r="BD264" s="498"/>
      <c r="BE264" s="498"/>
      <c r="BF264" s="498"/>
      <c r="BG264" s="498"/>
      <c r="BH264" s="498"/>
      <c r="BI264" s="498"/>
      <c r="BJ264" s="498"/>
      <c r="BK264" s="498"/>
      <c r="BL264" s="498"/>
      <c r="BM264" s="760"/>
    </row>
    <row r="265" spans="3:65" ht="12" customHeight="1" thickBot="1">
      <c r="C265" s="539"/>
      <c r="D265" s="498"/>
      <c r="E265" s="498"/>
      <c r="F265" s="498"/>
      <c r="G265" s="498"/>
      <c r="H265" s="498"/>
      <c r="I265" s="498"/>
      <c r="J265" s="498"/>
      <c r="K265" s="498"/>
      <c r="L265" s="498"/>
      <c r="M265" s="498"/>
      <c r="N265" s="498"/>
      <c r="O265" s="647"/>
      <c r="P265" s="498"/>
      <c r="Q265" s="498"/>
      <c r="R265" s="498"/>
      <c r="S265" s="498"/>
      <c r="T265" s="498"/>
      <c r="U265" s="498"/>
      <c r="V265" s="498"/>
      <c r="W265" s="498"/>
      <c r="X265" s="498"/>
      <c r="Y265" s="498"/>
      <c r="Z265" s="498"/>
      <c r="AA265" s="498"/>
      <c r="AB265" s="498"/>
      <c r="AC265" s="498"/>
      <c r="AD265" s="498"/>
      <c r="AE265" s="498"/>
      <c r="AF265" s="498"/>
      <c r="AG265" s="498"/>
      <c r="AH265" s="498"/>
      <c r="AI265" s="498"/>
      <c r="AJ265" s="498"/>
      <c r="AK265" s="498"/>
      <c r="AL265" s="498"/>
      <c r="AM265" s="498"/>
      <c r="AN265" s="498"/>
      <c r="AO265" s="498"/>
      <c r="AP265" s="498"/>
      <c r="AQ265" s="498"/>
      <c r="AR265" s="498"/>
      <c r="AS265" s="498"/>
      <c r="AT265" s="498"/>
      <c r="AU265" s="498"/>
      <c r="AV265" s="498"/>
      <c r="AW265" s="498"/>
      <c r="AX265" s="498"/>
      <c r="AY265" s="498"/>
      <c r="AZ265" s="498"/>
      <c r="BA265" s="498"/>
      <c r="BB265" s="498"/>
      <c r="BC265" s="498"/>
      <c r="BD265" s="498"/>
      <c r="BE265" s="498"/>
      <c r="BF265" s="498"/>
      <c r="BG265" s="498"/>
      <c r="BH265" s="498"/>
      <c r="BI265" s="498"/>
      <c r="BJ265" s="498"/>
      <c r="BK265" s="498"/>
      <c r="BL265" s="498"/>
      <c r="BM265" s="760"/>
    </row>
    <row r="266" spans="3:65" ht="12" customHeight="1">
      <c r="C266" s="539"/>
      <c r="D266" s="1206" t="s">
        <v>1178</v>
      </c>
      <c r="E266" s="1207"/>
      <c r="F266" s="1207"/>
      <c r="G266" s="1207"/>
      <c r="H266" s="1207"/>
      <c r="I266" s="1207"/>
      <c r="J266" s="1207"/>
      <c r="K266" s="1207"/>
      <c r="L266" s="1207"/>
      <c r="M266" s="1207"/>
      <c r="N266" s="1207"/>
      <c r="O266" s="1207"/>
      <c r="P266" s="1207"/>
      <c r="Q266" s="1207"/>
      <c r="R266" s="1207"/>
      <c r="S266" s="1207"/>
      <c r="T266" s="1207"/>
      <c r="U266" s="1207"/>
      <c r="V266" s="1207"/>
      <c r="W266" s="1207"/>
      <c r="X266" s="1207"/>
      <c r="Y266" s="1207"/>
      <c r="Z266" s="1207"/>
      <c r="AA266" s="1207"/>
      <c r="AB266" s="1208"/>
      <c r="AC266" s="498"/>
      <c r="AD266" s="1209" t="s">
        <v>1179</v>
      </c>
      <c r="AE266" s="1207"/>
      <c r="AF266" s="1207"/>
      <c r="AG266" s="1207"/>
      <c r="AH266" s="1207"/>
      <c r="AI266" s="1207"/>
      <c r="AJ266" s="1207"/>
      <c r="AK266" s="1208"/>
      <c r="AL266" s="1209" t="s">
        <v>1180</v>
      </c>
      <c r="AM266" s="1207"/>
      <c r="AN266" s="1207"/>
      <c r="AO266" s="1207"/>
      <c r="AP266" s="1207"/>
      <c r="AQ266" s="1207"/>
      <c r="AR266" s="1207"/>
      <c r="AS266" s="1208"/>
      <c r="AT266" s="498"/>
      <c r="AU266" s="498"/>
      <c r="AV266" s="498"/>
      <c r="AW266" s="498"/>
      <c r="AX266" s="498"/>
      <c r="AY266" s="498"/>
      <c r="AZ266" s="498"/>
      <c r="BA266" s="498"/>
      <c r="BB266" s="498"/>
      <c r="BC266" s="498"/>
      <c r="BD266" s="498"/>
      <c r="BE266" s="498"/>
      <c r="BF266" s="498"/>
      <c r="BG266" s="498"/>
      <c r="BH266" s="498"/>
      <c r="BI266" s="498"/>
      <c r="BJ266" s="498"/>
      <c r="BK266" s="498"/>
      <c r="BL266" s="498"/>
      <c r="BM266" s="760"/>
    </row>
    <row r="267" spans="3:65" ht="12" customHeight="1" thickBot="1">
      <c r="C267" s="539"/>
      <c r="D267" s="1210" t="s">
        <v>1181</v>
      </c>
      <c r="E267" s="1211"/>
      <c r="F267" s="1211"/>
      <c r="G267" s="1211"/>
      <c r="H267" s="1211"/>
      <c r="I267" s="1196" t="s">
        <v>1159</v>
      </c>
      <c r="J267" s="1196"/>
      <c r="K267" s="1196"/>
      <c r="L267" s="1196"/>
      <c r="M267" s="1211" t="s">
        <v>1182</v>
      </c>
      <c r="N267" s="1211"/>
      <c r="O267" s="1211"/>
      <c r="P267" s="1211"/>
      <c r="Q267" s="1196" t="s">
        <v>1159</v>
      </c>
      <c r="R267" s="1196"/>
      <c r="S267" s="1196"/>
      <c r="T267" s="1196"/>
      <c r="U267" s="1211" t="s">
        <v>1183</v>
      </c>
      <c r="V267" s="1211"/>
      <c r="W267" s="1211"/>
      <c r="X267" s="1211"/>
      <c r="Y267" s="1196" t="s">
        <v>1159</v>
      </c>
      <c r="Z267" s="1196"/>
      <c r="AA267" s="1196"/>
      <c r="AB267" s="1197"/>
      <c r="AC267" s="498"/>
      <c r="AD267" s="1198" t="s">
        <v>901</v>
      </c>
      <c r="AE267" s="1199"/>
      <c r="AF267" s="1199"/>
      <c r="AG267" s="1199"/>
      <c r="AH267" s="1200">
        <v>2000</v>
      </c>
      <c r="AI267" s="1200"/>
      <c r="AJ267" s="1200"/>
      <c r="AK267" s="1201"/>
      <c r="AL267" s="1198" t="s">
        <v>1184</v>
      </c>
      <c r="AM267" s="1199"/>
      <c r="AN267" s="1199"/>
      <c r="AO267" s="1199"/>
      <c r="AP267" s="1200">
        <v>1000</v>
      </c>
      <c r="AQ267" s="1200"/>
      <c r="AR267" s="1200"/>
      <c r="AS267" s="1201"/>
      <c r="AT267" s="498"/>
      <c r="AU267" s="498"/>
      <c r="AV267" s="498"/>
      <c r="AW267" s="498"/>
      <c r="AX267" s="498"/>
      <c r="AY267" s="498"/>
      <c r="AZ267" s="498"/>
      <c r="BA267" s="498"/>
      <c r="BB267" s="498"/>
      <c r="BC267" s="498"/>
      <c r="BD267" s="498"/>
      <c r="BE267" s="498"/>
      <c r="BF267" s="498"/>
      <c r="BG267" s="498"/>
      <c r="BH267" s="498"/>
      <c r="BI267" s="498"/>
      <c r="BJ267" s="498"/>
      <c r="BK267" s="498"/>
      <c r="BL267" s="498"/>
      <c r="BM267" s="760"/>
    </row>
    <row r="268" spans="3:65" ht="12" customHeight="1">
      <c r="C268" s="539"/>
      <c r="D268" s="498"/>
      <c r="E268" s="498"/>
      <c r="F268" s="498"/>
      <c r="G268" s="498"/>
      <c r="H268" s="498"/>
      <c r="I268" s="498"/>
      <c r="J268" s="498"/>
      <c r="K268" s="498"/>
      <c r="L268" s="498"/>
      <c r="M268" s="498"/>
      <c r="N268" s="498"/>
      <c r="O268" s="647"/>
      <c r="P268" s="498"/>
      <c r="Q268" s="498"/>
      <c r="R268" s="498"/>
      <c r="S268" s="498"/>
      <c r="T268" s="498"/>
      <c r="U268" s="498"/>
      <c r="V268" s="498"/>
      <c r="W268" s="498"/>
      <c r="X268" s="498"/>
      <c r="Y268" s="498"/>
      <c r="Z268" s="498"/>
      <c r="AA268" s="498"/>
      <c r="AB268" s="498"/>
      <c r="AC268" s="498"/>
      <c r="AD268" s="498"/>
      <c r="AE268" s="498"/>
      <c r="AF268" s="498"/>
      <c r="AG268" s="498"/>
      <c r="AH268" s="498"/>
      <c r="AI268" s="498"/>
      <c r="AJ268" s="498"/>
      <c r="AK268" s="498"/>
      <c r="AL268" s="498"/>
      <c r="AM268" s="498"/>
      <c r="AN268" s="498"/>
      <c r="AO268" s="498"/>
      <c r="AP268" s="498"/>
      <c r="AQ268" s="498"/>
      <c r="AR268" s="498"/>
      <c r="AS268" s="498"/>
      <c r="AT268" s="498"/>
      <c r="AU268" s="498"/>
      <c r="AV268" s="498"/>
      <c r="AW268" s="498"/>
      <c r="AX268" s="498"/>
      <c r="AY268" s="498"/>
      <c r="AZ268" s="498"/>
      <c r="BA268" s="498"/>
      <c r="BB268" s="498"/>
      <c r="BC268" s="498"/>
      <c r="BD268" s="498"/>
      <c r="BE268" s="498"/>
      <c r="BF268" s="498"/>
      <c r="BG268" s="498"/>
      <c r="BH268" s="498"/>
      <c r="BI268" s="498"/>
      <c r="BJ268" s="498"/>
      <c r="BK268" s="498"/>
      <c r="BL268" s="498"/>
      <c r="BM268" s="760"/>
    </row>
    <row r="269" spans="3:65" ht="12" customHeight="1">
      <c r="C269" s="539"/>
      <c r="D269" s="498"/>
      <c r="E269" s="498"/>
      <c r="F269" s="498"/>
      <c r="G269" s="498"/>
      <c r="H269" s="498"/>
      <c r="I269" s="498"/>
      <c r="J269" s="498"/>
      <c r="K269" s="498"/>
      <c r="L269" s="498"/>
      <c r="M269" s="498"/>
      <c r="N269" s="498"/>
      <c r="O269" s="647"/>
      <c r="P269" s="498"/>
      <c r="Q269" s="498"/>
      <c r="R269" s="498"/>
      <c r="S269" s="498"/>
      <c r="T269" s="498"/>
      <c r="U269" s="498"/>
      <c r="V269" s="498"/>
      <c r="W269" s="498"/>
      <c r="X269" s="498"/>
      <c r="Y269" s="498"/>
      <c r="Z269" s="498"/>
      <c r="AA269" s="498"/>
      <c r="AB269" s="498"/>
      <c r="AC269" s="498"/>
      <c r="AD269" s="498"/>
      <c r="AE269" s="498"/>
      <c r="AF269" s="498"/>
      <c r="AG269" s="498"/>
      <c r="AH269" s="498"/>
      <c r="AI269" s="498"/>
      <c r="AJ269" s="498"/>
      <c r="AK269" s="498"/>
      <c r="AL269" s="498"/>
      <c r="AM269" s="498"/>
      <c r="AN269" s="498"/>
      <c r="AO269" s="498"/>
      <c r="AP269" s="498"/>
      <c r="AQ269" s="498"/>
      <c r="AR269" s="498"/>
      <c r="AS269" s="498"/>
      <c r="AT269" s="498"/>
      <c r="AU269" s="498"/>
      <c r="AV269" s="498"/>
      <c r="AW269" s="498"/>
      <c r="AX269" s="498"/>
      <c r="AY269" s="498"/>
      <c r="AZ269" s="498"/>
      <c r="BA269" s="498"/>
      <c r="BB269" s="498"/>
      <c r="BC269" s="498"/>
      <c r="BD269" s="498"/>
      <c r="BE269" s="498"/>
      <c r="BF269" s="498"/>
      <c r="BG269" s="498"/>
      <c r="BH269" s="498"/>
      <c r="BI269" s="498"/>
      <c r="BJ269" s="498"/>
      <c r="BK269" s="498"/>
      <c r="BL269" s="498"/>
      <c r="BM269" s="760"/>
    </row>
    <row r="270" spans="3:65" ht="12" customHeight="1">
      <c r="C270" s="539"/>
      <c r="D270" s="1202" t="s">
        <v>1185</v>
      </c>
      <c r="E270" s="1202"/>
      <c r="F270" s="1202"/>
      <c r="G270" s="1202"/>
      <c r="H270" s="782" t="s">
        <v>1186</v>
      </c>
      <c r="I270" s="783"/>
      <c r="J270" s="783"/>
      <c r="K270" s="783"/>
      <c r="L270" s="783"/>
      <c r="M270" s="783"/>
      <c r="N270" s="783"/>
      <c r="O270" s="783"/>
      <c r="P270" s="783"/>
      <c r="Q270" s="783"/>
      <c r="R270" s="783"/>
      <c r="S270" s="783"/>
      <c r="T270" s="762"/>
      <c r="U270" s="762"/>
      <c r="V270" s="762"/>
      <c r="W270" s="762"/>
      <c r="X270" s="762"/>
      <c r="Y270" s="763"/>
      <c r="Z270" s="498"/>
      <c r="AA270" s="498"/>
      <c r="AB270" s="498"/>
      <c r="AC270" s="498"/>
      <c r="AD270" s="498"/>
      <c r="AE270" s="498"/>
      <c r="AF270" s="498"/>
      <c r="AG270" s="498"/>
      <c r="AH270" s="498"/>
      <c r="AI270" s="498"/>
      <c r="AJ270" s="498"/>
      <c r="AK270" s="498"/>
      <c r="AL270" s="498"/>
      <c r="AM270" s="498"/>
      <c r="AN270" s="498"/>
      <c r="AO270" s="498"/>
      <c r="AP270" s="498"/>
      <c r="AQ270" s="498"/>
      <c r="AR270" s="498"/>
      <c r="AS270" s="498"/>
      <c r="AT270" s="498"/>
      <c r="AU270" s="498"/>
      <c r="AV270" s="498"/>
      <c r="AW270" s="498"/>
      <c r="AX270" s="498"/>
      <c r="AY270" s="498"/>
      <c r="AZ270" s="498"/>
      <c r="BA270" s="498"/>
      <c r="BB270" s="498"/>
      <c r="BC270" s="498"/>
      <c r="BD270" s="498"/>
      <c r="BE270" s="498"/>
      <c r="BF270" s="498"/>
      <c r="BG270" s="498"/>
      <c r="BH270" s="498"/>
      <c r="BI270" s="498"/>
      <c r="BJ270" s="498"/>
      <c r="BK270" s="498"/>
      <c r="BL270" s="498"/>
      <c r="BM270" s="760"/>
    </row>
    <row r="271" spans="3:65" ht="12" customHeight="1">
      <c r="C271" s="539"/>
      <c r="D271" s="498"/>
      <c r="E271" s="498"/>
      <c r="F271" s="498"/>
      <c r="G271" s="498"/>
      <c r="H271" s="498"/>
      <c r="I271" s="498"/>
      <c r="J271" s="498"/>
      <c r="K271" s="498"/>
      <c r="L271" s="498"/>
      <c r="M271" s="498"/>
      <c r="N271" s="498"/>
      <c r="O271" s="647"/>
      <c r="P271" s="498"/>
      <c r="Q271" s="498"/>
      <c r="R271" s="498"/>
      <c r="S271" s="498"/>
      <c r="T271" s="498"/>
      <c r="U271" s="498"/>
      <c r="V271" s="498"/>
      <c r="W271" s="498"/>
      <c r="X271" s="498"/>
      <c r="Y271" s="498"/>
      <c r="Z271" s="498"/>
      <c r="AA271" s="498"/>
      <c r="AB271" s="498"/>
      <c r="AC271" s="498"/>
      <c r="AD271" s="498"/>
      <c r="AE271" s="498"/>
      <c r="AF271" s="498"/>
      <c r="AG271" s="498"/>
      <c r="AH271" s="498"/>
      <c r="AI271" s="498"/>
      <c r="AJ271" s="498"/>
      <c r="AK271" s="498"/>
      <c r="AL271" s="498"/>
      <c r="AM271" s="498"/>
      <c r="AN271" s="498"/>
      <c r="AO271" s="498"/>
      <c r="AP271" s="498"/>
      <c r="AQ271" s="498"/>
      <c r="AR271" s="498"/>
      <c r="AS271" s="498"/>
      <c r="AT271" s="498"/>
      <c r="AU271" s="498"/>
      <c r="AV271" s="498"/>
      <c r="AW271" s="498"/>
      <c r="AX271" s="498"/>
      <c r="AY271" s="498"/>
      <c r="AZ271" s="498"/>
      <c r="BA271" s="498"/>
      <c r="BB271" s="498"/>
      <c r="BC271" s="498"/>
      <c r="BD271" s="498"/>
      <c r="BE271" s="498"/>
      <c r="BF271" s="498"/>
      <c r="BG271" s="498"/>
      <c r="BH271" s="498"/>
      <c r="BI271" s="498"/>
      <c r="BJ271" s="498"/>
      <c r="BK271" s="498"/>
      <c r="BL271" s="498"/>
      <c r="BM271" s="760"/>
    </row>
    <row r="272" spans="3:65" ht="12" customHeight="1">
      <c r="C272" s="539"/>
      <c r="D272" s="498"/>
      <c r="E272" s="498"/>
      <c r="F272" s="498"/>
      <c r="G272" s="498"/>
      <c r="H272" s="498"/>
      <c r="I272" s="498"/>
      <c r="J272" s="498"/>
      <c r="K272" s="498"/>
      <c r="L272" s="498"/>
      <c r="M272" s="498"/>
      <c r="N272" s="498"/>
      <c r="O272" s="647"/>
      <c r="P272" s="498"/>
      <c r="Q272" s="498"/>
      <c r="R272" s="498"/>
      <c r="S272" s="498"/>
      <c r="T272" s="498"/>
      <c r="U272" s="498"/>
      <c r="V272" s="498"/>
      <c r="W272" s="498"/>
      <c r="X272" s="498"/>
      <c r="Y272" s="498"/>
      <c r="Z272" s="498"/>
      <c r="AA272" s="498"/>
      <c r="AB272" s="498"/>
      <c r="AC272" s="498"/>
      <c r="AD272" s="498"/>
      <c r="AE272" s="498"/>
      <c r="AF272" s="498"/>
      <c r="AG272" s="498"/>
      <c r="AH272" s="498"/>
      <c r="AI272" s="498"/>
      <c r="AJ272" s="498"/>
      <c r="AK272" s="498"/>
      <c r="AL272" s="498"/>
      <c r="AM272" s="498"/>
      <c r="AN272" s="498"/>
      <c r="AO272" s="498"/>
      <c r="AP272" s="498"/>
      <c r="AQ272" s="498"/>
      <c r="AR272" s="498"/>
      <c r="AS272" s="498"/>
      <c r="AT272" s="498"/>
      <c r="AU272" s="498"/>
      <c r="AV272" s="498"/>
      <c r="AW272" s="498"/>
      <c r="AX272" s="498"/>
      <c r="AY272" s="498"/>
      <c r="AZ272" s="498"/>
      <c r="BA272" s="498"/>
      <c r="BB272" s="498"/>
      <c r="BC272" s="498"/>
      <c r="BD272" s="498"/>
      <c r="BE272" s="498"/>
      <c r="BF272" s="498"/>
      <c r="BG272" s="498"/>
      <c r="BH272" s="498"/>
      <c r="BI272" s="498"/>
      <c r="BJ272" s="498"/>
      <c r="BK272" s="498"/>
      <c r="BL272" s="498"/>
      <c r="BM272" s="760"/>
    </row>
    <row r="273" spans="2:65" ht="12" customHeight="1">
      <c r="C273" s="539"/>
      <c r="D273" s="498"/>
      <c r="E273" s="498"/>
      <c r="F273" s="498"/>
      <c r="G273" s="498"/>
      <c r="H273" s="498"/>
      <c r="I273" s="498"/>
      <c r="J273" s="498"/>
      <c r="K273" s="498"/>
      <c r="L273" s="498"/>
      <c r="M273" s="498"/>
      <c r="N273" s="498"/>
      <c r="O273" s="647"/>
      <c r="P273" s="498"/>
      <c r="Q273" s="498"/>
      <c r="R273" s="498"/>
      <c r="S273" s="498"/>
      <c r="T273" s="498"/>
      <c r="U273" s="498"/>
      <c r="V273" s="498"/>
      <c r="W273" s="498"/>
      <c r="X273" s="498"/>
      <c r="Y273" s="498"/>
      <c r="Z273" s="498"/>
      <c r="AA273" s="498"/>
      <c r="AB273" s="498"/>
      <c r="AC273" s="498"/>
      <c r="AD273" s="498"/>
      <c r="AE273" s="498"/>
      <c r="AF273" s="498"/>
      <c r="AG273" s="498"/>
      <c r="AH273" s="498"/>
      <c r="AI273" s="498"/>
      <c r="AJ273" s="498"/>
      <c r="AK273" s="498"/>
      <c r="AL273" s="498"/>
      <c r="AM273" s="498"/>
      <c r="AN273" s="498"/>
      <c r="AO273" s="498"/>
      <c r="AP273" s="498"/>
      <c r="AQ273" s="498"/>
      <c r="AR273" s="498"/>
      <c r="AS273" s="498"/>
      <c r="AT273" s="498"/>
      <c r="AU273" s="498"/>
      <c r="AV273" s="498"/>
      <c r="AW273" s="498"/>
      <c r="AX273" s="498"/>
      <c r="AY273" s="498"/>
      <c r="AZ273" s="498"/>
      <c r="BA273" s="498"/>
      <c r="BB273" s="498"/>
      <c r="BC273" s="498"/>
      <c r="BD273" s="498"/>
      <c r="BE273" s="498"/>
      <c r="BF273" s="498"/>
      <c r="BG273" s="498"/>
      <c r="BH273" s="498"/>
      <c r="BI273" s="498"/>
      <c r="BJ273" s="498"/>
      <c r="BK273" s="498"/>
      <c r="BL273" s="498"/>
      <c r="BM273" s="760"/>
    </row>
    <row r="274" spans="2:65" ht="12" customHeight="1">
      <c r="C274" s="539"/>
      <c r="D274" s="498"/>
      <c r="E274" s="498"/>
      <c r="F274" s="498"/>
      <c r="G274" s="498"/>
      <c r="H274" s="498"/>
      <c r="I274" s="498"/>
      <c r="J274" s="498"/>
      <c r="K274" s="498"/>
      <c r="L274" s="498"/>
      <c r="M274" s="498"/>
      <c r="N274" s="498"/>
      <c r="O274" s="647"/>
      <c r="P274" s="498"/>
      <c r="Q274" s="498"/>
      <c r="R274" s="498"/>
      <c r="S274" s="498"/>
      <c r="T274" s="498"/>
      <c r="U274" s="498"/>
      <c r="V274" s="498"/>
      <c r="W274" s="498"/>
      <c r="X274" s="498"/>
      <c r="Y274" s="498"/>
      <c r="Z274" s="498"/>
      <c r="AA274" s="498"/>
      <c r="AB274" s="498"/>
      <c r="AC274" s="498"/>
      <c r="AD274" s="498"/>
      <c r="AE274" s="498"/>
      <c r="AF274" s="498"/>
      <c r="AG274" s="498"/>
      <c r="AH274" s="498"/>
      <c r="AI274" s="498"/>
      <c r="AJ274" s="498"/>
      <c r="AK274" s="498"/>
      <c r="AL274" s="498"/>
      <c r="AM274" s="498"/>
      <c r="AN274" s="498"/>
      <c r="AO274" s="498"/>
      <c r="AP274" s="498"/>
      <c r="AQ274" s="498"/>
      <c r="AR274" s="498"/>
      <c r="AS274" s="498"/>
      <c r="AT274" s="498"/>
      <c r="AU274" s="498"/>
      <c r="AV274" s="498"/>
      <c r="AW274" s="498"/>
      <c r="AX274" s="498"/>
      <c r="AY274" s="498"/>
      <c r="AZ274" s="498"/>
      <c r="BA274" s="498"/>
      <c r="BB274" s="498"/>
      <c r="BC274" s="498"/>
      <c r="BD274" s="498"/>
      <c r="BE274" s="498"/>
      <c r="BF274" s="498"/>
      <c r="BG274" s="498"/>
      <c r="BH274" s="498"/>
      <c r="BI274" s="498"/>
      <c r="BJ274" s="498"/>
      <c r="BK274" s="498"/>
      <c r="BL274" s="498"/>
      <c r="BM274" s="760"/>
    </row>
    <row r="275" spans="2:65" ht="12" customHeight="1" thickBot="1">
      <c r="C275" s="784"/>
      <c r="D275" s="785"/>
      <c r="E275" s="785"/>
      <c r="F275" s="785"/>
      <c r="G275" s="785"/>
      <c r="H275" s="785"/>
      <c r="I275" s="785"/>
      <c r="J275" s="785"/>
      <c r="K275" s="785"/>
      <c r="L275" s="785"/>
      <c r="M275" s="785"/>
      <c r="N275" s="785"/>
      <c r="O275" s="786"/>
      <c r="P275" s="785"/>
      <c r="Q275" s="785"/>
      <c r="R275" s="785"/>
      <c r="S275" s="785"/>
      <c r="T275" s="785"/>
      <c r="U275" s="785"/>
      <c r="V275" s="785"/>
      <c r="W275" s="785"/>
      <c r="X275" s="785"/>
      <c r="Y275" s="785"/>
      <c r="Z275" s="785"/>
      <c r="AA275" s="785"/>
      <c r="AB275" s="785"/>
      <c r="AC275" s="785"/>
      <c r="AD275" s="785"/>
      <c r="AE275" s="785"/>
      <c r="AF275" s="785"/>
      <c r="AG275" s="785"/>
      <c r="AH275" s="785"/>
      <c r="AI275" s="785"/>
      <c r="AJ275" s="785"/>
      <c r="AK275" s="785"/>
      <c r="AL275" s="785"/>
      <c r="AM275" s="785"/>
      <c r="AN275" s="785"/>
      <c r="AO275" s="785"/>
      <c r="AP275" s="785"/>
      <c r="AQ275" s="785"/>
      <c r="AR275" s="785"/>
      <c r="AS275" s="785"/>
      <c r="AT275" s="785"/>
      <c r="AU275" s="785"/>
      <c r="AV275" s="785"/>
      <c r="AW275" s="785"/>
      <c r="AX275" s="785"/>
      <c r="AY275" s="785"/>
      <c r="AZ275" s="785"/>
      <c r="BA275" s="785"/>
      <c r="BB275" s="785"/>
      <c r="BC275" s="785"/>
      <c r="BD275" s="785"/>
      <c r="BE275" s="785"/>
      <c r="BF275" s="785"/>
      <c r="BG275" s="785"/>
      <c r="BH275" s="785"/>
      <c r="BI275" s="785"/>
      <c r="BJ275" s="785"/>
      <c r="BK275" s="785"/>
      <c r="BL275" s="785"/>
      <c r="BM275" s="787"/>
    </row>
    <row r="286" spans="2:65" ht="28.5">
      <c r="B286" s="488" t="s">
        <v>1096</v>
      </c>
    </row>
    <row r="287" spans="2:65" ht="28.5">
      <c r="B287" s="488"/>
      <c r="D287" s="8" t="s">
        <v>1187</v>
      </c>
    </row>
    <row r="288" spans="2:65" ht="12" customHeight="1" thickBot="1">
      <c r="C288" s="489" t="s">
        <v>1098</v>
      </c>
      <c r="D288" s="588"/>
      <c r="Q288" s="8"/>
      <c r="S288" s="10"/>
      <c r="X288" s="10"/>
    </row>
    <row r="289" spans="3:53" ht="12" customHeight="1">
      <c r="C289" s="490"/>
      <c r="D289" s="589" t="s">
        <v>735</v>
      </c>
      <c r="E289" s="589"/>
      <c r="F289" s="589"/>
      <c r="G289" s="589"/>
      <c r="H289" s="589"/>
      <c r="I289" s="589"/>
      <c r="J289" s="548" t="s">
        <v>795</v>
      </c>
      <c r="K289" s="720"/>
      <c r="L289" s="590"/>
      <c r="M289" s="590"/>
      <c r="N289" s="591"/>
      <c r="O289" s="491"/>
      <c r="P289" s="589" t="s">
        <v>697</v>
      </c>
      <c r="Q289" s="589"/>
      <c r="R289" s="589"/>
      <c r="S289" s="592" t="s">
        <v>794</v>
      </c>
      <c r="T289" s="590"/>
      <c r="U289" s="590"/>
      <c r="V289" s="590"/>
      <c r="W289" s="590"/>
      <c r="X289" s="594" t="s">
        <v>1155</v>
      </c>
      <c r="Y289" s="590"/>
      <c r="Z289" s="590"/>
      <c r="AA289" s="590"/>
      <c r="AB289" s="590"/>
      <c r="AC289" s="591"/>
      <c r="AD289" s="491"/>
      <c r="AE289" s="589" t="s">
        <v>874</v>
      </c>
      <c r="AF289" s="589"/>
      <c r="AG289" s="589"/>
      <c r="AH289" s="589"/>
      <c r="AI289" s="589"/>
      <c r="AJ289" s="589"/>
      <c r="AK289" s="593" t="s">
        <v>1156</v>
      </c>
      <c r="AL289" s="590"/>
      <c r="AM289" s="590"/>
      <c r="AN289" s="590"/>
      <c r="AO289" s="590"/>
      <c r="AP289" s="590"/>
      <c r="AQ289" s="590"/>
      <c r="AR289" s="590"/>
      <c r="AS289" s="590"/>
      <c r="AT289" s="590"/>
      <c r="AU289" s="590"/>
      <c r="AV289" s="590"/>
      <c r="AW289" s="721"/>
      <c r="AX289" s="491"/>
      <c r="AY289" s="491"/>
      <c r="AZ289" s="491"/>
      <c r="BA289" s="493"/>
    </row>
    <row r="290" spans="3:53" ht="12" customHeight="1" thickBot="1">
      <c r="C290" s="497"/>
      <c r="D290" s="588"/>
      <c r="Q290" s="8"/>
      <c r="S290" s="10"/>
      <c r="X290" s="10"/>
      <c r="BA290" s="499"/>
    </row>
    <row r="291" spans="3:53" ht="12" customHeight="1">
      <c r="C291" s="712"/>
      <c r="D291" s="955" t="s">
        <v>878</v>
      </c>
      <c r="E291" s="956"/>
      <c r="F291" s="722" t="s">
        <v>879</v>
      </c>
      <c r="G291" s="723"/>
      <c r="H291" s="723"/>
      <c r="I291" s="723"/>
      <c r="J291" s="723"/>
      <c r="K291" s="723"/>
      <c r="L291" s="724"/>
      <c r="M291" s="722" t="s">
        <v>1102</v>
      </c>
      <c r="N291" s="723"/>
      <c r="O291" s="723"/>
      <c r="P291" s="723"/>
      <c r="Q291" s="723"/>
      <c r="R291" s="723"/>
      <c r="S291" s="723"/>
      <c r="T291" s="723"/>
      <c r="U291" s="723"/>
      <c r="V291" s="723"/>
      <c r="W291" s="722" t="s">
        <v>1103</v>
      </c>
      <c r="X291" s="723"/>
      <c r="Y291" s="723"/>
      <c r="Z291" s="723"/>
      <c r="AA291" s="723"/>
      <c r="AB291" s="723"/>
      <c r="AC291" s="723"/>
      <c r="AD291" s="723"/>
      <c r="AE291" s="723"/>
      <c r="AF291" s="723"/>
      <c r="AG291" s="723"/>
      <c r="AH291" s="723"/>
      <c r="AI291" s="723"/>
      <c r="AJ291" s="723"/>
      <c r="AK291" s="725" t="s">
        <v>1104</v>
      </c>
      <c r="AL291" s="723"/>
      <c r="AM291" s="723"/>
      <c r="AN291" s="723"/>
      <c r="AO291" s="723"/>
      <c r="AP291" s="723"/>
      <c r="AQ291" s="726"/>
      <c r="AR291" s="725" t="s">
        <v>1105</v>
      </c>
      <c r="AS291" s="723"/>
      <c r="AT291" s="723"/>
      <c r="AU291" s="723"/>
      <c r="AV291" s="723"/>
      <c r="AW291" s="723"/>
      <c r="AX291" s="726"/>
      <c r="AY291" s="595" t="s">
        <v>891</v>
      </c>
      <c r="BA291" s="499"/>
    </row>
    <row r="292" spans="3:53" ht="12" customHeight="1">
      <c r="C292" s="712"/>
      <c r="D292" s="788" t="s">
        <v>908</v>
      </c>
      <c r="E292" s="789"/>
      <c r="F292" s="790" t="s">
        <v>909</v>
      </c>
      <c r="G292" s="791"/>
      <c r="H292" s="791"/>
      <c r="I292" s="791"/>
      <c r="J292" s="791"/>
      <c r="K292" s="791"/>
      <c r="L292" s="792"/>
      <c r="M292" s="793"/>
      <c r="N292" s="562"/>
      <c r="O292" s="562"/>
      <c r="P292" s="562"/>
      <c r="Q292" s="562"/>
      <c r="R292" s="562"/>
      <c r="S292" s="562"/>
      <c r="T292" s="562"/>
      <c r="U292" s="562"/>
      <c r="V292" s="562"/>
      <c r="W292" s="793" t="s">
        <v>1106</v>
      </c>
      <c r="X292" s="562"/>
      <c r="Y292" s="562"/>
      <c r="Z292" s="562"/>
      <c r="AA292" s="562"/>
      <c r="AB292" s="562"/>
      <c r="AC292" s="562"/>
      <c r="AD292" s="562"/>
      <c r="AE292" s="562"/>
      <c r="AF292" s="562"/>
      <c r="AG292" s="562"/>
      <c r="AH292" s="562"/>
      <c r="AI292" s="562"/>
      <c r="AJ292" s="562"/>
      <c r="AK292" s="794"/>
      <c r="AL292" s="562"/>
      <c r="AM292" s="562"/>
      <c r="AN292" s="562"/>
      <c r="AO292" s="562"/>
      <c r="AP292" s="562"/>
      <c r="AQ292" s="795"/>
      <c r="AR292" s="794"/>
      <c r="AS292" s="562"/>
      <c r="AT292" s="562"/>
      <c r="AU292" s="562"/>
      <c r="AV292" s="562"/>
      <c r="AW292" s="562"/>
      <c r="AX292" s="563"/>
      <c r="AY292" s="595"/>
      <c r="BA292" s="499"/>
    </row>
    <row r="293" spans="3:53" ht="12" customHeight="1">
      <c r="C293" s="712"/>
      <c r="D293" s="788" t="s">
        <v>1107</v>
      </c>
      <c r="E293" s="789"/>
      <c r="F293" s="790" t="s">
        <v>1108</v>
      </c>
      <c r="G293" s="791"/>
      <c r="H293" s="791"/>
      <c r="I293" s="791"/>
      <c r="J293" s="791"/>
      <c r="K293" s="791"/>
      <c r="L293" s="792"/>
      <c r="M293" s="793" t="s">
        <v>1109</v>
      </c>
      <c r="N293" s="562"/>
      <c r="O293" s="562"/>
      <c r="P293" s="562"/>
      <c r="Q293" s="562"/>
      <c r="R293" s="562"/>
      <c r="S293" s="562"/>
      <c r="T293" s="562"/>
      <c r="U293" s="562"/>
      <c r="V293" s="562"/>
      <c r="W293" s="793"/>
      <c r="X293" s="562"/>
      <c r="Y293" s="562"/>
      <c r="Z293" s="562"/>
      <c r="AA293" s="562"/>
      <c r="AB293" s="562"/>
      <c r="AC293" s="562"/>
      <c r="AD293" s="562"/>
      <c r="AE293" s="562"/>
      <c r="AF293" s="562"/>
      <c r="AG293" s="562"/>
      <c r="AH293" s="562"/>
      <c r="AI293" s="562"/>
      <c r="AJ293" s="562"/>
      <c r="AK293" s="794"/>
      <c r="AL293" s="562"/>
      <c r="AM293" s="562"/>
      <c r="AN293" s="562"/>
      <c r="AO293" s="562"/>
      <c r="AP293" s="562"/>
      <c r="AQ293" s="795"/>
      <c r="AR293" s="794"/>
      <c r="AS293" s="562"/>
      <c r="AT293" s="562"/>
      <c r="AU293" s="562"/>
      <c r="AV293" s="562"/>
      <c r="AW293" s="562"/>
      <c r="AX293" s="563"/>
      <c r="AY293" s="595"/>
      <c r="BA293" s="499"/>
    </row>
    <row r="294" spans="3:53" ht="12" customHeight="1">
      <c r="C294" s="712"/>
      <c r="D294" s="788" t="s">
        <v>923</v>
      </c>
      <c r="E294" s="789"/>
      <c r="F294" s="790" t="s">
        <v>924</v>
      </c>
      <c r="G294" s="791"/>
      <c r="H294" s="791"/>
      <c r="I294" s="791"/>
      <c r="J294" s="791"/>
      <c r="K294" s="791"/>
      <c r="L294" s="792"/>
      <c r="M294" s="793" t="s">
        <v>1110</v>
      </c>
      <c r="N294" s="562"/>
      <c r="O294" s="562"/>
      <c r="P294" s="562"/>
      <c r="Q294" s="562"/>
      <c r="R294" s="562"/>
      <c r="S294" s="562"/>
      <c r="T294" s="562"/>
      <c r="U294" s="562"/>
      <c r="V294" s="562"/>
      <c r="W294" s="793"/>
      <c r="X294" s="562"/>
      <c r="Y294" s="562"/>
      <c r="Z294" s="562"/>
      <c r="AA294" s="562"/>
      <c r="AB294" s="562"/>
      <c r="AC294" s="562"/>
      <c r="AD294" s="562"/>
      <c r="AE294" s="562"/>
      <c r="AF294" s="562"/>
      <c r="AG294" s="562"/>
      <c r="AH294" s="562"/>
      <c r="AI294" s="562"/>
      <c r="AJ294" s="562"/>
      <c r="AK294" s="794"/>
      <c r="AL294" s="562"/>
      <c r="AM294" s="562"/>
      <c r="AN294" s="562"/>
      <c r="AO294" s="562"/>
      <c r="AP294" s="562"/>
      <c r="AQ294" s="563"/>
      <c r="AR294" s="794"/>
      <c r="AS294" s="562"/>
      <c r="AT294" s="562"/>
      <c r="AU294" s="562"/>
      <c r="AV294" s="562"/>
      <c r="AW294" s="562"/>
      <c r="AX294" s="563"/>
      <c r="AY294" s="595"/>
      <c r="BA294" s="499"/>
    </row>
    <row r="295" spans="3:53" ht="12" customHeight="1">
      <c r="C295" s="712"/>
      <c r="D295" s="788" t="s">
        <v>923</v>
      </c>
      <c r="E295" s="789"/>
      <c r="F295" s="790" t="s">
        <v>924</v>
      </c>
      <c r="G295" s="791"/>
      <c r="H295" s="791"/>
      <c r="I295" s="791"/>
      <c r="J295" s="791"/>
      <c r="K295" s="791"/>
      <c r="L295" s="792"/>
      <c r="M295" s="793"/>
      <c r="N295" s="562"/>
      <c r="O295" s="562"/>
      <c r="P295" s="562"/>
      <c r="Q295" s="562"/>
      <c r="R295" s="562"/>
      <c r="S295" s="562"/>
      <c r="T295" s="562"/>
      <c r="U295" s="562"/>
      <c r="V295" s="562"/>
      <c r="W295" s="793" t="s">
        <v>1111</v>
      </c>
      <c r="X295" s="562"/>
      <c r="Y295" s="562"/>
      <c r="Z295" s="562"/>
      <c r="AA295" s="562"/>
      <c r="AB295" s="562"/>
      <c r="AC295" s="562"/>
      <c r="AD295" s="562"/>
      <c r="AE295" s="562"/>
      <c r="AF295" s="562"/>
      <c r="AG295" s="562"/>
      <c r="AH295" s="562"/>
      <c r="AI295" s="562"/>
      <c r="AJ295" s="562"/>
      <c r="AK295" s="794"/>
      <c r="AL295" s="562"/>
      <c r="AM295" s="562"/>
      <c r="AN295" s="562"/>
      <c r="AO295" s="562"/>
      <c r="AP295" s="562"/>
      <c r="AQ295" s="563"/>
      <c r="AR295" s="794"/>
      <c r="AS295" s="562"/>
      <c r="AT295" s="562"/>
      <c r="AU295" s="562"/>
      <c r="AV295" s="562"/>
      <c r="AW295" s="562"/>
      <c r="AX295" s="563"/>
      <c r="AY295" s="595"/>
      <c r="BA295" s="499"/>
    </row>
    <row r="296" spans="3:53" ht="12" customHeight="1">
      <c r="C296" s="712"/>
      <c r="D296" s="788" t="s">
        <v>946</v>
      </c>
      <c r="E296" s="789"/>
      <c r="F296" s="790" t="s">
        <v>947</v>
      </c>
      <c r="G296" s="791"/>
      <c r="H296" s="791"/>
      <c r="I296" s="791"/>
      <c r="J296" s="791"/>
      <c r="K296" s="791"/>
      <c r="L296" s="792"/>
      <c r="M296" s="793"/>
      <c r="N296" s="562"/>
      <c r="O296" s="562"/>
      <c r="P296" s="562"/>
      <c r="Q296" s="562"/>
      <c r="R296" s="562"/>
      <c r="S296" s="562"/>
      <c r="T296" s="562"/>
      <c r="U296" s="562"/>
      <c r="V296" s="562"/>
      <c r="W296" s="793" t="s">
        <v>1118</v>
      </c>
      <c r="X296" s="562"/>
      <c r="Y296" s="562"/>
      <c r="Z296" s="562"/>
      <c r="AA296" s="562"/>
      <c r="AB296" s="562"/>
      <c r="AC296" s="562"/>
      <c r="AD296" s="562"/>
      <c r="AE296" s="562"/>
      <c r="AF296" s="562"/>
      <c r="AG296" s="562"/>
      <c r="AH296" s="562"/>
      <c r="AI296" s="562"/>
      <c r="AJ296" s="562"/>
      <c r="AK296" s="794"/>
      <c r="AL296" s="562"/>
      <c r="AM296" s="562"/>
      <c r="AN296" s="562"/>
      <c r="AO296" s="562"/>
      <c r="AP296" s="562"/>
      <c r="AQ296" s="563"/>
      <c r="AR296" s="794"/>
      <c r="AS296" s="562"/>
      <c r="AT296" s="562"/>
      <c r="AU296" s="562"/>
      <c r="AV296" s="562"/>
      <c r="AW296" s="562"/>
      <c r="AX296" s="563"/>
      <c r="AY296" s="596"/>
      <c r="AZ296" s="735"/>
      <c r="BA296" s="499"/>
    </row>
    <row r="297" spans="3:53" ht="12" customHeight="1">
      <c r="C297" s="712"/>
      <c r="D297" s="788" t="s">
        <v>966</v>
      </c>
      <c r="E297" s="789"/>
      <c r="F297" s="790" t="s">
        <v>967</v>
      </c>
      <c r="G297" s="791"/>
      <c r="H297" s="791"/>
      <c r="I297" s="791"/>
      <c r="J297" s="791"/>
      <c r="K297" s="791"/>
      <c r="L297" s="792"/>
      <c r="M297" s="793"/>
      <c r="N297" s="562"/>
      <c r="O297" s="562"/>
      <c r="P297" s="562"/>
      <c r="Q297" s="562"/>
      <c r="R297" s="562"/>
      <c r="S297" s="562"/>
      <c r="T297" s="562"/>
      <c r="U297" s="562"/>
      <c r="V297" s="562"/>
      <c r="W297" s="793"/>
      <c r="X297" s="562"/>
      <c r="Y297" s="562"/>
      <c r="Z297" s="562"/>
      <c r="AA297" s="562"/>
      <c r="AB297" s="562"/>
      <c r="AC297" s="562"/>
      <c r="AD297" s="562"/>
      <c r="AE297" s="562"/>
      <c r="AF297" s="562"/>
      <c r="AG297" s="562"/>
      <c r="AH297" s="562"/>
      <c r="AI297" s="562"/>
      <c r="AJ297" s="562"/>
      <c r="AK297" s="794"/>
      <c r="AL297" s="562"/>
      <c r="AM297" s="562"/>
      <c r="AN297" s="562"/>
      <c r="AO297" s="562"/>
      <c r="AP297" s="562"/>
      <c r="AQ297" s="563"/>
      <c r="AR297" s="794"/>
      <c r="AS297" s="562"/>
      <c r="AT297" s="562"/>
      <c r="AU297" s="562"/>
      <c r="AV297" s="562"/>
      <c r="AW297" s="562"/>
      <c r="AX297" s="563"/>
      <c r="AY297" s="595"/>
      <c r="BA297" s="499"/>
    </row>
    <row r="298" spans="3:53" ht="12" customHeight="1">
      <c r="C298" s="712"/>
      <c r="D298" s="788" t="s">
        <v>980</v>
      </c>
      <c r="E298" s="789"/>
      <c r="F298" s="790" t="s">
        <v>981</v>
      </c>
      <c r="G298" s="791"/>
      <c r="H298" s="791"/>
      <c r="I298" s="791"/>
      <c r="J298" s="791"/>
      <c r="K298" s="791"/>
      <c r="L298" s="792"/>
      <c r="M298" s="796" t="s">
        <v>1119</v>
      </c>
      <c r="N298" s="749"/>
      <c r="O298" s="749"/>
      <c r="P298" s="749"/>
      <c r="Q298" s="749"/>
      <c r="R298" s="749"/>
      <c r="S298" s="749"/>
      <c r="T298" s="749"/>
      <c r="U298" s="749"/>
      <c r="V298" s="749"/>
      <c r="W298" s="796"/>
      <c r="X298" s="749"/>
      <c r="Y298" s="749"/>
      <c r="Z298" s="749"/>
      <c r="AA298" s="749"/>
      <c r="AB298" s="749"/>
      <c r="AC298" s="749"/>
      <c r="AD298" s="749"/>
      <c r="AE298" s="749"/>
      <c r="AF298" s="749"/>
      <c r="AG298" s="749"/>
      <c r="AH298" s="749"/>
      <c r="AI298" s="749"/>
      <c r="AJ298" s="749"/>
      <c r="AK298" s="794"/>
      <c r="AL298" s="749"/>
      <c r="AM298" s="749"/>
      <c r="AN298" s="749"/>
      <c r="AO298" s="749"/>
      <c r="AP298" s="749"/>
      <c r="AQ298" s="750"/>
      <c r="AR298" s="794"/>
      <c r="AS298" s="749"/>
      <c r="AT298" s="562"/>
      <c r="AU298" s="562"/>
      <c r="AV298" s="562"/>
      <c r="AW298" s="562"/>
      <c r="AX298" s="750"/>
      <c r="AY298" s="596"/>
      <c r="AZ298" s="735"/>
      <c r="BA298" s="499"/>
    </row>
    <row r="299" spans="3:53" ht="12" customHeight="1">
      <c r="C299" s="712"/>
      <c r="D299" s="788" t="s">
        <v>980</v>
      </c>
      <c r="E299" s="789"/>
      <c r="F299" s="790" t="s">
        <v>981</v>
      </c>
      <c r="G299" s="791"/>
      <c r="H299" s="791"/>
      <c r="I299" s="791"/>
      <c r="J299" s="791"/>
      <c r="K299" s="791"/>
      <c r="L299" s="792"/>
      <c r="M299" s="796" t="s">
        <v>1120</v>
      </c>
      <c r="N299" s="749"/>
      <c r="O299" s="749"/>
      <c r="P299" s="749"/>
      <c r="Q299" s="749"/>
      <c r="R299" s="749"/>
      <c r="S299" s="749"/>
      <c r="T299" s="749"/>
      <c r="U299" s="749"/>
      <c r="V299" s="749"/>
      <c r="W299" s="796"/>
      <c r="X299" s="749"/>
      <c r="Y299" s="749"/>
      <c r="Z299" s="749"/>
      <c r="AA299" s="749"/>
      <c r="AB299" s="749"/>
      <c r="AC299" s="749"/>
      <c r="AD299" s="749"/>
      <c r="AE299" s="749"/>
      <c r="AF299" s="749"/>
      <c r="AG299" s="749"/>
      <c r="AH299" s="749"/>
      <c r="AI299" s="749"/>
      <c r="AJ299" s="749"/>
      <c r="AK299" s="794"/>
      <c r="AL299" s="749"/>
      <c r="AM299" s="749"/>
      <c r="AN299" s="749"/>
      <c r="AO299" s="749"/>
      <c r="AP299" s="749"/>
      <c r="AQ299" s="750"/>
      <c r="AR299" s="794"/>
      <c r="AS299" s="749"/>
      <c r="AT299" s="562"/>
      <c r="AU299" s="562"/>
      <c r="AV299" s="562"/>
      <c r="AW299" s="562"/>
      <c r="AX299" s="750"/>
      <c r="AY299" s="596"/>
      <c r="AZ299" s="735"/>
      <c r="BA299" s="499"/>
    </row>
    <row r="300" spans="3:53" ht="12" customHeight="1">
      <c r="C300" s="712"/>
      <c r="D300" s="788" t="s">
        <v>1121</v>
      </c>
      <c r="E300" s="789"/>
      <c r="F300" s="790" t="s">
        <v>1122</v>
      </c>
      <c r="G300" s="791"/>
      <c r="H300" s="791"/>
      <c r="I300" s="791"/>
      <c r="J300" s="791"/>
      <c r="K300" s="791"/>
      <c r="L300" s="792"/>
      <c r="M300" s="793" t="s">
        <v>1123</v>
      </c>
      <c r="N300" s="562"/>
      <c r="O300" s="562"/>
      <c r="P300" s="562"/>
      <c r="Q300" s="562"/>
      <c r="R300" s="562"/>
      <c r="S300" s="562"/>
      <c r="T300" s="562"/>
      <c r="U300" s="562"/>
      <c r="V300" s="562"/>
      <c r="W300" s="793"/>
      <c r="X300" s="562"/>
      <c r="Y300" s="562"/>
      <c r="Z300" s="562"/>
      <c r="AA300" s="562"/>
      <c r="AB300" s="562"/>
      <c r="AC300" s="562"/>
      <c r="AD300" s="562"/>
      <c r="AE300" s="562"/>
      <c r="AF300" s="562"/>
      <c r="AG300" s="562"/>
      <c r="AH300" s="562"/>
      <c r="AI300" s="562"/>
      <c r="AJ300" s="562"/>
      <c r="AK300" s="794"/>
      <c r="AL300" s="562"/>
      <c r="AM300" s="562"/>
      <c r="AN300" s="562"/>
      <c r="AO300" s="562"/>
      <c r="AP300" s="562"/>
      <c r="AQ300" s="563"/>
      <c r="AR300" s="794"/>
      <c r="AS300" s="562"/>
      <c r="AT300" s="562"/>
      <c r="AU300" s="562"/>
      <c r="AV300" s="562"/>
      <c r="AW300" s="562"/>
      <c r="AX300" s="563"/>
      <c r="AY300" s="596"/>
      <c r="AZ300" s="735"/>
      <c r="BA300" s="499"/>
    </row>
    <row r="301" spans="3:53" ht="12" customHeight="1">
      <c r="C301" s="712"/>
      <c r="D301" s="788" t="s">
        <v>1007</v>
      </c>
      <c r="E301" s="789"/>
      <c r="F301" s="790" t="s">
        <v>1008</v>
      </c>
      <c r="G301" s="791"/>
      <c r="H301" s="791"/>
      <c r="I301" s="791"/>
      <c r="J301" s="791"/>
      <c r="K301" s="791"/>
      <c r="L301" s="792"/>
      <c r="M301" s="793" t="s">
        <v>1114</v>
      </c>
      <c r="N301" s="562"/>
      <c r="O301" s="562"/>
      <c r="P301" s="562"/>
      <c r="Q301" s="562"/>
      <c r="R301" s="562"/>
      <c r="S301" s="562"/>
      <c r="T301" s="562"/>
      <c r="U301" s="562"/>
      <c r="V301" s="562"/>
      <c r="W301" s="793"/>
      <c r="X301" s="562"/>
      <c r="Y301" s="562"/>
      <c r="Z301" s="562"/>
      <c r="AA301" s="562"/>
      <c r="AB301" s="562"/>
      <c r="AC301" s="562"/>
      <c r="AD301" s="562"/>
      <c r="AE301" s="562"/>
      <c r="AF301" s="562"/>
      <c r="AG301" s="562"/>
      <c r="AH301" s="562"/>
      <c r="AI301" s="562"/>
      <c r="AJ301" s="562"/>
      <c r="AK301" s="794"/>
      <c r="AL301" s="562"/>
      <c r="AM301" s="562"/>
      <c r="AN301" s="562"/>
      <c r="AO301" s="562"/>
      <c r="AP301" s="562"/>
      <c r="AQ301" s="563"/>
      <c r="AR301" s="794"/>
      <c r="AS301" s="562"/>
      <c r="AT301" s="562"/>
      <c r="AU301" s="562"/>
      <c r="AV301" s="562"/>
      <c r="AW301" s="562"/>
      <c r="AX301" s="563"/>
      <c r="AY301" s="595"/>
      <c r="BA301" s="499"/>
    </row>
    <row r="302" spans="3:53" ht="12" customHeight="1">
      <c r="C302" s="712"/>
      <c r="D302" s="788" t="s">
        <v>1007</v>
      </c>
      <c r="E302" s="789"/>
      <c r="F302" s="790" t="s">
        <v>1008</v>
      </c>
      <c r="G302" s="791"/>
      <c r="H302" s="791"/>
      <c r="I302" s="791"/>
      <c r="J302" s="791"/>
      <c r="K302" s="791"/>
      <c r="L302" s="792"/>
      <c r="M302" s="793" t="s">
        <v>1125</v>
      </c>
      <c r="N302" s="562"/>
      <c r="O302" s="562"/>
      <c r="P302" s="562"/>
      <c r="Q302" s="562"/>
      <c r="R302" s="562"/>
      <c r="S302" s="562"/>
      <c r="T302" s="562"/>
      <c r="U302" s="562"/>
      <c r="V302" s="562"/>
      <c r="W302" s="793"/>
      <c r="X302" s="562"/>
      <c r="Y302" s="562"/>
      <c r="Z302" s="562"/>
      <c r="AA302" s="562"/>
      <c r="AB302" s="562"/>
      <c r="AC302" s="562"/>
      <c r="AD302" s="562"/>
      <c r="AE302" s="562"/>
      <c r="AF302" s="562"/>
      <c r="AG302" s="562"/>
      <c r="AH302" s="562"/>
      <c r="AI302" s="562"/>
      <c r="AJ302" s="562"/>
      <c r="AK302" s="794"/>
      <c r="AL302" s="562"/>
      <c r="AM302" s="562"/>
      <c r="AN302" s="562"/>
      <c r="AO302" s="562"/>
      <c r="AP302" s="562"/>
      <c r="AQ302" s="563"/>
      <c r="AR302" s="794"/>
      <c r="AS302" s="562"/>
      <c r="AT302" s="562"/>
      <c r="AU302" s="562"/>
      <c r="AV302" s="562"/>
      <c r="AW302" s="562"/>
      <c r="AX302" s="563"/>
      <c r="AY302" s="596"/>
      <c r="AZ302" s="735"/>
      <c r="BA302" s="737"/>
    </row>
    <row r="303" spans="3:53" ht="12" customHeight="1">
      <c r="C303" s="712"/>
      <c r="D303" s="788" t="s">
        <v>1048</v>
      </c>
      <c r="E303" s="789"/>
      <c r="F303" s="790" t="s">
        <v>1049</v>
      </c>
      <c r="G303" s="791"/>
      <c r="H303" s="791"/>
      <c r="I303" s="791"/>
      <c r="J303" s="791"/>
      <c r="K303" s="791"/>
      <c r="L303" s="792"/>
      <c r="M303" s="793"/>
      <c r="N303" s="562"/>
      <c r="O303" s="562"/>
      <c r="P303" s="562"/>
      <c r="Q303" s="562"/>
      <c r="R303" s="562"/>
      <c r="S303" s="562"/>
      <c r="T303" s="562"/>
      <c r="U303" s="562"/>
      <c r="V303" s="562"/>
      <c r="W303" s="793"/>
      <c r="X303" s="562"/>
      <c r="Y303" s="562"/>
      <c r="Z303" s="562"/>
      <c r="AA303" s="562"/>
      <c r="AB303" s="562"/>
      <c r="AC303" s="562"/>
      <c r="AD303" s="562"/>
      <c r="AE303" s="562"/>
      <c r="AF303" s="562"/>
      <c r="AG303" s="562"/>
      <c r="AH303" s="562"/>
      <c r="AI303" s="562"/>
      <c r="AJ303" s="562"/>
      <c r="AK303" s="794"/>
      <c r="AL303" s="562"/>
      <c r="AM303" s="562"/>
      <c r="AN303" s="562"/>
      <c r="AO303" s="562"/>
      <c r="AP303" s="562"/>
      <c r="AQ303" s="563"/>
      <c r="AR303" s="794"/>
      <c r="AS303" s="562"/>
      <c r="AT303" s="562"/>
      <c r="AU303" s="562"/>
      <c r="AV303" s="562"/>
      <c r="AW303" s="562"/>
      <c r="AX303" s="563"/>
      <c r="AY303" s="596"/>
      <c r="AZ303" s="735"/>
      <c r="BA303" s="499"/>
    </row>
    <row r="304" spans="3:53" ht="12" customHeight="1">
      <c r="C304" s="712"/>
      <c r="D304" s="788" t="s">
        <v>1064</v>
      </c>
      <c r="E304" s="789"/>
      <c r="F304" s="790" t="s">
        <v>1065</v>
      </c>
      <c r="G304" s="791"/>
      <c r="H304" s="791"/>
      <c r="I304" s="791"/>
      <c r="J304" s="791"/>
      <c r="K304" s="791"/>
      <c r="L304" s="792"/>
      <c r="M304" s="793" t="s">
        <v>1188</v>
      </c>
      <c r="N304" s="562"/>
      <c r="O304" s="562"/>
      <c r="P304" s="562"/>
      <c r="Q304" s="562"/>
      <c r="R304" s="562"/>
      <c r="S304" s="562"/>
      <c r="T304" s="562"/>
      <c r="U304" s="562"/>
      <c r="V304" s="562"/>
      <c r="W304" s="793"/>
      <c r="X304" s="562"/>
      <c r="Y304" s="562"/>
      <c r="Z304" s="562"/>
      <c r="AA304" s="562"/>
      <c r="AB304" s="562"/>
      <c r="AC304" s="562"/>
      <c r="AD304" s="562"/>
      <c r="AE304" s="562"/>
      <c r="AF304" s="562"/>
      <c r="AG304" s="562"/>
      <c r="AH304" s="562"/>
      <c r="AI304" s="562"/>
      <c r="AJ304" s="562"/>
      <c r="AK304" s="794"/>
      <c r="AL304" s="562"/>
      <c r="AM304" s="562"/>
      <c r="AN304" s="562"/>
      <c r="AO304" s="562"/>
      <c r="AP304" s="562"/>
      <c r="AQ304" s="563"/>
      <c r="AR304" s="794"/>
      <c r="AS304" s="562"/>
      <c r="AT304" s="562"/>
      <c r="AU304" s="562"/>
      <c r="AV304" s="562"/>
      <c r="AW304" s="562"/>
      <c r="AX304" s="563"/>
      <c r="AY304" s="595"/>
      <c r="BA304" s="499"/>
    </row>
    <row r="305" spans="3:53" ht="12" customHeight="1">
      <c r="C305" s="712"/>
      <c r="D305" s="788" t="s">
        <v>1064</v>
      </c>
      <c r="E305" s="789"/>
      <c r="F305" s="790" t="s">
        <v>1065</v>
      </c>
      <c r="G305" s="791"/>
      <c r="H305" s="791"/>
      <c r="I305" s="791"/>
      <c r="J305" s="791"/>
      <c r="K305" s="791"/>
      <c r="L305" s="792"/>
      <c r="M305" s="793" t="s">
        <v>1130</v>
      </c>
      <c r="N305" s="562"/>
      <c r="O305" s="562"/>
      <c r="P305" s="562"/>
      <c r="Q305" s="562"/>
      <c r="R305" s="562"/>
      <c r="S305" s="562"/>
      <c r="T305" s="562"/>
      <c r="U305" s="562"/>
      <c r="V305" s="562"/>
      <c r="W305" s="793"/>
      <c r="X305" s="562"/>
      <c r="Y305" s="562"/>
      <c r="Z305" s="562"/>
      <c r="AA305" s="562"/>
      <c r="AB305" s="562"/>
      <c r="AC305" s="562"/>
      <c r="AD305" s="562"/>
      <c r="AE305" s="562"/>
      <c r="AF305" s="562"/>
      <c r="AG305" s="562"/>
      <c r="AH305" s="562"/>
      <c r="AI305" s="562"/>
      <c r="AJ305" s="562"/>
      <c r="AK305" s="794"/>
      <c r="AL305" s="562"/>
      <c r="AM305" s="562"/>
      <c r="AN305" s="562"/>
      <c r="AO305" s="562"/>
      <c r="AP305" s="562"/>
      <c r="AQ305" s="563"/>
      <c r="AR305" s="794"/>
      <c r="AS305" s="562"/>
      <c r="AT305" s="562"/>
      <c r="AU305" s="562"/>
      <c r="AV305" s="562"/>
      <c r="AW305" s="562"/>
      <c r="AX305" s="563"/>
      <c r="AY305" s="596"/>
      <c r="AZ305" s="735"/>
      <c r="BA305" s="499"/>
    </row>
    <row r="306" spans="3:53" ht="12" customHeight="1">
      <c r="C306" s="712"/>
      <c r="D306" s="788" t="s">
        <v>1077</v>
      </c>
      <c r="E306" s="789"/>
      <c r="F306" s="790" t="s">
        <v>1147</v>
      </c>
      <c r="G306" s="791"/>
      <c r="H306" s="791"/>
      <c r="I306" s="791"/>
      <c r="J306" s="791"/>
      <c r="K306" s="791"/>
      <c r="L306" s="792"/>
      <c r="M306" s="793" t="s">
        <v>1148</v>
      </c>
      <c r="N306" s="562"/>
      <c r="O306" s="562"/>
      <c r="P306" s="562"/>
      <c r="Q306" s="562"/>
      <c r="R306" s="562"/>
      <c r="S306" s="562"/>
      <c r="T306" s="562"/>
      <c r="U306" s="562"/>
      <c r="V306" s="562"/>
      <c r="W306" s="793"/>
      <c r="X306" s="562"/>
      <c r="Y306" s="562"/>
      <c r="Z306" s="562"/>
      <c r="AA306" s="562"/>
      <c r="AB306" s="562"/>
      <c r="AC306" s="562"/>
      <c r="AD306" s="562"/>
      <c r="AE306" s="562"/>
      <c r="AF306" s="562"/>
      <c r="AG306" s="562"/>
      <c r="AH306" s="562"/>
      <c r="AI306" s="562"/>
      <c r="AJ306" s="562"/>
      <c r="AK306" s="794"/>
      <c r="AL306" s="562"/>
      <c r="AM306" s="562"/>
      <c r="AN306" s="562"/>
      <c r="AO306" s="562"/>
      <c r="AP306" s="562"/>
      <c r="AQ306" s="563"/>
      <c r="AR306" s="794"/>
      <c r="AS306" s="562"/>
      <c r="AT306" s="562"/>
      <c r="AU306" s="562"/>
      <c r="AV306" s="562"/>
      <c r="AW306" s="562"/>
      <c r="AX306" s="563"/>
      <c r="AY306" s="596"/>
      <c r="AZ306" s="735"/>
      <c r="BA306" s="499"/>
    </row>
    <row r="307" spans="3:53" ht="12" customHeight="1" thickBot="1">
      <c r="C307" s="712"/>
      <c r="D307" s="797"/>
      <c r="E307" s="798"/>
      <c r="F307" s="799"/>
      <c r="G307" s="800"/>
      <c r="H307" s="800"/>
      <c r="I307" s="800"/>
      <c r="J307" s="800"/>
      <c r="K307" s="800"/>
      <c r="L307" s="801"/>
      <c r="M307" s="802"/>
      <c r="N307" s="803"/>
      <c r="O307" s="803"/>
      <c r="P307" s="803"/>
      <c r="Q307" s="803"/>
      <c r="R307" s="803"/>
      <c r="S307" s="803"/>
      <c r="T307" s="803"/>
      <c r="U307" s="803"/>
      <c r="V307" s="803"/>
      <c r="W307" s="802"/>
      <c r="X307" s="803"/>
      <c r="Y307" s="803"/>
      <c r="Z307" s="803"/>
      <c r="AA307" s="803"/>
      <c r="AB307" s="803"/>
      <c r="AC307" s="803"/>
      <c r="AD307" s="803"/>
      <c r="AE307" s="803"/>
      <c r="AF307" s="803"/>
      <c r="AG307" s="803"/>
      <c r="AH307" s="803"/>
      <c r="AI307" s="803"/>
      <c r="AJ307" s="803"/>
      <c r="AK307" s="804"/>
      <c r="AL307" s="803"/>
      <c r="AM307" s="803"/>
      <c r="AN307" s="803"/>
      <c r="AO307" s="803"/>
      <c r="AP307" s="803"/>
      <c r="AQ307" s="805"/>
      <c r="AR307" s="804"/>
      <c r="AS307" s="803"/>
      <c r="AT307" s="803"/>
      <c r="AU307" s="803"/>
      <c r="AV307" s="803"/>
      <c r="AW307" s="803"/>
      <c r="AX307" s="805"/>
      <c r="AY307" s="596"/>
      <c r="AZ307" s="735"/>
      <c r="BA307" s="499"/>
    </row>
    <row r="308" spans="3:53" ht="12" customHeight="1">
      <c r="C308" s="497"/>
      <c r="Q308" s="8"/>
      <c r="S308" s="10"/>
      <c r="BA308" s="499"/>
    </row>
    <row r="309" spans="3:53" ht="12" customHeight="1">
      <c r="C309" s="50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7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09"/>
    </row>
    <row r="310" spans="3:53" ht="12" customHeight="1" thickBot="1">
      <c r="C310" s="531"/>
      <c r="D310" s="532"/>
      <c r="E310" s="532"/>
      <c r="F310" s="532"/>
      <c r="G310" s="532"/>
      <c r="H310" s="532"/>
      <c r="I310" s="532"/>
      <c r="J310" s="532"/>
      <c r="K310" s="532"/>
      <c r="L310" s="532"/>
      <c r="M310" s="532"/>
      <c r="N310" s="532"/>
      <c r="O310" s="532"/>
      <c r="P310" s="532"/>
      <c r="Q310" s="532"/>
      <c r="R310" s="532"/>
      <c r="S310" s="532"/>
      <c r="T310" s="532"/>
      <c r="U310" s="532"/>
      <c r="V310" s="532"/>
      <c r="W310" s="532"/>
      <c r="X310" s="532"/>
      <c r="Y310" s="532"/>
      <c r="Z310" s="532"/>
      <c r="AA310" s="532"/>
      <c r="AB310" s="532"/>
      <c r="AC310" s="532"/>
      <c r="AD310" s="532"/>
      <c r="AE310" s="532"/>
      <c r="AF310" s="532"/>
      <c r="AG310" s="532"/>
      <c r="AH310" s="532"/>
      <c r="AI310" s="532"/>
      <c r="AJ310" s="532"/>
      <c r="AK310" s="532"/>
      <c r="AL310" s="532"/>
      <c r="AM310" s="532"/>
      <c r="AN310" s="532"/>
      <c r="AO310" s="532"/>
      <c r="AP310" s="532"/>
      <c r="AQ310" s="532"/>
      <c r="AR310" s="532"/>
      <c r="AS310" s="532"/>
      <c r="AT310" s="532"/>
      <c r="AU310" s="532"/>
      <c r="AV310" s="532"/>
      <c r="AW310" s="532"/>
      <c r="AX310" s="532"/>
      <c r="AY310" s="532"/>
      <c r="AZ310" s="532"/>
      <c r="BA310" s="534"/>
    </row>
  </sheetData>
  <mergeCells count="586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C38:EE38"/>
    <mergeCell ref="EF38:EH38"/>
    <mergeCell ref="EI38:EK38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EI39:EK39"/>
    <mergeCell ref="EL39:EN39"/>
    <mergeCell ref="EO39:EQ39"/>
    <mergeCell ref="ER39:ET39"/>
    <mergeCell ref="DK39:DM39"/>
    <mergeCell ref="DN39:DP39"/>
    <mergeCell ref="DQ39:DS39"/>
    <mergeCell ref="DT39:DV39"/>
    <mergeCell ref="DW39:DY39"/>
    <mergeCell ref="DZ39:EB39"/>
    <mergeCell ref="DH40:DJ40"/>
    <mergeCell ref="CA40:CC40"/>
    <mergeCell ref="CD40:CF40"/>
    <mergeCell ref="CG40:CI40"/>
    <mergeCell ref="CJ40:CL40"/>
    <mergeCell ref="CM40:CO40"/>
    <mergeCell ref="CP40:CR40"/>
    <mergeCell ref="EC39:EE39"/>
    <mergeCell ref="EF39:EH39"/>
    <mergeCell ref="CS39:CU39"/>
    <mergeCell ref="CV39:CX39"/>
    <mergeCell ref="CY39:DA39"/>
    <mergeCell ref="DB39:DD39"/>
    <mergeCell ref="DE39:DG39"/>
    <mergeCell ref="DH39:DJ39"/>
    <mergeCell ref="CA39:CC39"/>
    <mergeCell ref="CD39:CF39"/>
    <mergeCell ref="CG39:CI39"/>
    <mergeCell ref="CJ39:CL39"/>
    <mergeCell ref="CM39:CO39"/>
    <mergeCell ref="CP39:CR39"/>
    <mergeCell ref="BZ41:DP42"/>
    <mergeCell ref="EL41:EN41"/>
    <mergeCell ref="EO41:EQ41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H95:K95"/>
    <mergeCell ref="J98:K98"/>
    <mergeCell ref="J99:M99"/>
    <mergeCell ref="Z99:AC99"/>
    <mergeCell ref="AI99:AL99"/>
    <mergeCell ref="AT99:AW99"/>
    <mergeCell ref="AC64:AF64"/>
    <mergeCell ref="AH64:AK64"/>
    <mergeCell ref="AE83:AG83"/>
    <mergeCell ref="AM83:AP83"/>
    <mergeCell ref="AR83:AU83"/>
    <mergeCell ref="AB87:AE87"/>
    <mergeCell ref="AH104:AJ104"/>
    <mergeCell ref="R105:T105"/>
    <mergeCell ref="J100:M100"/>
    <mergeCell ref="Z100:AC100"/>
    <mergeCell ref="AI100:AL100"/>
    <mergeCell ref="AT100:AW100"/>
    <mergeCell ref="J101:M101"/>
    <mergeCell ref="Z101:AC101"/>
    <mergeCell ref="AI101:AL101"/>
    <mergeCell ref="AT101:AW101"/>
    <mergeCell ref="J107:N107"/>
    <mergeCell ref="J108:N108"/>
    <mergeCell ref="AF108:AG108"/>
    <mergeCell ref="J109:M109"/>
    <mergeCell ref="J112:M112"/>
    <mergeCell ref="AE142:AG142"/>
    <mergeCell ref="J103:M103"/>
    <mergeCell ref="L104:N104"/>
    <mergeCell ref="R104:T104"/>
    <mergeCell ref="AB104:AD104"/>
    <mergeCell ref="AM142:AP142"/>
    <mergeCell ref="AR142:AU142"/>
    <mergeCell ref="AB146:AE146"/>
    <mergeCell ref="H154:K154"/>
    <mergeCell ref="J157:K157"/>
    <mergeCell ref="J158:M158"/>
    <mergeCell ref="Z158:AC158"/>
    <mergeCell ref="AI158:AL158"/>
    <mergeCell ref="AT158:AW158"/>
    <mergeCell ref="AH163:AJ163"/>
    <mergeCell ref="R164:T164"/>
    <mergeCell ref="J159:M159"/>
    <mergeCell ref="Z159:AC159"/>
    <mergeCell ref="AI159:AL159"/>
    <mergeCell ref="AT159:AW159"/>
    <mergeCell ref="J160:M160"/>
    <mergeCell ref="Z160:AC160"/>
    <mergeCell ref="AI160:AL160"/>
    <mergeCell ref="AT160:AW160"/>
    <mergeCell ref="D193:E195"/>
    <mergeCell ref="F193:H195"/>
    <mergeCell ref="I193:N195"/>
    <mergeCell ref="O193:P195"/>
    <mergeCell ref="Q193:U195"/>
    <mergeCell ref="J162:M162"/>
    <mergeCell ref="L163:N163"/>
    <mergeCell ref="R163:T163"/>
    <mergeCell ref="AB163:AD163"/>
    <mergeCell ref="BP194:BS194"/>
    <mergeCell ref="BT194:BU195"/>
    <mergeCell ref="BV194:BW195"/>
    <mergeCell ref="BX194:BY195"/>
    <mergeCell ref="BP195:BS195"/>
    <mergeCell ref="J166:N166"/>
    <mergeCell ref="J167:N167"/>
    <mergeCell ref="AF167:AG167"/>
    <mergeCell ref="J168:M168"/>
    <mergeCell ref="J171:M171"/>
    <mergeCell ref="AN194:AQ194"/>
    <mergeCell ref="AR194:AU194"/>
    <mergeCell ref="AV194:AY194"/>
    <mergeCell ref="AZ194:BC194"/>
    <mergeCell ref="BD194:BG194"/>
    <mergeCell ref="AB193:AE193"/>
    <mergeCell ref="AF193:BG193"/>
    <mergeCell ref="BH193:BK193"/>
    <mergeCell ref="BL193:BO193"/>
    <mergeCell ref="BH194:BK195"/>
    <mergeCell ref="BL194:BO195"/>
    <mergeCell ref="D196:E198"/>
    <mergeCell ref="F196:H198"/>
    <mergeCell ref="I196:J198"/>
    <mergeCell ref="K196:N198"/>
    <mergeCell ref="O196:P198"/>
    <mergeCell ref="V193:W195"/>
    <mergeCell ref="X193:AA195"/>
    <mergeCell ref="BX196:BY198"/>
    <mergeCell ref="BD197:BG197"/>
    <mergeCell ref="BH197:BK197"/>
    <mergeCell ref="BL197:BO197"/>
    <mergeCell ref="BH198:BK198"/>
    <mergeCell ref="BL198:BO198"/>
    <mergeCell ref="Q196:U198"/>
    <mergeCell ref="X196:AA198"/>
    <mergeCell ref="AB196:AE198"/>
    <mergeCell ref="BD196:BG196"/>
    <mergeCell ref="BH196:BK196"/>
    <mergeCell ref="BL196:BO196"/>
    <mergeCell ref="BP193:BS193"/>
    <mergeCell ref="BT193:BY193"/>
    <mergeCell ref="AB194:AE195"/>
    <mergeCell ref="AF194:AI194"/>
    <mergeCell ref="AJ194:AM194"/>
    <mergeCell ref="BX199:BY204"/>
    <mergeCell ref="BH200:BK200"/>
    <mergeCell ref="BL200:BO200"/>
    <mergeCell ref="AF201:AU201"/>
    <mergeCell ref="BH201:BK201"/>
    <mergeCell ref="BL201:BO201"/>
    <mergeCell ref="D199:E204"/>
    <mergeCell ref="F199:H204"/>
    <mergeCell ref="I199:J201"/>
    <mergeCell ref="K199:N201"/>
    <mergeCell ref="O199:P204"/>
    <mergeCell ref="Q199:U204"/>
    <mergeCell ref="I202:J204"/>
    <mergeCell ref="K202:N204"/>
    <mergeCell ref="BH202:BK202"/>
    <mergeCell ref="BL202:BO202"/>
    <mergeCell ref="BH203:BK203"/>
    <mergeCell ref="BL203:BO203"/>
    <mergeCell ref="BH204:BK204"/>
    <mergeCell ref="BL204:BO204"/>
    <mergeCell ref="X199:AA204"/>
    <mergeCell ref="AB199:AE204"/>
    <mergeCell ref="BH199:BK199"/>
    <mergeCell ref="BL199:BO199"/>
    <mergeCell ref="BD208:BG208"/>
    <mergeCell ref="BH208:BK208"/>
    <mergeCell ref="BL208:BO208"/>
    <mergeCell ref="AV209:AY209"/>
    <mergeCell ref="BD209:BG209"/>
    <mergeCell ref="BH209:BK209"/>
    <mergeCell ref="BL209:BO209"/>
    <mergeCell ref="AB205:AE210"/>
    <mergeCell ref="BH205:BK205"/>
    <mergeCell ref="BL205:BO205"/>
    <mergeCell ref="BH206:BK206"/>
    <mergeCell ref="BL206:BO206"/>
    <mergeCell ref="AF207:AU207"/>
    <mergeCell ref="AV207:BG207"/>
    <mergeCell ref="BH207:BK207"/>
    <mergeCell ref="BL207:BO207"/>
    <mergeCell ref="AV208:AY208"/>
    <mergeCell ref="AF210:AU210"/>
    <mergeCell ref="AV210:BG210"/>
    <mergeCell ref="BH210:BK210"/>
    <mergeCell ref="BL210:BO210"/>
    <mergeCell ref="D211:E213"/>
    <mergeCell ref="F211:H213"/>
    <mergeCell ref="I211:J213"/>
    <mergeCell ref="K211:N213"/>
    <mergeCell ref="O211:P213"/>
    <mergeCell ref="Q211:U213"/>
    <mergeCell ref="D205:E210"/>
    <mergeCell ref="F205:H210"/>
    <mergeCell ref="I205:J207"/>
    <mergeCell ref="K205:N207"/>
    <mergeCell ref="O205:P210"/>
    <mergeCell ref="Q205:U210"/>
    <mergeCell ref="I208:J210"/>
    <mergeCell ref="K208:N210"/>
    <mergeCell ref="AV213:BG213"/>
    <mergeCell ref="BH213:BK213"/>
    <mergeCell ref="BL213:BO213"/>
    <mergeCell ref="D214:E222"/>
    <mergeCell ref="F214:H222"/>
    <mergeCell ref="I214:J216"/>
    <mergeCell ref="K214:N216"/>
    <mergeCell ref="O214:P222"/>
    <mergeCell ref="Q214:U222"/>
    <mergeCell ref="AB214:AE222"/>
    <mergeCell ref="AB211:AE213"/>
    <mergeCell ref="AV211:AY211"/>
    <mergeCell ref="BD211:BG211"/>
    <mergeCell ref="BH211:BK211"/>
    <mergeCell ref="BL211:BO211"/>
    <mergeCell ref="AV212:AY212"/>
    <mergeCell ref="BD212:BG212"/>
    <mergeCell ref="BH212:BK212"/>
    <mergeCell ref="BL212:BO212"/>
    <mergeCell ref="AF213:AU213"/>
    <mergeCell ref="I217:J219"/>
    <mergeCell ref="K217:N219"/>
    <mergeCell ref="BD217:BG217"/>
    <mergeCell ref="BH217:BK217"/>
    <mergeCell ref="AV214:AY214"/>
    <mergeCell ref="BD214:BG214"/>
    <mergeCell ref="BH214:BK214"/>
    <mergeCell ref="BL214:BO214"/>
    <mergeCell ref="AV215:AY215"/>
    <mergeCell ref="BD215:BG215"/>
    <mergeCell ref="BH215:BK215"/>
    <mergeCell ref="BL215:BO215"/>
    <mergeCell ref="BH218:BK218"/>
    <mergeCell ref="BL218:BO218"/>
    <mergeCell ref="AF219:AU219"/>
    <mergeCell ref="AV219:BG219"/>
    <mergeCell ref="BH219:BK219"/>
    <mergeCell ref="BL219:BO219"/>
    <mergeCell ref="AF216:AU216"/>
    <mergeCell ref="AV216:BG216"/>
    <mergeCell ref="BH216:BK216"/>
    <mergeCell ref="BL216:BO216"/>
    <mergeCell ref="AF225:AU225"/>
    <mergeCell ref="AF222:AU222"/>
    <mergeCell ref="AV222:BG222"/>
    <mergeCell ref="BH222:BK222"/>
    <mergeCell ref="BL222:BO222"/>
    <mergeCell ref="BD220:BG220"/>
    <mergeCell ref="BH220:BK220"/>
    <mergeCell ref="BL220:BO220"/>
    <mergeCell ref="BD221:BG221"/>
    <mergeCell ref="BH221:BK221"/>
    <mergeCell ref="BL221:BO221"/>
    <mergeCell ref="BL217:BO217"/>
    <mergeCell ref="BD218:BG218"/>
    <mergeCell ref="D223:E225"/>
    <mergeCell ref="F223:H225"/>
    <mergeCell ref="I223:J225"/>
    <mergeCell ref="K223:N225"/>
    <mergeCell ref="O223:P225"/>
    <mergeCell ref="Q223:U225"/>
    <mergeCell ref="I220:J222"/>
    <mergeCell ref="K220:N222"/>
    <mergeCell ref="AV220:AY220"/>
    <mergeCell ref="AV221:AY221"/>
    <mergeCell ref="BX226:BY228"/>
    <mergeCell ref="AV227:AY227"/>
    <mergeCell ref="BD227:BG227"/>
    <mergeCell ref="BH227:BK227"/>
    <mergeCell ref="BL227:BO227"/>
    <mergeCell ref="AV225:BG225"/>
    <mergeCell ref="BH225:BK225"/>
    <mergeCell ref="BL225:BO225"/>
    <mergeCell ref="D226:E228"/>
    <mergeCell ref="F226:H228"/>
    <mergeCell ref="I226:J228"/>
    <mergeCell ref="K226:N228"/>
    <mergeCell ref="O226:P228"/>
    <mergeCell ref="Q226:U228"/>
    <mergeCell ref="X226:AA228"/>
    <mergeCell ref="AB223:AE225"/>
    <mergeCell ref="AV223:AY223"/>
    <mergeCell ref="BD223:BG223"/>
    <mergeCell ref="BH223:BK223"/>
    <mergeCell ref="BL223:BO223"/>
    <mergeCell ref="AV224:AY224"/>
    <mergeCell ref="BD224:BG224"/>
    <mergeCell ref="BH224:BK224"/>
    <mergeCell ref="BL224:BO224"/>
    <mergeCell ref="BH231:BK231"/>
    <mergeCell ref="AF228:AU228"/>
    <mergeCell ref="AV228:BG228"/>
    <mergeCell ref="BH228:BK228"/>
    <mergeCell ref="BL228:BO228"/>
    <mergeCell ref="D229:E231"/>
    <mergeCell ref="F229:H231"/>
    <mergeCell ref="I229:J231"/>
    <mergeCell ref="K229:N231"/>
    <mergeCell ref="O229:P231"/>
    <mergeCell ref="Q229:U231"/>
    <mergeCell ref="AB226:AE228"/>
    <mergeCell ref="AV226:AY226"/>
    <mergeCell ref="BD226:BG226"/>
    <mergeCell ref="BH226:BK226"/>
    <mergeCell ref="BL226:BO226"/>
    <mergeCell ref="BX232:BY234"/>
    <mergeCell ref="AV233:AY233"/>
    <mergeCell ref="BD233:BG233"/>
    <mergeCell ref="BH233:BK233"/>
    <mergeCell ref="BL233:BO233"/>
    <mergeCell ref="BL231:BO231"/>
    <mergeCell ref="D232:E234"/>
    <mergeCell ref="F232:H234"/>
    <mergeCell ref="I232:J234"/>
    <mergeCell ref="K232:N234"/>
    <mergeCell ref="O232:P234"/>
    <mergeCell ref="Q232:U234"/>
    <mergeCell ref="X232:AA234"/>
    <mergeCell ref="AB232:AE234"/>
    <mergeCell ref="AV232:AY232"/>
    <mergeCell ref="X229:AA231"/>
    <mergeCell ref="AB229:AE231"/>
    <mergeCell ref="BH229:BK229"/>
    <mergeCell ref="BL229:BO229"/>
    <mergeCell ref="BX229:BY231"/>
    <mergeCell ref="BH230:BK230"/>
    <mergeCell ref="BL230:BO230"/>
    <mergeCell ref="AF231:AU231"/>
    <mergeCell ref="AV231:BG231"/>
    <mergeCell ref="BH234:BK234"/>
    <mergeCell ref="BL234:BO234"/>
    <mergeCell ref="D254:K254"/>
    <mergeCell ref="L254:O254"/>
    <mergeCell ref="Z254:AG254"/>
    <mergeCell ref="AK254:AR254"/>
    <mergeCell ref="BD232:BG232"/>
    <mergeCell ref="BH232:BK232"/>
    <mergeCell ref="BL232:BO232"/>
    <mergeCell ref="AP256:AU258"/>
    <mergeCell ref="AV256:BA258"/>
    <mergeCell ref="N257:Q257"/>
    <mergeCell ref="R257:U257"/>
    <mergeCell ref="V257:Y257"/>
    <mergeCell ref="Z257:AC257"/>
    <mergeCell ref="AD257:AG257"/>
    <mergeCell ref="AF234:AU234"/>
    <mergeCell ref="AV234:BG234"/>
    <mergeCell ref="AH257:AK257"/>
    <mergeCell ref="AL257:AO257"/>
    <mergeCell ref="F259:G261"/>
    <mergeCell ref="H259:M261"/>
    <mergeCell ref="N259:Q259"/>
    <mergeCell ref="R259:U259"/>
    <mergeCell ref="V259:Y259"/>
    <mergeCell ref="Z259:AC259"/>
    <mergeCell ref="AD259:AG259"/>
    <mergeCell ref="D256:E258"/>
    <mergeCell ref="F256:M257"/>
    <mergeCell ref="N256:AO256"/>
    <mergeCell ref="AH259:AK259"/>
    <mergeCell ref="AL259:AO259"/>
    <mergeCell ref="AP259:AU259"/>
    <mergeCell ref="AV259:BA259"/>
    <mergeCell ref="N260:Q260"/>
    <mergeCell ref="R260:U260"/>
    <mergeCell ref="V260:Y260"/>
    <mergeCell ref="Z260:AC260"/>
    <mergeCell ref="AD260:AG260"/>
    <mergeCell ref="AH260:AK260"/>
    <mergeCell ref="AL260:AO260"/>
    <mergeCell ref="AP260:AU260"/>
    <mergeCell ref="AV260:BA260"/>
    <mergeCell ref="AP261:AU261"/>
    <mergeCell ref="AV261:BA261"/>
    <mergeCell ref="D262:E264"/>
    <mergeCell ref="F262:G264"/>
    <mergeCell ref="H262:M264"/>
    <mergeCell ref="N262:Q262"/>
    <mergeCell ref="R262:U262"/>
    <mergeCell ref="AV262:BA262"/>
    <mergeCell ref="N263:Q263"/>
    <mergeCell ref="R263:U263"/>
    <mergeCell ref="V263:Y263"/>
    <mergeCell ref="Z263:AC263"/>
    <mergeCell ref="AD263:AG263"/>
    <mergeCell ref="AH263:AK263"/>
    <mergeCell ref="AL263:AO263"/>
    <mergeCell ref="AP263:AU263"/>
    <mergeCell ref="AV263:BA263"/>
    <mergeCell ref="V262:Y262"/>
    <mergeCell ref="Z262:AC262"/>
    <mergeCell ref="AD262:AG262"/>
    <mergeCell ref="AH262:AK262"/>
    <mergeCell ref="AL262:AO262"/>
    <mergeCell ref="AP262:AU262"/>
    <mergeCell ref="D259:E261"/>
    <mergeCell ref="D291:E291"/>
    <mergeCell ref="Y267:AB267"/>
    <mergeCell ref="AD267:AG267"/>
    <mergeCell ref="AH267:AK267"/>
    <mergeCell ref="AL267:AO267"/>
    <mergeCell ref="AP267:AS267"/>
    <mergeCell ref="D270:G270"/>
    <mergeCell ref="AP264:AU264"/>
    <mergeCell ref="AV264:BA264"/>
    <mergeCell ref="D266:AB266"/>
    <mergeCell ref="AD266:AK266"/>
    <mergeCell ref="AL266:AS266"/>
    <mergeCell ref="D267:H267"/>
    <mergeCell ref="I267:L267"/>
    <mergeCell ref="M267:P267"/>
    <mergeCell ref="Q267:T267"/>
    <mergeCell ref="U267:X267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6" manualBreakCount="6">
    <brk id="50" max="87" man="1"/>
    <brk id="74" max="87" man="1"/>
    <brk id="135" max="87" man="1"/>
    <brk id="186" max="87" man="1"/>
    <brk id="241" max="87" man="1"/>
    <brk id="283" max="87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D5FE-2539-47A6-8DB0-E8FC8A3C7941}">
  <sheetPr>
    <tabColor theme="7" tint="-0.249977111117893"/>
    <pageSetUpPr fitToPage="1"/>
  </sheetPr>
  <dimension ref="A2:HY182"/>
  <sheetViews>
    <sheetView showGridLines="0" showZeros="0" view="pageBreakPreview" topLeftCell="A140" zoomScaleNormal="100" zoomScaleSheetLayoutView="100" workbookViewId="0">
      <selection activeCell="BQ152" sqref="BQ152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1189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1190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5000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8" spans="2:76" ht="28.5">
      <c r="B78" s="488" t="s">
        <v>779</v>
      </c>
    </row>
    <row r="79" spans="2:76" ht="12" customHeight="1">
      <c r="C79" s="489" t="s">
        <v>1151</v>
      </c>
    </row>
    <row r="80" spans="2:76" ht="12" customHeight="1" thickBot="1">
      <c r="C80" s="489" t="s">
        <v>781</v>
      </c>
    </row>
    <row r="81" spans="3:63" ht="12" customHeight="1">
      <c r="C81" s="535"/>
      <c r="D81" s="536" t="s">
        <v>783</v>
      </c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8"/>
      <c r="R81" s="537"/>
      <c r="S81" s="537"/>
      <c r="T81" s="537"/>
      <c r="U81" s="537"/>
      <c r="V81" s="537"/>
      <c r="W81" s="537"/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7"/>
      <c r="AK81" s="537"/>
      <c r="AL81" s="537"/>
      <c r="AM81" s="537"/>
      <c r="AN81" s="537"/>
      <c r="AO81" s="537"/>
      <c r="AP81" s="537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493"/>
    </row>
    <row r="82" spans="3:63" ht="12" customHeight="1">
      <c r="C82" s="497"/>
      <c r="Q82" s="8"/>
      <c r="BK82" s="499"/>
    </row>
    <row r="83" spans="3:63" ht="12" customHeight="1">
      <c r="C83" s="539"/>
      <c r="D83" s="540" t="s">
        <v>245</v>
      </c>
      <c r="E83" s="540"/>
      <c r="F83" s="541"/>
      <c r="G83" s="540"/>
      <c r="H83" s="542" t="s">
        <v>761</v>
      </c>
      <c r="I83" s="543"/>
      <c r="J83" s="543"/>
      <c r="K83" s="543"/>
      <c r="L83" s="543"/>
      <c r="M83" s="544"/>
      <c r="N83" s="498"/>
      <c r="O83" s="540" t="s">
        <v>244</v>
      </c>
      <c r="P83" s="540"/>
      <c r="Q83" s="541"/>
      <c r="R83" s="540"/>
      <c r="S83" s="498"/>
      <c r="T83" s="542" t="s">
        <v>774</v>
      </c>
      <c r="U83" s="543"/>
      <c r="V83" s="543"/>
      <c r="W83" s="543"/>
      <c r="X83" s="544"/>
      <c r="AA83" s="540" t="s">
        <v>784</v>
      </c>
      <c r="AB83" s="545"/>
      <c r="AC83" s="540"/>
      <c r="AE83" s="1163"/>
      <c r="AF83" s="1164"/>
      <c r="AG83" s="1165"/>
      <c r="AJ83" s="546" t="s">
        <v>732</v>
      </c>
      <c r="AK83" s="546"/>
      <c r="AL83" s="546"/>
      <c r="AM83" s="1166">
        <v>44627</v>
      </c>
      <c r="AN83" s="1167"/>
      <c r="AO83" s="1167"/>
      <c r="AP83" s="1167"/>
      <c r="AR83" s="1168">
        <v>0.5</v>
      </c>
      <c r="AS83" s="1169"/>
      <c r="AT83" s="1169"/>
      <c r="AU83" s="1170"/>
      <c r="AV83" s="512"/>
      <c r="BK83" s="499"/>
    </row>
    <row r="84" spans="3:63" ht="12" customHeight="1">
      <c r="C84" s="539"/>
      <c r="Q84" s="8"/>
      <c r="BK84" s="499"/>
    </row>
    <row r="85" spans="3:63" ht="12" customHeight="1">
      <c r="C85" s="539"/>
      <c r="D85" s="547" t="s">
        <v>785</v>
      </c>
      <c r="E85" s="540"/>
      <c r="F85" s="547"/>
      <c r="G85" s="540"/>
      <c r="H85" s="548" t="s">
        <v>786</v>
      </c>
      <c r="I85" s="482"/>
      <c r="J85" s="482"/>
      <c r="K85" s="483"/>
      <c r="O85" s="540" t="s">
        <v>235</v>
      </c>
      <c r="P85" s="547"/>
      <c r="Q85" s="540"/>
      <c r="R85" s="547"/>
      <c r="S85" s="540"/>
      <c r="T85" s="549" t="s">
        <v>1191</v>
      </c>
      <c r="U85" s="482"/>
      <c r="V85" s="482"/>
      <c r="W85" s="482"/>
      <c r="X85" s="482"/>
      <c r="Y85" s="483"/>
      <c r="AA85" s="540"/>
      <c r="AB85" s="540"/>
      <c r="AC85" s="541" t="s">
        <v>787</v>
      </c>
      <c r="AD85" s="540"/>
      <c r="AE85" s="540" t="s">
        <v>788</v>
      </c>
      <c r="AF85" s="550"/>
      <c r="AG85" s="482"/>
      <c r="AH85" s="482"/>
      <c r="AI85" s="482"/>
      <c r="AJ85" s="483"/>
      <c r="AL85" s="540" t="s">
        <v>790</v>
      </c>
      <c r="AM85" s="548"/>
      <c r="AN85" s="482"/>
      <c r="AO85" s="482"/>
      <c r="AP85" s="482"/>
      <c r="AQ85" s="483"/>
      <c r="AS85" s="540" t="s">
        <v>791</v>
      </c>
      <c r="AT85" s="548"/>
      <c r="AU85" s="482"/>
      <c r="AV85" s="482"/>
      <c r="AW85" s="482"/>
      <c r="AX85" s="483"/>
      <c r="BK85" s="499"/>
    </row>
    <row r="86" spans="3:63" ht="12" customHeight="1">
      <c r="C86" s="539"/>
      <c r="D86" s="547" t="s">
        <v>715</v>
      </c>
      <c r="E86" s="540"/>
      <c r="F86" s="547"/>
      <c r="G86" s="540"/>
      <c r="H86" s="548"/>
      <c r="I86" s="482"/>
      <c r="J86" s="482"/>
      <c r="K86" s="482"/>
      <c r="L86" s="551"/>
      <c r="M86" s="483"/>
      <c r="N86" s="552"/>
      <c r="O86" s="553" t="s">
        <v>792</v>
      </c>
      <c r="P86" s="553"/>
      <c r="Q86" s="554"/>
      <c r="R86" s="553"/>
      <c r="S86" s="555"/>
      <c r="T86" s="542" t="s">
        <v>793</v>
      </c>
      <c r="U86" s="543"/>
      <c r="V86" s="543"/>
      <c r="W86" s="543"/>
      <c r="X86" s="544"/>
      <c r="BK86" s="499"/>
    </row>
    <row r="87" spans="3:63" ht="12" customHeight="1">
      <c r="C87" s="539"/>
      <c r="D87" s="547" t="s">
        <v>697</v>
      </c>
      <c r="E87" s="540"/>
      <c r="F87" s="547"/>
      <c r="G87" s="540"/>
      <c r="H87" s="548" t="s">
        <v>794</v>
      </c>
      <c r="I87" s="482"/>
      <c r="J87" s="482"/>
      <c r="K87" s="482"/>
      <c r="L87" s="482"/>
      <c r="M87" s="483"/>
      <c r="N87" s="556"/>
      <c r="O87" s="543" t="s">
        <v>762</v>
      </c>
      <c r="P87" s="543"/>
      <c r="Q87" s="543"/>
      <c r="R87" s="543"/>
      <c r="S87" s="543"/>
      <c r="T87" s="543"/>
      <c r="U87" s="543"/>
      <c r="V87" s="544"/>
      <c r="X87" s="540" t="s">
        <v>243</v>
      </c>
      <c r="Y87" s="540"/>
      <c r="Z87" s="540"/>
      <c r="AA87" s="540"/>
      <c r="AB87" s="1166">
        <v>44628</v>
      </c>
      <c r="AC87" s="1167"/>
      <c r="AD87" s="1167"/>
      <c r="AE87" s="1167"/>
      <c r="AF87" s="483"/>
      <c r="AK87" s="510"/>
      <c r="AM87" s="557"/>
      <c r="AN87" s="557"/>
      <c r="AO87" s="557"/>
      <c r="AP87" s="557"/>
      <c r="AQ87" s="557"/>
      <c r="AR87" s="557"/>
      <c r="AS87" s="557"/>
      <c r="AT87" s="557"/>
      <c r="AU87" s="557"/>
      <c r="BK87" s="499"/>
    </row>
    <row r="88" spans="3:63" ht="12" customHeight="1">
      <c r="C88" s="539"/>
      <c r="D88" s="558" t="s">
        <v>742</v>
      </c>
      <c r="E88" s="540"/>
      <c r="F88" s="547"/>
      <c r="G88" s="540"/>
      <c r="H88" s="506" t="s">
        <v>1205</v>
      </c>
      <c r="I88" s="503"/>
      <c r="J88" s="503"/>
      <c r="K88" s="503"/>
      <c r="L88" s="503"/>
      <c r="M88" s="504"/>
      <c r="O88" s="540" t="s">
        <v>796</v>
      </c>
      <c r="P88" s="540"/>
      <c r="Q88" s="540"/>
      <c r="R88" s="540"/>
      <c r="S88" s="506"/>
      <c r="T88" s="559"/>
      <c r="U88" s="559"/>
      <c r="V88" s="559"/>
      <c r="W88" s="559"/>
      <c r="X88" s="559"/>
      <c r="Y88" s="559"/>
      <c r="Z88" s="559"/>
      <c r="AA88" s="559"/>
      <c r="AB88" s="503"/>
      <c r="AC88" s="503"/>
      <c r="AD88" s="503"/>
      <c r="AE88" s="503"/>
      <c r="AF88" s="504"/>
      <c r="AI88" s="540" t="s">
        <v>798</v>
      </c>
      <c r="AJ88" s="540"/>
      <c r="AK88" s="540"/>
      <c r="AL88" s="540"/>
      <c r="AM88" s="506"/>
      <c r="AN88" s="559"/>
      <c r="AO88" s="559"/>
      <c r="AP88" s="559"/>
      <c r="AQ88" s="559"/>
      <c r="AR88" s="559"/>
      <c r="AS88" s="559"/>
      <c r="AT88" s="559"/>
      <c r="AU88" s="559"/>
      <c r="AV88" s="503"/>
      <c r="AW88" s="503"/>
      <c r="AX88" s="503"/>
      <c r="AY88" s="503"/>
      <c r="AZ88" s="504"/>
      <c r="BK88" s="499"/>
    </row>
    <row r="89" spans="3:63" ht="12" customHeight="1">
      <c r="C89" s="539"/>
      <c r="D89" s="547" t="s">
        <v>799</v>
      </c>
      <c r="E89" s="540"/>
      <c r="F89" s="547"/>
      <c r="G89" s="540"/>
      <c r="H89" s="548"/>
      <c r="I89" s="482"/>
      <c r="J89" s="482"/>
      <c r="K89" s="482"/>
      <c r="L89" s="482"/>
      <c r="M89" s="483"/>
      <c r="O89" s="540" t="s">
        <v>743</v>
      </c>
      <c r="P89" s="540"/>
      <c r="Q89" s="540"/>
      <c r="R89" s="540"/>
      <c r="S89" s="506"/>
      <c r="T89" s="559"/>
      <c r="U89" s="559"/>
      <c r="V89" s="559"/>
      <c r="W89" s="559"/>
      <c r="X89" s="559"/>
      <c r="Y89" s="559"/>
      <c r="Z89" s="559"/>
      <c r="AA89" s="559"/>
      <c r="AB89" s="503"/>
      <c r="AC89" s="503"/>
      <c r="AD89" s="503"/>
      <c r="AE89" s="503"/>
      <c r="AF89" s="504"/>
      <c r="AI89" s="540" t="s">
        <v>801</v>
      </c>
      <c r="AJ89" s="540"/>
      <c r="AK89" s="540"/>
      <c r="AL89" s="540"/>
      <c r="AM89" s="506"/>
      <c r="AN89" s="559"/>
      <c r="AO89" s="559"/>
      <c r="AP89" s="559"/>
      <c r="AQ89" s="559"/>
      <c r="AR89" s="559"/>
      <c r="AS89" s="559"/>
      <c r="AT89" s="559"/>
      <c r="AU89" s="559"/>
      <c r="AV89" s="503"/>
      <c r="AW89" s="503"/>
      <c r="AX89" s="503"/>
      <c r="AY89" s="503"/>
      <c r="AZ89" s="504"/>
      <c r="BK89" s="499"/>
    </row>
    <row r="90" spans="3:63" ht="12" customHeight="1">
      <c r="C90" s="539"/>
      <c r="D90" s="547" t="s">
        <v>802</v>
      </c>
      <c r="E90" s="540"/>
      <c r="F90" s="547"/>
      <c r="G90" s="540"/>
      <c r="H90" s="511" t="s">
        <v>763</v>
      </c>
      <c r="I90" s="503"/>
      <c r="J90" s="503"/>
      <c r="K90" s="503"/>
      <c r="L90" s="503"/>
      <c r="M90" s="504"/>
      <c r="O90" s="540" t="s">
        <v>803</v>
      </c>
      <c r="P90" s="540"/>
      <c r="Q90" s="540"/>
      <c r="R90" s="540"/>
      <c r="S90" s="506"/>
      <c r="T90" s="503"/>
      <c r="U90" s="503"/>
      <c r="V90" s="503"/>
      <c r="W90" s="503"/>
      <c r="X90" s="504"/>
      <c r="BK90" s="499"/>
    </row>
    <row r="91" spans="3:63" ht="12" customHeight="1">
      <c r="C91" s="539"/>
      <c r="D91" s="560" t="s">
        <v>804</v>
      </c>
      <c r="E91" s="540"/>
      <c r="F91" s="547"/>
      <c r="G91" s="540"/>
      <c r="H91" s="548"/>
      <c r="I91" s="482"/>
      <c r="J91" s="482"/>
      <c r="K91" s="482"/>
      <c r="L91" s="482"/>
      <c r="M91" s="483"/>
      <c r="O91" s="540" t="s">
        <v>805</v>
      </c>
      <c r="P91" s="540"/>
      <c r="Q91" s="545"/>
      <c r="R91" s="540"/>
      <c r="S91" s="548"/>
      <c r="T91" s="482"/>
      <c r="U91" s="482"/>
      <c r="V91" s="482"/>
      <c r="W91" s="482"/>
      <c r="X91" s="483"/>
      <c r="BK91" s="499"/>
    </row>
    <row r="92" spans="3:63" ht="12" customHeight="1">
      <c r="C92" s="539"/>
      <c r="BK92" s="499"/>
    </row>
    <row r="93" spans="3:63" ht="12" customHeight="1">
      <c r="C93" s="539"/>
      <c r="D93" s="540" t="s">
        <v>806</v>
      </c>
      <c r="E93" s="540"/>
      <c r="H93" s="547" t="s">
        <v>287</v>
      </c>
      <c r="I93" s="540"/>
      <c r="J93" s="540"/>
      <c r="K93" s="561"/>
      <c r="L93" s="562"/>
      <c r="M93" s="563"/>
      <c r="O93" s="540" t="s">
        <v>807</v>
      </c>
      <c r="P93" s="540"/>
      <c r="Q93" s="540"/>
      <c r="R93" s="540"/>
      <c r="S93" s="561"/>
      <c r="T93" s="562"/>
      <c r="U93" s="563"/>
      <c r="Z93" s="540" t="s">
        <v>808</v>
      </c>
      <c r="AA93" s="540"/>
      <c r="AB93" s="540"/>
      <c r="AC93" s="561"/>
      <c r="AD93" s="562"/>
      <c r="AE93" s="562"/>
      <c r="AF93" s="563"/>
      <c r="AI93" s="540"/>
      <c r="AJ93" s="540"/>
      <c r="AK93" s="540"/>
      <c r="AL93" s="540"/>
      <c r="AM93" s="541" t="s">
        <v>809</v>
      </c>
      <c r="AN93" s="561"/>
      <c r="AO93" s="562"/>
      <c r="AP93" s="562"/>
      <c r="AQ93" s="563"/>
      <c r="AR93" s="556"/>
      <c r="BK93" s="499"/>
    </row>
    <row r="94" spans="3:63" ht="12" customHeight="1">
      <c r="C94" s="539"/>
      <c r="BK94" s="499"/>
    </row>
    <row r="95" spans="3:63" ht="12" customHeight="1">
      <c r="C95" s="539"/>
      <c r="D95" s="540" t="s">
        <v>810</v>
      </c>
      <c r="E95" s="540"/>
      <c r="F95" s="540"/>
      <c r="G95" s="540"/>
      <c r="H95" s="1171" t="s">
        <v>811</v>
      </c>
      <c r="I95" s="1172"/>
      <c r="J95" s="1172"/>
      <c r="K95" s="1172"/>
      <c r="L95" s="563"/>
      <c r="BK95" s="499"/>
    </row>
    <row r="96" spans="3:63" ht="12" customHeight="1">
      <c r="C96" s="539"/>
      <c r="Q96" s="8"/>
      <c r="BK96" s="499"/>
    </row>
    <row r="97" spans="3:90" ht="12" customHeight="1">
      <c r="C97" s="497"/>
      <c r="D97" s="566" t="s">
        <v>812</v>
      </c>
      <c r="E97" s="515"/>
      <c r="F97" s="515"/>
      <c r="G97" s="515"/>
      <c r="H97" s="515"/>
      <c r="I97" s="515"/>
      <c r="Q97" s="8"/>
      <c r="BK97" s="499"/>
    </row>
    <row r="98" spans="3:90" ht="12" customHeight="1">
      <c r="C98" s="497"/>
      <c r="D98" s="540" t="s">
        <v>813</v>
      </c>
      <c r="E98" s="540"/>
      <c r="F98" s="540"/>
      <c r="G98" s="540"/>
      <c r="H98" s="540"/>
      <c r="I98" s="540"/>
      <c r="J98" s="1173"/>
      <c r="K98" s="1174"/>
      <c r="O98" s="540" t="s">
        <v>815</v>
      </c>
      <c r="P98" s="540"/>
      <c r="Q98" s="545"/>
      <c r="R98" s="540"/>
      <c r="S98" s="540"/>
      <c r="T98" s="540"/>
      <c r="U98" s="540"/>
      <c r="V98" s="540"/>
      <c r="W98" s="540"/>
      <c r="X98" s="540"/>
      <c r="Z98" s="540" t="s">
        <v>816</v>
      </c>
      <c r="AA98" s="540"/>
      <c r="AB98" s="540"/>
      <c r="AC98" s="540"/>
      <c r="AD98" s="540"/>
      <c r="AE98" s="540"/>
      <c r="AF98" s="540"/>
      <c r="AG98" s="540"/>
      <c r="AI98" s="540" t="s">
        <v>817</v>
      </c>
      <c r="AJ98" s="540"/>
      <c r="AK98" s="540"/>
      <c r="AL98" s="540"/>
      <c r="AM98" s="540"/>
      <c r="AN98" s="540"/>
      <c r="AO98" s="540"/>
      <c r="AP98" s="540"/>
      <c r="AQ98" s="540"/>
      <c r="AR98" s="540"/>
      <c r="AT98" s="540" t="s">
        <v>818</v>
      </c>
      <c r="AU98" s="540"/>
      <c r="AV98" s="540"/>
      <c r="AW98" s="540"/>
      <c r="AX98" s="540"/>
      <c r="AY98" s="540"/>
      <c r="AZ98" s="540"/>
      <c r="BA98" s="540"/>
      <c r="BB98" s="540"/>
      <c r="BC98" s="540"/>
      <c r="BK98" s="499"/>
    </row>
    <row r="99" spans="3:90" ht="12" customHeight="1">
      <c r="C99" s="497"/>
      <c r="D99" s="540"/>
      <c r="E99" s="540"/>
      <c r="F99" s="540" t="s">
        <v>819</v>
      </c>
      <c r="G99" s="540"/>
      <c r="H99" s="540"/>
      <c r="I99" s="540"/>
      <c r="J99" s="1301"/>
      <c r="K99" s="1302"/>
      <c r="L99" s="1296"/>
      <c r="M99" s="1297"/>
      <c r="N99" s="556"/>
      <c r="O99" s="562"/>
      <c r="P99" s="562"/>
      <c r="Q99" s="562"/>
      <c r="R99" s="562"/>
      <c r="S99" s="562"/>
      <c r="T99" s="562"/>
      <c r="U99" s="562"/>
      <c r="V99" s="562"/>
      <c r="W99" s="562"/>
      <c r="X99" s="563"/>
      <c r="Y99" s="498"/>
      <c r="Z99" s="1298"/>
      <c r="AA99" s="1299"/>
      <c r="AB99" s="1299"/>
      <c r="AC99" s="1300"/>
      <c r="AD99" s="556"/>
      <c r="AE99" s="562"/>
      <c r="AF99" s="562"/>
      <c r="AG99" s="563"/>
      <c r="AH99" s="498"/>
      <c r="AI99" s="1298"/>
      <c r="AJ99" s="1296"/>
      <c r="AK99" s="1296"/>
      <c r="AL99" s="1297"/>
      <c r="AM99" s="747"/>
      <c r="AN99" s="562"/>
      <c r="AO99" s="562"/>
      <c r="AP99" s="562"/>
      <c r="AQ99" s="562"/>
      <c r="AR99" s="563"/>
      <c r="AT99" s="1298"/>
      <c r="AU99" s="1296"/>
      <c r="AV99" s="1296"/>
      <c r="AW99" s="1297"/>
      <c r="AX99" s="747"/>
      <c r="AY99" s="562"/>
      <c r="AZ99" s="562"/>
      <c r="BA99" s="562"/>
      <c r="BB99" s="562"/>
      <c r="BC99" s="563"/>
      <c r="BK99" s="499"/>
    </row>
    <row r="100" spans="3:90" ht="12" customHeight="1">
      <c r="C100" s="497"/>
      <c r="D100" s="540"/>
      <c r="E100" s="540"/>
      <c r="F100" s="540" t="s">
        <v>824</v>
      </c>
      <c r="G100" s="540"/>
      <c r="H100" s="540"/>
      <c r="I100" s="540"/>
      <c r="J100" s="1295"/>
      <c r="K100" s="1296"/>
      <c r="L100" s="1296"/>
      <c r="M100" s="1297"/>
      <c r="N100" s="556"/>
      <c r="O100" s="562"/>
      <c r="P100" s="562"/>
      <c r="Q100" s="562"/>
      <c r="R100" s="562"/>
      <c r="S100" s="562"/>
      <c r="T100" s="562"/>
      <c r="U100" s="562"/>
      <c r="V100" s="562"/>
      <c r="W100" s="562"/>
      <c r="X100" s="563"/>
      <c r="Y100" s="498"/>
      <c r="Z100" s="1298"/>
      <c r="AA100" s="1299"/>
      <c r="AB100" s="1299"/>
      <c r="AC100" s="1300"/>
      <c r="AD100" s="556"/>
      <c r="AE100" s="562"/>
      <c r="AF100" s="562"/>
      <c r="AG100" s="563"/>
      <c r="AH100" s="498"/>
      <c r="AI100" s="1298"/>
      <c r="AJ100" s="1296"/>
      <c r="AK100" s="1296"/>
      <c r="AL100" s="1297"/>
      <c r="AM100" s="747"/>
      <c r="AN100" s="562"/>
      <c r="AO100" s="562"/>
      <c r="AP100" s="562"/>
      <c r="AQ100" s="562"/>
      <c r="AR100" s="563"/>
      <c r="AT100" s="1298"/>
      <c r="AU100" s="1296"/>
      <c r="AV100" s="1296"/>
      <c r="AW100" s="1297"/>
      <c r="AX100" s="747"/>
      <c r="AY100" s="562"/>
      <c r="AZ100" s="562"/>
      <c r="BA100" s="562"/>
      <c r="BB100" s="562"/>
      <c r="BC100" s="563"/>
      <c r="BK100" s="499"/>
    </row>
    <row r="101" spans="3:90" ht="12" customHeight="1">
      <c r="C101" s="497"/>
      <c r="D101" s="540"/>
      <c r="E101" s="540"/>
      <c r="F101" s="540" t="s">
        <v>827</v>
      </c>
      <c r="G101" s="540"/>
      <c r="H101" s="540"/>
      <c r="I101" s="540"/>
      <c r="J101" s="1295"/>
      <c r="K101" s="1296"/>
      <c r="L101" s="1296"/>
      <c r="M101" s="1296"/>
      <c r="N101" s="556"/>
      <c r="O101" s="562"/>
      <c r="P101" s="562"/>
      <c r="Q101" s="562"/>
      <c r="R101" s="562"/>
      <c r="S101" s="562"/>
      <c r="T101" s="562"/>
      <c r="U101" s="562"/>
      <c r="V101" s="562"/>
      <c r="W101" s="562"/>
      <c r="X101" s="563"/>
      <c r="Y101" s="498"/>
      <c r="Z101" s="1298"/>
      <c r="AA101" s="1299"/>
      <c r="AB101" s="1299"/>
      <c r="AC101" s="1300"/>
      <c r="AD101" s="556"/>
      <c r="AE101" s="562"/>
      <c r="AF101" s="562"/>
      <c r="AG101" s="563"/>
      <c r="AH101" s="498"/>
      <c r="AI101" s="1298"/>
      <c r="AJ101" s="1296"/>
      <c r="AK101" s="1296"/>
      <c r="AL101" s="1296"/>
      <c r="AM101" s="747"/>
      <c r="AN101" s="562"/>
      <c r="AO101" s="562"/>
      <c r="AP101" s="562"/>
      <c r="AQ101" s="562"/>
      <c r="AR101" s="563"/>
      <c r="AT101" s="1298"/>
      <c r="AU101" s="1296"/>
      <c r="AV101" s="1296"/>
      <c r="AW101" s="1296"/>
      <c r="AX101" s="747"/>
      <c r="AY101" s="562"/>
      <c r="AZ101" s="562"/>
      <c r="BA101" s="562"/>
      <c r="BB101" s="562"/>
      <c r="BC101" s="563"/>
      <c r="BK101" s="499"/>
    </row>
    <row r="102" spans="3:90" ht="12" customHeight="1">
      <c r="C102" s="497"/>
      <c r="D102" s="540" t="s">
        <v>831</v>
      </c>
      <c r="E102" s="540"/>
      <c r="F102" s="540"/>
      <c r="G102" s="540"/>
      <c r="H102" s="540"/>
      <c r="I102" s="540"/>
      <c r="J102" s="561"/>
      <c r="K102" s="562"/>
      <c r="L102" s="562"/>
      <c r="M102" s="562"/>
      <c r="N102" s="563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V102" s="567"/>
      <c r="AW102" s="567"/>
      <c r="AX102" s="567"/>
      <c r="AY102" s="567"/>
      <c r="AZ102" s="567"/>
      <c r="BK102" s="499"/>
    </row>
    <row r="103" spans="3:90" ht="12" customHeight="1">
      <c r="C103" s="497"/>
      <c r="D103" s="540" t="s">
        <v>832</v>
      </c>
      <c r="E103" s="540"/>
      <c r="F103" s="540"/>
      <c r="G103" s="540"/>
      <c r="H103" s="540"/>
      <c r="I103" s="540"/>
      <c r="J103" s="1171"/>
      <c r="K103" s="1172"/>
      <c r="L103" s="1172"/>
      <c r="M103" s="1285"/>
      <c r="N103" s="498"/>
      <c r="Q103" s="8"/>
      <c r="BK103" s="499"/>
    </row>
    <row r="104" spans="3:90" ht="12" customHeight="1">
      <c r="C104" s="497"/>
      <c r="D104" s="540" t="s">
        <v>834</v>
      </c>
      <c r="E104" s="540"/>
      <c r="F104" s="540"/>
      <c r="G104" s="540"/>
      <c r="H104" s="540"/>
      <c r="I104" s="540"/>
      <c r="J104" s="498" t="s">
        <v>835</v>
      </c>
      <c r="K104" s="498"/>
      <c r="L104" s="1286"/>
      <c r="M104" s="1287"/>
      <c r="N104" s="1288"/>
      <c r="P104" s="8" t="s">
        <v>836</v>
      </c>
      <c r="Q104" s="8"/>
      <c r="R104" s="1286"/>
      <c r="S104" s="1287"/>
      <c r="T104" s="1288"/>
      <c r="V104" s="540" t="s">
        <v>837</v>
      </c>
      <c r="W104" s="540"/>
      <c r="X104" s="540"/>
      <c r="Z104" s="8" t="s">
        <v>838</v>
      </c>
      <c r="AB104" s="1289"/>
      <c r="AC104" s="1290"/>
      <c r="AD104" s="1291"/>
      <c r="AF104" s="8" t="s">
        <v>839</v>
      </c>
      <c r="AH104" s="1286"/>
      <c r="AI104" s="1287"/>
      <c r="AJ104" s="1288"/>
      <c r="BK104" s="499"/>
    </row>
    <row r="105" spans="3:90" ht="12" customHeight="1">
      <c r="C105" s="497"/>
      <c r="D105" s="540" t="s">
        <v>840</v>
      </c>
      <c r="E105" s="540"/>
      <c r="F105" s="540"/>
      <c r="G105" s="540"/>
      <c r="H105" s="540"/>
      <c r="I105" s="540"/>
      <c r="J105" s="498" t="s">
        <v>835</v>
      </c>
      <c r="K105" s="498"/>
      <c r="L105" s="751"/>
      <c r="M105" s="562"/>
      <c r="N105" s="563"/>
      <c r="P105" s="8" t="s">
        <v>836</v>
      </c>
      <c r="Q105" s="8"/>
      <c r="R105" s="1292"/>
      <c r="S105" s="1293"/>
      <c r="T105" s="1294"/>
      <c r="U105" s="8" t="s">
        <v>842</v>
      </c>
      <c r="BK105" s="499"/>
    </row>
    <row r="106" spans="3:90" ht="12" customHeight="1">
      <c r="C106" s="497"/>
      <c r="D106" s="540" t="s">
        <v>843</v>
      </c>
      <c r="E106" s="540"/>
      <c r="F106" s="540"/>
      <c r="G106" s="540"/>
      <c r="H106" s="540"/>
      <c r="I106" s="540"/>
      <c r="J106" s="498" t="s">
        <v>835</v>
      </c>
      <c r="K106" s="498"/>
      <c r="L106" s="751"/>
      <c r="M106" s="562"/>
      <c r="N106" s="563"/>
      <c r="Q106" s="8"/>
      <c r="R106" s="498"/>
      <c r="S106" s="498"/>
      <c r="T106" s="498"/>
      <c r="BK106" s="499"/>
    </row>
    <row r="107" spans="3:90" ht="12" customHeight="1">
      <c r="C107" s="497"/>
      <c r="D107" s="540" t="s">
        <v>844</v>
      </c>
      <c r="E107" s="540"/>
      <c r="F107" s="540"/>
      <c r="G107" s="540"/>
      <c r="H107" s="540"/>
      <c r="I107" s="540"/>
      <c r="J107" s="1171"/>
      <c r="K107" s="1172"/>
      <c r="L107" s="1172"/>
      <c r="M107" s="1172"/>
      <c r="N107" s="1285"/>
      <c r="BK107" s="499"/>
    </row>
    <row r="108" spans="3:90" ht="12" customHeight="1">
      <c r="C108" s="497"/>
      <c r="D108" s="540" t="s">
        <v>722</v>
      </c>
      <c r="E108" s="540"/>
      <c r="F108" s="540"/>
      <c r="G108" s="540"/>
      <c r="H108" s="540"/>
      <c r="I108" s="540"/>
      <c r="J108" s="1146"/>
      <c r="K108" s="1147"/>
      <c r="L108" s="1147"/>
      <c r="M108" s="1147"/>
      <c r="N108" s="1148"/>
      <c r="P108" s="540" t="s">
        <v>845</v>
      </c>
      <c r="Q108" s="540"/>
      <c r="R108" s="540"/>
      <c r="S108" s="540"/>
      <c r="T108" s="564"/>
      <c r="U108" s="565"/>
      <c r="V108" s="565"/>
      <c r="W108" s="565"/>
      <c r="X108" s="574"/>
      <c r="Z108" s="540" t="s">
        <v>847</v>
      </c>
      <c r="AA108" s="540"/>
      <c r="AB108" s="540"/>
      <c r="AC108" s="540"/>
      <c r="AD108" s="564"/>
      <c r="AE108" s="565"/>
      <c r="AF108" s="1172"/>
      <c r="AG108" s="1285"/>
      <c r="AH108" s="575"/>
      <c r="AI108" s="540" t="s">
        <v>848</v>
      </c>
      <c r="AJ108" s="540"/>
      <c r="AK108" s="540"/>
      <c r="AL108" s="540"/>
      <c r="AM108" s="564"/>
      <c r="AN108" s="565"/>
      <c r="AO108" s="565"/>
      <c r="AP108" s="565"/>
      <c r="AQ108" s="748"/>
      <c r="AT108" s="540" t="s">
        <v>849</v>
      </c>
      <c r="AU108" s="540"/>
      <c r="AV108" s="540"/>
      <c r="AW108" s="540"/>
      <c r="AX108" s="540"/>
      <c r="AY108" s="583"/>
      <c r="AZ108" s="584"/>
      <c r="BA108" s="584"/>
      <c r="BB108" s="584"/>
      <c r="BC108" s="578"/>
      <c r="BE108" s="8" t="s">
        <v>850</v>
      </c>
      <c r="BF108" s="10"/>
      <c r="BH108" s="10"/>
      <c r="BK108" s="499"/>
    </row>
    <row r="109" spans="3:90" ht="12" customHeight="1">
      <c r="C109" s="497"/>
      <c r="D109" s="498"/>
      <c r="E109" s="498"/>
      <c r="F109" s="498"/>
      <c r="G109" s="498"/>
      <c r="H109" s="498"/>
      <c r="I109" s="498"/>
      <c r="J109" s="891"/>
      <c r="K109" s="891"/>
      <c r="L109" s="891"/>
      <c r="M109" s="891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  <c r="AA109" s="498"/>
      <c r="AB109" s="498"/>
      <c r="AC109" s="498"/>
      <c r="AD109" s="498"/>
      <c r="AE109" s="498"/>
      <c r="AF109" s="498"/>
      <c r="AG109" s="498"/>
      <c r="AH109" s="498"/>
      <c r="AN109" s="498"/>
      <c r="AO109" s="498"/>
      <c r="AP109" s="498"/>
      <c r="AQ109" s="498"/>
      <c r="AR109" s="498"/>
      <c r="AS109" s="498"/>
      <c r="AT109" s="498"/>
      <c r="AU109" s="498"/>
      <c r="AV109" s="498"/>
      <c r="AW109" s="498"/>
      <c r="AX109" s="498"/>
      <c r="AY109" s="498"/>
      <c r="AZ109" s="498"/>
      <c r="BA109" s="498"/>
      <c r="BI109" s="498"/>
      <c r="BK109" s="499"/>
    </row>
    <row r="110" spans="3:90" ht="12" customHeight="1">
      <c r="C110" s="497"/>
      <c r="D110" s="566" t="s">
        <v>851</v>
      </c>
      <c r="E110" s="515"/>
      <c r="F110" s="515"/>
      <c r="G110" s="515"/>
      <c r="H110" s="515"/>
      <c r="I110" s="515"/>
      <c r="Q110" s="8"/>
      <c r="BF110" s="10"/>
      <c r="BH110" s="10"/>
      <c r="BK110" s="499"/>
    </row>
    <row r="111" spans="3:90" ht="12" customHeight="1">
      <c r="C111" s="497"/>
      <c r="D111" s="540" t="s">
        <v>852</v>
      </c>
      <c r="E111" s="540"/>
      <c r="F111" s="540"/>
      <c r="G111" s="540"/>
      <c r="H111" s="540"/>
      <c r="I111" s="540"/>
      <c r="J111" s="580"/>
      <c r="K111" s="562"/>
      <c r="L111" s="562"/>
      <c r="M111" s="562"/>
      <c r="N111" s="562"/>
      <c r="O111" s="542"/>
      <c r="P111" s="543"/>
      <c r="Q111" s="543"/>
      <c r="R111" s="543"/>
      <c r="S111" s="543"/>
      <c r="T111" s="543"/>
      <c r="U111" s="543"/>
      <c r="V111" s="569"/>
      <c r="W111" s="569"/>
      <c r="X111" s="569"/>
      <c r="Y111" s="575"/>
      <c r="Z111" s="540" t="s">
        <v>854</v>
      </c>
      <c r="AA111" s="540"/>
      <c r="AB111" s="540"/>
      <c r="AC111" s="540"/>
      <c r="AD111" s="581"/>
      <c r="AE111" s="581"/>
      <c r="AF111" s="581"/>
      <c r="AG111" s="574"/>
      <c r="AH111" s="498"/>
      <c r="AI111" s="540" t="s">
        <v>855</v>
      </c>
      <c r="AJ111" s="540"/>
      <c r="AK111" s="540"/>
      <c r="AL111" s="540"/>
      <c r="AM111" s="564"/>
      <c r="AN111" s="565"/>
      <c r="AO111" s="565"/>
      <c r="AP111" s="565"/>
      <c r="AQ111" s="748"/>
      <c r="AT111" s="540" t="s">
        <v>849</v>
      </c>
      <c r="AU111" s="540"/>
      <c r="AV111" s="540"/>
      <c r="AW111" s="540"/>
      <c r="AX111" s="540"/>
      <c r="AY111" s="583"/>
      <c r="AZ111" s="584"/>
      <c r="BA111" s="584"/>
      <c r="BB111" s="584"/>
      <c r="BC111" s="578"/>
      <c r="BK111" s="499"/>
      <c r="CL111" s="500" t="s">
        <v>857</v>
      </c>
    </row>
    <row r="112" spans="3:90" ht="12" customHeight="1">
      <c r="C112" s="497"/>
      <c r="D112" s="498"/>
      <c r="E112" s="498"/>
      <c r="F112" s="498"/>
      <c r="G112" s="498"/>
      <c r="H112" s="498"/>
      <c r="I112" s="498"/>
      <c r="J112" s="891"/>
      <c r="K112" s="891"/>
      <c r="L112" s="891"/>
      <c r="M112" s="891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  <c r="AD112" s="498"/>
      <c r="AE112" s="498"/>
      <c r="AF112" s="498"/>
      <c r="AG112" s="498"/>
      <c r="AH112" s="498"/>
      <c r="AN112" s="498"/>
      <c r="AO112" s="498"/>
      <c r="AP112" s="498"/>
      <c r="AQ112" s="498"/>
      <c r="AR112" s="498"/>
      <c r="AS112" s="498"/>
      <c r="AT112" s="498"/>
      <c r="AU112" s="498"/>
      <c r="AV112" s="498"/>
      <c r="AW112" s="498"/>
      <c r="AX112" s="498"/>
      <c r="AY112" s="498"/>
      <c r="AZ112" s="498"/>
      <c r="BA112" s="498"/>
      <c r="BI112" s="498"/>
      <c r="BK112" s="499"/>
    </row>
    <row r="113" spans="3:63" ht="12" customHeight="1">
      <c r="C113" s="497"/>
      <c r="D113" s="566" t="s">
        <v>858</v>
      </c>
      <c r="E113" s="515"/>
      <c r="F113" s="515"/>
      <c r="G113" s="515"/>
      <c r="H113" s="515"/>
      <c r="I113" s="515"/>
      <c r="BB113" s="498"/>
      <c r="BC113" s="498"/>
      <c r="BD113" s="498"/>
      <c r="BE113" s="498"/>
      <c r="BF113" s="498"/>
      <c r="BG113" s="498"/>
      <c r="BH113" s="498"/>
      <c r="BI113" s="498"/>
      <c r="BK113" s="499"/>
    </row>
    <row r="114" spans="3:63" ht="12" customHeight="1">
      <c r="C114" s="497"/>
      <c r="D114" s="540" t="s">
        <v>859</v>
      </c>
      <c r="E114" s="540"/>
      <c r="F114" s="540"/>
      <c r="G114" s="540"/>
      <c r="H114" s="540"/>
      <c r="I114" s="540"/>
      <c r="J114" s="511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4"/>
      <c r="AD114" s="540" t="s">
        <v>861</v>
      </c>
      <c r="AE114" s="540"/>
      <c r="AF114" s="540"/>
      <c r="AG114" s="540"/>
      <c r="AH114" s="540"/>
      <c r="AI114" s="540"/>
      <c r="AJ114" s="511"/>
      <c r="AK114" s="503"/>
      <c r="AL114" s="503"/>
      <c r="AM114" s="503"/>
      <c r="AN114" s="503"/>
      <c r="AO114" s="503"/>
      <c r="AP114" s="503"/>
      <c r="AQ114" s="503"/>
      <c r="AR114" s="503"/>
      <c r="AS114" s="503"/>
      <c r="AT114" s="503"/>
      <c r="AU114" s="503"/>
      <c r="AV114" s="503"/>
      <c r="AW114" s="503"/>
      <c r="AX114" s="503"/>
      <c r="AY114" s="503"/>
      <c r="AZ114" s="503"/>
      <c r="BA114" s="504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863</v>
      </c>
      <c r="E115" s="540"/>
      <c r="F115" s="540"/>
      <c r="G115" s="540"/>
      <c r="H115" s="540"/>
      <c r="I115" s="540"/>
      <c r="J115" s="511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03"/>
      <c r="AA115" s="504"/>
      <c r="AD115" s="540" t="s">
        <v>864</v>
      </c>
      <c r="AE115" s="540"/>
      <c r="AF115" s="540"/>
      <c r="AG115" s="540"/>
      <c r="AH115" s="540"/>
      <c r="AI115" s="540"/>
      <c r="AJ115" s="511"/>
      <c r="AK115" s="503"/>
      <c r="AL115" s="503"/>
      <c r="AM115" s="503"/>
      <c r="AN115" s="503"/>
      <c r="AO115" s="503"/>
      <c r="AP115" s="503"/>
      <c r="AQ115" s="503"/>
      <c r="AR115" s="503"/>
      <c r="AS115" s="503"/>
      <c r="AT115" s="503"/>
      <c r="AU115" s="503"/>
      <c r="AV115" s="503"/>
      <c r="AW115" s="503"/>
      <c r="AX115" s="503"/>
      <c r="AY115" s="503"/>
      <c r="AZ115" s="503"/>
      <c r="BA115" s="504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540" t="s">
        <v>865</v>
      </c>
      <c r="E116" s="540"/>
      <c r="F116" s="540"/>
      <c r="G116" s="540"/>
      <c r="H116" s="540"/>
      <c r="I116" s="540"/>
      <c r="J116" s="511"/>
      <c r="K116" s="503"/>
      <c r="L116" s="503"/>
      <c r="M116" s="503"/>
      <c r="N116" s="503"/>
      <c r="O116" s="503"/>
      <c r="P116" s="503"/>
      <c r="Q116" s="503"/>
      <c r="R116" s="503"/>
      <c r="S116" s="503"/>
      <c r="T116" s="503"/>
      <c r="U116" s="503"/>
      <c r="V116" s="503"/>
      <c r="W116" s="503"/>
      <c r="X116" s="503"/>
      <c r="Y116" s="503"/>
      <c r="Z116" s="503"/>
      <c r="AA116" s="504"/>
      <c r="AD116" s="540" t="s">
        <v>867</v>
      </c>
      <c r="AE116" s="540"/>
      <c r="AF116" s="540"/>
      <c r="AG116" s="540"/>
      <c r="AH116" s="540"/>
      <c r="AI116" s="540"/>
      <c r="AJ116" s="511"/>
      <c r="AK116" s="503"/>
      <c r="AL116" s="503"/>
      <c r="AM116" s="503"/>
      <c r="AN116" s="503"/>
      <c r="AO116" s="503"/>
      <c r="AP116" s="503"/>
      <c r="AQ116" s="503"/>
      <c r="AR116" s="503"/>
      <c r="AS116" s="503"/>
      <c r="AT116" s="503"/>
      <c r="AU116" s="503"/>
      <c r="AV116" s="503"/>
      <c r="AW116" s="503"/>
      <c r="AX116" s="503"/>
      <c r="AY116" s="503"/>
      <c r="AZ116" s="503"/>
      <c r="BA116" s="504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D117" s="540" t="s">
        <v>869</v>
      </c>
      <c r="E117" s="540"/>
      <c r="F117" s="540"/>
      <c r="G117" s="540"/>
      <c r="H117" s="540"/>
      <c r="I117" s="540"/>
      <c r="J117" s="511"/>
      <c r="K117" s="503"/>
      <c r="L117" s="503"/>
      <c r="M117" s="503"/>
      <c r="N117" s="503"/>
      <c r="O117" s="503"/>
      <c r="P117" s="503"/>
      <c r="Q117" s="503"/>
      <c r="R117" s="503"/>
      <c r="S117" s="503"/>
      <c r="T117" s="503"/>
      <c r="U117" s="503"/>
      <c r="V117" s="503"/>
      <c r="W117" s="503"/>
      <c r="X117" s="503"/>
      <c r="Y117" s="503"/>
      <c r="Z117" s="585"/>
      <c r="AA117" s="504"/>
      <c r="AD117" s="498"/>
      <c r="AE117" s="498"/>
      <c r="AF117" s="498"/>
      <c r="AG117" s="498"/>
      <c r="AH117" s="498"/>
      <c r="AI117" s="498"/>
      <c r="AJ117" s="586"/>
      <c r="AK117" s="586"/>
      <c r="AL117" s="586"/>
      <c r="AM117" s="586"/>
      <c r="AN117" s="586"/>
      <c r="AO117" s="586"/>
      <c r="AP117" s="586"/>
      <c r="AQ117" s="586"/>
      <c r="AR117" s="586"/>
      <c r="AS117" s="586"/>
      <c r="AT117" s="586"/>
      <c r="AU117" s="586"/>
      <c r="AV117" s="586"/>
      <c r="AW117" s="586"/>
      <c r="AX117" s="586"/>
      <c r="AY117" s="586"/>
      <c r="AZ117" s="587"/>
      <c r="BA117" s="586"/>
      <c r="BB117" s="498"/>
      <c r="BC117" s="498"/>
      <c r="BD117" s="498"/>
      <c r="BE117" s="498"/>
      <c r="BF117" s="498"/>
      <c r="BG117" s="498"/>
      <c r="BH117" s="498"/>
      <c r="BI117" s="498"/>
      <c r="BK117" s="499"/>
    </row>
    <row r="118" spans="3:63" ht="12" customHeight="1">
      <c r="C118" s="497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  <c r="AD118" s="498"/>
      <c r="AE118" s="498"/>
      <c r="AF118" s="498"/>
      <c r="AG118" s="498"/>
      <c r="AH118" s="498"/>
      <c r="AI118" s="498"/>
      <c r="AJ118" s="498"/>
      <c r="AK118" s="498"/>
      <c r="AL118" s="498"/>
      <c r="AM118" s="498"/>
      <c r="AN118" s="498"/>
      <c r="AO118" s="498"/>
      <c r="AP118" s="498"/>
      <c r="AQ118" s="498"/>
      <c r="AR118" s="498"/>
      <c r="AS118" s="498"/>
      <c r="AT118" s="498"/>
      <c r="AU118" s="498"/>
      <c r="AV118" s="498"/>
      <c r="AW118" s="498"/>
      <c r="AX118" s="498"/>
      <c r="AY118" s="498"/>
      <c r="AZ118" s="498"/>
      <c r="BA118" s="498"/>
      <c r="BB118" s="498"/>
      <c r="BC118" s="498"/>
      <c r="BD118" s="498"/>
      <c r="BE118" s="498"/>
      <c r="BF118" s="498"/>
      <c r="BG118" s="498"/>
      <c r="BH118" s="498"/>
      <c r="BI118" s="498"/>
      <c r="BK118" s="499"/>
    </row>
    <row r="119" spans="3:63" ht="12" customHeight="1">
      <c r="C119" s="497"/>
      <c r="BK119" s="499"/>
    </row>
    <row r="120" spans="3:63" ht="12" customHeight="1">
      <c r="C120" s="50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09"/>
    </row>
    <row r="121" spans="3:63" ht="12" customHeight="1" thickBot="1">
      <c r="C121" s="531"/>
      <c r="D121" s="532"/>
      <c r="E121" s="532"/>
      <c r="F121" s="532"/>
      <c r="G121" s="532"/>
      <c r="H121" s="532"/>
      <c r="I121" s="532"/>
      <c r="J121" s="532"/>
      <c r="K121" s="532"/>
      <c r="L121" s="532"/>
      <c r="M121" s="532"/>
      <c r="N121" s="532"/>
      <c r="O121" s="532"/>
      <c r="P121" s="532"/>
      <c r="Q121" s="533"/>
      <c r="R121" s="532"/>
      <c r="S121" s="532"/>
      <c r="T121" s="532"/>
      <c r="U121" s="532"/>
      <c r="V121" s="532"/>
      <c r="W121" s="532"/>
      <c r="X121" s="532"/>
      <c r="Y121" s="532"/>
      <c r="Z121" s="532"/>
      <c r="AA121" s="532"/>
      <c r="AB121" s="532"/>
      <c r="AC121" s="532"/>
      <c r="AD121" s="532"/>
      <c r="AE121" s="532"/>
      <c r="AF121" s="532"/>
      <c r="AG121" s="532"/>
      <c r="AH121" s="532"/>
      <c r="AI121" s="532"/>
      <c r="AJ121" s="532"/>
      <c r="AK121" s="532"/>
      <c r="AL121" s="532"/>
      <c r="AM121" s="532"/>
      <c r="AN121" s="532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4"/>
    </row>
    <row r="139" spans="2:63" ht="28.5">
      <c r="B139" s="488" t="s">
        <v>1153</v>
      </c>
    </row>
    <row r="140" spans="2:63" ht="12" customHeight="1">
      <c r="C140" s="489" t="s">
        <v>1151</v>
      </c>
    </row>
    <row r="141" spans="2:63" ht="12" customHeight="1" thickBot="1">
      <c r="C141" s="489" t="s">
        <v>781</v>
      </c>
    </row>
    <row r="142" spans="2:63" ht="12" customHeight="1">
      <c r="C142" s="535"/>
      <c r="D142" s="536" t="s">
        <v>783</v>
      </c>
      <c r="E142" s="537"/>
      <c r="F142" s="537"/>
      <c r="G142" s="537"/>
      <c r="H142" s="537"/>
      <c r="I142" s="537"/>
      <c r="J142" s="537"/>
      <c r="K142" s="537"/>
      <c r="L142" s="537"/>
      <c r="M142" s="537"/>
      <c r="N142" s="537"/>
      <c r="O142" s="537"/>
      <c r="P142" s="537"/>
      <c r="Q142" s="538"/>
      <c r="R142" s="537"/>
      <c r="S142" s="537"/>
      <c r="T142" s="537"/>
      <c r="U142" s="537"/>
      <c r="V142" s="537"/>
      <c r="W142" s="537"/>
      <c r="X142" s="537"/>
      <c r="Y142" s="537"/>
      <c r="Z142" s="537"/>
      <c r="AA142" s="537"/>
      <c r="AB142" s="537"/>
      <c r="AC142" s="537"/>
      <c r="AD142" s="537"/>
      <c r="AE142" s="537"/>
      <c r="AF142" s="537"/>
      <c r="AG142" s="537"/>
      <c r="AH142" s="537"/>
      <c r="AI142" s="537"/>
      <c r="AJ142" s="537"/>
      <c r="AK142" s="537"/>
      <c r="AL142" s="537"/>
      <c r="AM142" s="537"/>
      <c r="AN142" s="537"/>
      <c r="AO142" s="537"/>
      <c r="AP142" s="537"/>
      <c r="AQ142" s="537"/>
      <c r="AR142" s="537"/>
      <c r="AS142" s="537"/>
      <c r="AT142" s="537"/>
      <c r="AU142" s="537"/>
      <c r="AV142" s="537"/>
      <c r="AW142" s="537"/>
      <c r="AX142" s="537"/>
      <c r="AY142" s="537"/>
      <c r="AZ142" s="537"/>
      <c r="BA142" s="537"/>
      <c r="BB142" s="537"/>
      <c r="BC142" s="537"/>
      <c r="BD142" s="537"/>
      <c r="BE142" s="537"/>
      <c r="BF142" s="537"/>
      <c r="BG142" s="537"/>
      <c r="BH142" s="537"/>
      <c r="BI142" s="537"/>
      <c r="BJ142" s="537"/>
      <c r="BK142" s="493"/>
    </row>
    <row r="143" spans="2:63" ht="12" customHeight="1">
      <c r="C143" s="497"/>
      <c r="Q143" s="8"/>
      <c r="BK143" s="499"/>
    </row>
    <row r="144" spans="2:63" ht="12" customHeight="1">
      <c r="C144" s="539"/>
      <c r="D144" s="540" t="s">
        <v>245</v>
      </c>
      <c r="E144" s="540"/>
      <c r="F144" s="541"/>
      <c r="G144" s="540"/>
      <c r="H144" s="542" t="s">
        <v>761</v>
      </c>
      <c r="I144" s="543"/>
      <c r="J144" s="543"/>
      <c r="K144" s="543"/>
      <c r="L144" s="543"/>
      <c r="M144" s="544"/>
      <c r="N144" s="498"/>
      <c r="O144" s="540" t="s">
        <v>244</v>
      </c>
      <c r="P144" s="540"/>
      <c r="Q144" s="541"/>
      <c r="R144" s="540"/>
      <c r="S144" s="498"/>
      <c r="T144" s="542" t="s">
        <v>774</v>
      </c>
      <c r="U144" s="543"/>
      <c r="V144" s="543"/>
      <c r="W144" s="543"/>
      <c r="X144" s="544"/>
      <c r="AA144" s="540" t="s">
        <v>784</v>
      </c>
      <c r="AB144" s="545"/>
      <c r="AC144" s="540"/>
      <c r="AE144" s="1163">
        <v>2000</v>
      </c>
      <c r="AF144" s="1164"/>
      <c r="AG144" s="1165"/>
      <c r="AJ144" s="546" t="s">
        <v>732</v>
      </c>
      <c r="AK144" s="546"/>
      <c r="AL144" s="546"/>
      <c r="AM144" s="1166">
        <v>44627</v>
      </c>
      <c r="AN144" s="1167"/>
      <c r="AO144" s="1167"/>
      <c r="AP144" s="1167"/>
      <c r="AR144" s="1168">
        <v>0.5</v>
      </c>
      <c r="AS144" s="1169"/>
      <c r="AT144" s="1169"/>
      <c r="AU144" s="1170"/>
      <c r="AV144" s="512"/>
      <c r="BK144" s="499"/>
    </row>
    <row r="145" spans="3:63" ht="12" customHeight="1">
      <c r="C145" s="539"/>
      <c r="Q145" s="8"/>
      <c r="BK145" s="499"/>
    </row>
    <row r="146" spans="3:63" ht="12" customHeight="1">
      <c r="C146" s="539"/>
      <c r="D146" s="547" t="s">
        <v>785</v>
      </c>
      <c r="E146" s="540"/>
      <c r="F146" s="547"/>
      <c r="G146" s="540"/>
      <c r="H146" s="548" t="s">
        <v>786</v>
      </c>
      <c r="I146" s="482"/>
      <c r="J146" s="482"/>
      <c r="K146" s="483"/>
      <c r="O146" s="540" t="s">
        <v>235</v>
      </c>
      <c r="P146" s="547"/>
      <c r="Q146" s="540"/>
      <c r="R146" s="547"/>
      <c r="S146" s="540"/>
      <c r="T146" s="549" t="s">
        <v>1191</v>
      </c>
      <c r="U146" s="482"/>
      <c r="V146" s="482"/>
      <c r="W146" s="482"/>
      <c r="X146" s="482"/>
      <c r="Y146" s="483"/>
      <c r="AA146" s="540"/>
      <c r="AB146" s="540"/>
      <c r="AC146" s="541" t="s">
        <v>787</v>
      </c>
      <c r="AD146" s="540"/>
      <c r="AE146" s="540" t="s">
        <v>788</v>
      </c>
      <c r="AF146" s="550" t="s">
        <v>1192</v>
      </c>
      <c r="AG146" s="482"/>
      <c r="AH146" s="482"/>
      <c r="AI146" s="482"/>
      <c r="AJ146" s="483"/>
      <c r="AL146" s="540" t="s">
        <v>790</v>
      </c>
      <c r="AM146" s="548"/>
      <c r="AN146" s="482"/>
      <c r="AO146" s="482"/>
      <c r="AP146" s="482"/>
      <c r="AQ146" s="483"/>
      <c r="AS146" s="540" t="s">
        <v>791</v>
      </c>
      <c r="AT146" s="548"/>
      <c r="AU146" s="482"/>
      <c r="AV146" s="482"/>
      <c r="AW146" s="482"/>
      <c r="AX146" s="483"/>
      <c r="BK146" s="499"/>
    </row>
    <row r="147" spans="3:63" ht="12" customHeight="1">
      <c r="C147" s="539"/>
      <c r="D147" s="547" t="s">
        <v>715</v>
      </c>
      <c r="E147" s="540"/>
      <c r="F147" s="547"/>
      <c r="G147" s="540"/>
      <c r="H147" s="548"/>
      <c r="I147" s="482"/>
      <c r="J147" s="482"/>
      <c r="K147" s="482"/>
      <c r="L147" s="551"/>
      <c r="M147" s="483"/>
      <c r="N147" s="552"/>
      <c r="O147" s="553" t="s">
        <v>792</v>
      </c>
      <c r="P147" s="553"/>
      <c r="Q147" s="554"/>
      <c r="R147" s="553"/>
      <c r="S147" s="555"/>
      <c r="T147" s="542" t="s">
        <v>793</v>
      </c>
      <c r="U147" s="543"/>
      <c r="V147" s="543"/>
      <c r="W147" s="543"/>
      <c r="X147" s="544"/>
      <c r="BK147" s="499"/>
    </row>
    <row r="148" spans="3:63" ht="12" customHeight="1">
      <c r="C148" s="539"/>
      <c r="D148" s="547" t="s">
        <v>697</v>
      </c>
      <c r="E148" s="540"/>
      <c r="F148" s="547"/>
      <c r="G148" s="540"/>
      <c r="H148" s="548" t="s">
        <v>794</v>
      </c>
      <c r="I148" s="482"/>
      <c r="J148" s="482"/>
      <c r="K148" s="482"/>
      <c r="L148" s="482"/>
      <c r="M148" s="483"/>
      <c r="N148" s="556"/>
      <c r="O148" s="543" t="s">
        <v>762</v>
      </c>
      <c r="P148" s="543"/>
      <c r="Q148" s="543"/>
      <c r="R148" s="543"/>
      <c r="S148" s="543"/>
      <c r="T148" s="543"/>
      <c r="U148" s="543"/>
      <c r="V148" s="544"/>
      <c r="X148" s="540" t="s">
        <v>243</v>
      </c>
      <c r="Y148" s="540"/>
      <c r="Z148" s="540"/>
      <c r="AA148" s="540"/>
      <c r="AB148" s="1166">
        <v>44628</v>
      </c>
      <c r="AC148" s="1167"/>
      <c r="AD148" s="1167"/>
      <c r="AE148" s="1167"/>
      <c r="AF148" s="483"/>
      <c r="AK148" s="510"/>
      <c r="AM148" s="557"/>
      <c r="AN148" s="557"/>
      <c r="AO148" s="557"/>
      <c r="AP148" s="557"/>
      <c r="AQ148" s="557"/>
      <c r="AR148" s="557"/>
      <c r="AS148" s="557"/>
      <c r="AT148" s="557"/>
      <c r="AU148" s="557"/>
      <c r="BK148" s="499"/>
    </row>
    <row r="149" spans="3:63" ht="12" customHeight="1">
      <c r="C149" s="539"/>
      <c r="D149" s="558" t="s">
        <v>742</v>
      </c>
      <c r="E149" s="540"/>
      <c r="F149" s="547"/>
      <c r="G149" s="540"/>
      <c r="H149" s="511" t="s">
        <v>763</v>
      </c>
      <c r="I149" s="503"/>
      <c r="J149" s="503"/>
      <c r="K149" s="503"/>
      <c r="L149" s="503"/>
      <c r="M149" s="504"/>
      <c r="O149" s="540" t="s">
        <v>796</v>
      </c>
      <c r="P149" s="540"/>
      <c r="Q149" s="540"/>
      <c r="R149" s="540"/>
      <c r="S149" s="506" t="s">
        <v>797</v>
      </c>
      <c r="T149" s="559"/>
      <c r="U149" s="559"/>
      <c r="V149" s="559"/>
      <c r="W149" s="559"/>
      <c r="X149" s="559"/>
      <c r="Y149" s="559"/>
      <c r="Z149" s="559"/>
      <c r="AA149" s="559"/>
      <c r="AB149" s="503"/>
      <c r="AC149" s="503"/>
      <c r="AD149" s="503"/>
      <c r="AE149" s="503"/>
      <c r="AF149" s="504"/>
      <c r="AI149" s="540" t="s">
        <v>798</v>
      </c>
      <c r="AJ149" s="540"/>
      <c r="AK149" s="540"/>
      <c r="AL149" s="540"/>
      <c r="AM149" s="506" t="s">
        <v>772</v>
      </c>
      <c r="AN149" s="559"/>
      <c r="AO149" s="559"/>
      <c r="AP149" s="559"/>
      <c r="AQ149" s="559"/>
      <c r="AR149" s="559"/>
      <c r="AS149" s="559"/>
      <c r="AT149" s="559"/>
      <c r="AU149" s="559"/>
      <c r="AV149" s="503"/>
      <c r="AW149" s="503"/>
      <c r="AX149" s="503"/>
      <c r="AY149" s="503"/>
      <c r="AZ149" s="504"/>
      <c r="BK149" s="499"/>
    </row>
    <row r="150" spans="3:63" ht="12" customHeight="1">
      <c r="C150" s="539"/>
      <c r="D150" s="547" t="s">
        <v>799</v>
      </c>
      <c r="E150" s="540"/>
      <c r="F150" s="547"/>
      <c r="G150" s="540"/>
      <c r="H150" s="542"/>
      <c r="I150" s="543"/>
      <c r="J150" s="543"/>
      <c r="K150" s="543"/>
      <c r="L150" s="543"/>
      <c r="M150" s="544"/>
      <c r="O150" s="540" t="s">
        <v>743</v>
      </c>
      <c r="P150" s="540"/>
      <c r="Q150" s="540"/>
      <c r="R150" s="540"/>
      <c r="S150" s="506" t="s">
        <v>800</v>
      </c>
      <c r="T150" s="559"/>
      <c r="U150" s="559"/>
      <c r="V150" s="559"/>
      <c r="W150" s="559"/>
      <c r="X150" s="559"/>
      <c r="Y150" s="559"/>
      <c r="Z150" s="559"/>
      <c r="AA150" s="559"/>
      <c r="AB150" s="503"/>
      <c r="AC150" s="503"/>
      <c r="AD150" s="503"/>
      <c r="AE150" s="503"/>
      <c r="AF150" s="504"/>
      <c r="AI150" s="540" t="s">
        <v>801</v>
      </c>
      <c r="AJ150" s="540"/>
      <c r="AK150" s="540"/>
      <c r="AL150" s="540"/>
      <c r="AM150" s="506" t="s">
        <v>772</v>
      </c>
      <c r="AN150" s="559"/>
      <c r="AO150" s="559"/>
      <c r="AP150" s="559"/>
      <c r="AQ150" s="559"/>
      <c r="AR150" s="559"/>
      <c r="AS150" s="559"/>
      <c r="AT150" s="559"/>
      <c r="AU150" s="559"/>
      <c r="AV150" s="503"/>
      <c r="AW150" s="503"/>
      <c r="AX150" s="503"/>
      <c r="AY150" s="503"/>
      <c r="AZ150" s="504"/>
      <c r="BK150" s="499"/>
    </row>
    <row r="151" spans="3:63" ht="12" customHeight="1">
      <c r="C151" s="539"/>
      <c r="D151" s="547" t="s">
        <v>802</v>
      </c>
      <c r="E151" s="540"/>
      <c r="F151" s="547"/>
      <c r="G151" s="540"/>
      <c r="H151" s="511" t="s">
        <v>763</v>
      </c>
      <c r="I151" s="503"/>
      <c r="J151" s="503"/>
      <c r="K151" s="503"/>
      <c r="L151" s="503"/>
      <c r="M151" s="504"/>
      <c r="O151" s="540" t="s">
        <v>803</v>
      </c>
      <c r="P151" s="540"/>
      <c r="Q151" s="540"/>
      <c r="R151" s="540"/>
      <c r="S151" s="506"/>
      <c r="T151" s="503"/>
      <c r="U151" s="503"/>
      <c r="V151" s="503"/>
      <c r="W151" s="503"/>
      <c r="X151" s="504"/>
      <c r="BK151" s="499"/>
    </row>
    <row r="152" spans="3:63" ht="12" customHeight="1">
      <c r="C152" s="539"/>
      <c r="D152" s="560" t="s">
        <v>804</v>
      </c>
      <c r="E152" s="540"/>
      <c r="F152" s="547"/>
      <c r="G152" s="540"/>
      <c r="H152" s="548"/>
      <c r="I152" s="482"/>
      <c r="J152" s="482"/>
      <c r="K152" s="482"/>
      <c r="L152" s="482"/>
      <c r="M152" s="483"/>
      <c r="O152" s="540" t="s">
        <v>805</v>
      </c>
      <c r="P152" s="540"/>
      <c r="Q152" s="545"/>
      <c r="R152" s="540"/>
      <c r="S152" s="548"/>
      <c r="T152" s="482"/>
      <c r="U152" s="482"/>
      <c r="V152" s="482"/>
      <c r="W152" s="482"/>
      <c r="X152" s="483"/>
      <c r="BK152" s="499"/>
    </row>
    <row r="153" spans="3:63" ht="12" customHeight="1">
      <c r="C153" s="539"/>
      <c r="BK153" s="499"/>
    </row>
    <row r="154" spans="3:63" ht="12" customHeight="1">
      <c r="C154" s="539"/>
      <c r="D154" s="540" t="s">
        <v>806</v>
      </c>
      <c r="E154" s="540"/>
      <c r="H154" s="547" t="s">
        <v>287</v>
      </c>
      <c r="I154" s="540"/>
      <c r="J154" s="540"/>
      <c r="K154" s="561"/>
      <c r="L154" s="562"/>
      <c r="M154" s="563"/>
      <c r="O154" s="540" t="s">
        <v>807</v>
      </c>
      <c r="P154" s="540"/>
      <c r="Q154" s="540"/>
      <c r="R154" s="540"/>
      <c r="S154" s="561"/>
      <c r="T154" s="562"/>
      <c r="U154" s="563"/>
      <c r="Z154" s="540" t="s">
        <v>808</v>
      </c>
      <c r="AA154" s="540"/>
      <c r="AB154" s="540"/>
      <c r="AC154" s="561"/>
      <c r="AD154" s="562"/>
      <c r="AE154" s="562"/>
      <c r="AF154" s="563"/>
      <c r="AI154" s="540"/>
      <c r="AJ154" s="540"/>
      <c r="AK154" s="540"/>
      <c r="AL154" s="540"/>
      <c r="AM154" s="541" t="s">
        <v>809</v>
      </c>
      <c r="AN154" s="561"/>
      <c r="AO154" s="562"/>
      <c r="AP154" s="562"/>
      <c r="AQ154" s="563"/>
      <c r="AR154" s="556"/>
      <c r="BK154" s="499"/>
    </row>
    <row r="155" spans="3:63" ht="12" customHeight="1">
      <c r="C155" s="539"/>
      <c r="BK155" s="499"/>
    </row>
    <row r="156" spans="3:63" ht="12" customHeight="1">
      <c r="C156" s="539"/>
      <c r="D156" s="540" t="s">
        <v>810</v>
      </c>
      <c r="E156" s="540"/>
      <c r="F156" s="540"/>
      <c r="G156" s="540"/>
      <c r="H156" s="1171" t="s">
        <v>811</v>
      </c>
      <c r="I156" s="1172"/>
      <c r="J156" s="1172"/>
      <c r="K156" s="1172"/>
      <c r="L156" s="563"/>
      <c r="BK156" s="499"/>
    </row>
    <row r="157" spans="3:63" ht="12" customHeight="1">
      <c r="C157" s="539"/>
      <c r="Q157" s="8"/>
      <c r="BK157" s="499"/>
    </row>
    <row r="158" spans="3:63" ht="12" customHeight="1">
      <c r="C158" s="497"/>
      <c r="D158" s="566" t="s">
        <v>812</v>
      </c>
      <c r="E158" s="515"/>
      <c r="F158" s="515"/>
      <c r="G158" s="515"/>
      <c r="H158" s="515"/>
      <c r="I158" s="515"/>
      <c r="Q158" s="8"/>
      <c r="BK158" s="499"/>
    </row>
    <row r="159" spans="3:63" ht="12" customHeight="1">
      <c r="C159" s="497"/>
      <c r="D159" s="540" t="s">
        <v>813</v>
      </c>
      <c r="E159" s="540"/>
      <c r="F159" s="540"/>
      <c r="G159" s="540"/>
      <c r="H159" s="540"/>
      <c r="I159" s="540"/>
      <c r="J159" s="972"/>
      <c r="K159" s="974"/>
      <c r="O159" s="540" t="s">
        <v>815</v>
      </c>
      <c r="P159" s="540"/>
      <c r="Q159" s="545"/>
      <c r="R159" s="540"/>
      <c r="S159" s="540"/>
      <c r="T159" s="540"/>
      <c r="U159" s="540"/>
      <c r="V159" s="540"/>
      <c r="W159" s="540"/>
      <c r="X159" s="540"/>
      <c r="Z159" s="540" t="s">
        <v>816</v>
      </c>
      <c r="AA159" s="540"/>
      <c r="AB159" s="540"/>
      <c r="AC159" s="540"/>
      <c r="AD159" s="540"/>
      <c r="AE159" s="540"/>
      <c r="AF159" s="540"/>
      <c r="AG159" s="540"/>
      <c r="AI159" s="540" t="s">
        <v>817</v>
      </c>
      <c r="AJ159" s="540"/>
      <c r="AK159" s="540"/>
      <c r="AL159" s="540"/>
      <c r="AM159" s="540"/>
      <c r="AN159" s="540"/>
      <c r="AO159" s="540"/>
      <c r="AP159" s="540"/>
      <c r="AQ159" s="540"/>
      <c r="AR159" s="540"/>
      <c r="AT159" s="540" t="s">
        <v>818</v>
      </c>
      <c r="AU159" s="540"/>
      <c r="AV159" s="540"/>
      <c r="AW159" s="540"/>
      <c r="AX159" s="540"/>
      <c r="AY159" s="540"/>
      <c r="AZ159" s="540"/>
      <c r="BA159" s="540"/>
      <c r="BB159" s="540"/>
      <c r="BC159" s="540"/>
      <c r="BK159" s="499"/>
    </row>
    <row r="160" spans="3:63" ht="12" customHeight="1">
      <c r="C160" s="497"/>
      <c r="D160" s="540"/>
      <c r="E160" s="540"/>
      <c r="F160" s="540" t="s">
        <v>819</v>
      </c>
      <c r="G160" s="540"/>
      <c r="H160" s="540"/>
      <c r="I160" s="540"/>
      <c r="J160" s="1160"/>
      <c r="K160" s="1161"/>
      <c r="L160" s="1150"/>
      <c r="M160" s="1162"/>
      <c r="N160" s="556"/>
      <c r="O160" s="543"/>
      <c r="P160" s="543"/>
      <c r="Q160" s="543"/>
      <c r="R160" s="543"/>
      <c r="S160" s="543"/>
      <c r="T160" s="543"/>
      <c r="U160" s="543"/>
      <c r="V160" s="543"/>
      <c r="W160" s="543"/>
      <c r="X160" s="544"/>
      <c r="Y160" s="498"/>
      <c r="Z160" s="1151"/>
      <c r="AA160" s="1152"/>
      <c r="AB160" s="1152"/>
      <c r="AC160" s="1153"/>
      <c r="AD160" s="556"/>
      <c r="AE160" s="543"/>
      <c r="AF160" s="543"/>
      <c r="AG160" s="544"/>
      <c r="AH160" s="498"/>
      <c r="AI160" s="1151"/>
      <c r="AJ160" s="1150"/>
      <c r="AK160" s="1150"/>
      <c r="AL160" s="1162"/>
      <c r="AM160" s="556"/>
      <c r="AN160" s="543"/>
      <c r="AO160" s="543"/>
      <c r="AP160" s="543"/>
      <c r="AQ160" s="543"/>
      <c r="AR160" s="544"/>
      <c r="AS160" s="498"/>
      <c r="AT160" s="1151"/>
      <c r="AU160" s="1150"/>
      <c r="AV160" s="1150"/>
      <c r="AW160" s="1162"/>
      <c r="AX160" s="556"/>
      <c r="AY160" s="543"/>
      <c r="AZ160" s="543"/>
      <c r="BA160" s="543"/>
      <c r="BB160" s="543"/>
      <c r="BC160" s="544"/>
      <c r="BK160" s="499"/>
    </row>
    <row r="161" spans="3:90" ht="12" customHeight="1">
      <c r="C161" s="497"/>
      <c r="D161" s="540"/>
      <c r="E161" s="540"/>
      <c r="F161" s="540" t="s">
        <v>824</v>
      </c>
      <c r="G161" s="540"/>
      <c r="H161" s="540"/>
      <c r="I161" s="540"/>
      <c r="J161" s="1149"/>
      <c r="K161" s="1150"/>
      <c r="L161" s="1150"/>
      <c r="M161" s="1162"/>
      <c r="N161" s="556"/>
      <c r="O161" s="543"/>
      <c r="P161" s="543"/>
      <c r="Q161" s="543"/>
      <c r="R161" s="543"/>
      <c r="S161" s="543"/>
      <c r="T161" s="543"/>
      <c r="U161" s="543"/>
      <c r="V161" s="543"/>
      <c r="W161" s="543"/>
      <c r="X161" s="544"/>
      <c r="Y161" s="498"/>
      <c r="Z161" s="1151"/>
      <c r="AA161" s="1152"/>
      <c r="AB161" s="1152"/>
      <c r="AC161" s="1153"/>
      <c r="AD161" s="556"/>
      <c r="AE161" s="543"/>
      <c r="AF161" s="543"/>
      <c r="AG161" s="544"/>
      <c r="AH161" s="498"/>
      <c r="AI161" s="1151"/>
      <c r="AJ161" s="1150"/>
      <c r="AK161" s="1150"/>
      <c r="AL161" s="1162"/>
      <c r="AM161" s="556"/>
      <c r="AN161" s="543"/>
      <c r="AO161" s="543"/>
      <c r="AP161" s="543"/>
      <c r="AQ161" s="543"/>
      <c r="AR161" s="544"/>
      <c r="AS161" s="498"/>
      <c r="AT161" s="1151"/>
      <c r="AU161" s="1150"/>
      <c r="AV161" s="1150"/>
      <c r="AW161" s="1162"/>
      <c r="AX161" s="556"/>
      <c r="AY161" s="543"/>
      <c r="AZ161" s="543"/>
      <c r="BA161" s="543"/>
      <c r="BB161" s="543"/>
      <c r="BC161" s="544"/>
      <c r="BK161" s="499"/>
    </row>
    <row r="162" spans="3:90" ht="12" customHeight="1">
      <c r="C162" s="497"/>
      <c r="D162" s="540"/>
      <c r="E162" s="540"/>
      <c r="F162" s="540" t="s">
        <v>827</v>
      </c>
      <c r="G162" s="540"/>
      <c r="H162" s="540"/>
      <c r="I162" s="540"/>
      <c r="J162" s="1149"/>
      <c r="K162" s="1150"/>
      <c r="L162" s="1150"/>
      <c r="M162" s="1150"/>
      <c r="N162" s="556"/>
      <c r="O162" s="543"/>
      <c r="P162" s="543"/>
      <c r="Q162" s="543"/>
      <c r="R162" s="543"/>
      <c r="S162" s="543"/>
      <c r="T162" s="543"/>
      <c r="U162" s="543"/>
      <c r="V162" s="543"/>
      <c r="W162" s="543"/>
      <c r="X162" s="544"/>
      <c r="Y162" s="498"/>
      <c r="Z162" s="1151"/>
      <c r="AA162" s="1152"/>
      <c r="AB162" s="1152"/>
      <c r="AC162" s="1153"/>
      <c r="AD162" s="556"/>
      <c r="AE162" s="543"/>
      <c r="AF162" s="543"/>
      <c r="AG162" s="544"/>
      <c r="AH162" s="498"/>
      <c r="AI162" s="1151"/>
      <c r="AJ162" s="1150"/>
      <c r="AK162" s="1150"/>
      <c r="AL162" s="1150"/>
      <c r="AM162" s="556"/>
      <c r="AN162" s="543"/>
      <c r="AO162" s="543"/>
      <c r="AP162" s="543"/>
      <c r="AQ162" s="543"/>
      <c r="AR162" s="544"/>
      <c r="AS162" s="498"/>
      <c r="AT162" s="1151"/>
      <c r="AU162" s="1150"/>
      <c r="AV162" s="1150"/>
      <c r="AW162" s="1150"/>
      <c r="AX162" s="556"/>
      <c r="AY162" s="543"/>
      <c r="AZ162" s="543"/>
      <c r="BA162" s="543"/>
      <c r="BB162" s="543"/>
      <c r="BC162" s="544"/>
      <c r="BK162" s="499"/>
    </row>
    <row r="163" spans="3:90" ht="12" customHeight="1">
      <c r="C163" s="497"/>
      <c r="D163" s="540" t="s">
        <v>831</v>
      </c>
      <c r="E163" s="540"/>
      <c r="F163" s="540"/>
      <c r="G163" s="540"/>
      <c r="H163" s="540"/>
      <c r="I163" s="540"/>
      <c r="J163" s="549"/>
      <c r="K163" s="543"/>
      <c r="L163" s="543"/>
      <c r="M163" s="543"/>
      <c r="N163" s="544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V163" s="567"/>
      <c r="AW163" s="567"/>
      <c r="AX163" s="567"/>
      <c r="AY163" s="567"/>
      <c r="AZ163" s="567"/>
      <c r="BK163" s="499"/>
    </row>
    <row r="164" spans="3:90" ht="12" customHeight="1">
      <c r="C164" s="497"/>
      <c r="D164" s="540" t="s">
        <v>832</v>
      </c>
      <c r="E164" s="540"/>
      <c r="F164" s="540"/>
      <c r="G164" s="540"/>
      <c r="H164" s="540"/>
      <c r="I164" s="540"/>
      <c r="J164" s="1143"/>
      <c r="K164" s="1144"/>
      <c r="L164" s="1144"/>
      <c r="M164" s="1145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  <c r="AA164" s="498"/>
      <c r="AB164" s="498"/>
      <c r="AC164" s="498"/>
      <c r="AD164" s="498"/>
      <c r="AE164" s="498"/>
      <c r="AF164" s="498"/>
      <c r="AG164" s="498"/>
      <c r="AH164" s="498"/>
      <c r="AI164" s="498"/>
      <c r="AJ164" s="498"/>
      <c r="AK164" s="498"/>
      <c r="AL164" s="498"/>
      <c r="AM164" s="498"/>
      <c r="AN164" s="498"/>
      <c r="AO164" s="498"/>
      <c r="AP164" s="498"/>
      <c r="AQ164" s="498"/>
      <c r="AR164" s="498"/>
      <c r="AS164" s="498"/>
      <c r="AT164" s="498"/>
      <c r="AU164" s="498"/>
      <c r="AV164" s="498"/>
      <c r="AW164" s="498"/>
      <c r="AX164" s="498"/>
      <c r="AY164" s="498"/>
      <c r="AZ164" s="498"/>
      <c r="BA164" s="498"/>
      <c r="BB164" s="498"/>
      <c r="BC164" s="498"/>
      <c r="BD164" s="498"/>
      <c r="BE164" s="498"/>
      <c r="BF164" s="498"/>
      <c r="BG164" s="498"/>
      <c r="BK164" s="499"/>
    </row>
    <row r="165" spans="3:90" ht="12" customHeight="1">
      <c r="C165" s="497"/>
      <c r="D165" s="540" t="s">
        <v>834</v>
      </c>
      <c r="E165" s="540"/>
      <c r="F165" s="540"/>
      <c r="G165" s="540"/>
      <c r="H165" s="540"/>
      <c r="I165" s="540"/>
      <c r="J165" s="498" t="s">
        <v>835</v>
      </c>
      <c r="K165" s="498"/>
      <c r="L165" s="1154"/>
      <c r="M165" s="1155"/>
      <c r="N165" s="1156"/>
      <c r="O165" s="498"/>
      <c r="P165" s="498" t="s">
        <v>836</v>
      </c>
      <c r="Q165" s="498"/>
      <c r="R165" s="1154"/>
      <c r="S165" s="1155"/>
      <c r="T165" s="1156"/>
      <c r="U165" s="498"/>
      <c r="V165" s="498" t="s">
        <v>837</v>
      </c>
      <c r="W165" s="498"/>
      <c r="X165" s="498"/>
      <c r="Y165" s="498"/>
      <c r="Z165" s="498" t="s">
        <v>838</v>
      </c>
      <c r="AA165" s="498"/>
      <c r="AB165" s="1157"/>
      <c r="AC165" s="1158"/>
      <c r="AD165" s="1159"/>
      <c r="AE165" s="498"/>
      <c r="AF165" s="498" t="s">
        <v>839</v>
      </c>
      <c r="AG165" s="498"/>
      <c r="AH165" s="1154"/>
      <c r="AI165" s="1155"/>
      <c r="AJ165" s="1156"/>
      <c r="AK165" s="498"/>
      <c r="AL165" s="498"/>
      <c r="AM165" s="498"/>
      <c r="AN165" s="498"/>
      <c r="AO165" s="498"/>
      <c r="AP165" s="498"/>
      <c r="AQ165" s="498"/>
      <c r="AR165" s="498"/>
      <c r="AS165" s="498"/>
      <c r="AT165" s="498"/>
      <c r="AU165" s="498"/>
      <c r="AV165" s="498"/>
      <c r="AW165" s="498"/>
      <c r="AX165" s="498"/>
      <c r="AY165" s="498"/>
      <c r="AZ165" s="498"/>
      <c r="BA165" s="498"/>
      <c r="BB165" s="498"/>
      <c r="BC165" s="498"/>
      <c r="BD165" s="498"/>
      <c r="BE165" s="498"/>
      <c r="BF165" s="498"/>
      <c r="BG165" s="498"/>
      <c r="BK165" s="499"/>
    </row>
    <row r="166" spans="3:90" ht="12" customHeight="1">
      <c r="C166" s="497"/>
      <c r="D166" s="540" t="s">
        <v>840</v>
      </c>
      <c r="E166" s="540"/>
      <c r="F166" s="540"/>
      <c r="G166" s="540"/>
      <c r="H166" s="540"/>
      <c r="I166" s="540"/>
      <c r="J166" s="498" t="s">
        <v>835</v>
      </c>
      <c r="K166" s="498"/>
      <c r="L166" s="573"/>
      <c r="M166" s="543"/>
      <c r="N166" s="544"/>
      <c r="O166" s="498"/>
      <c r="P166" s="498" t="s">
        <v>836</v>
      </c>
      <c r="Q166" s="498"/>
      <c r="R166" s="1140"/>
      <c r="S166" s="1141"/>
      <c r="T166" s="1142"/>
      <c r="U166" s="498" t="s">
        <v>842</v>
      </c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  <c r="AM166" s="498"/>
      <c r="AN166" s="498"/>
      <c r="AO166" s="498"/>
      <c r="AP166" s="498"/>
      <c r="AQ166" s="498"/>
      <c r="AR166" s="498"/>
      <c r="AS166" s="498"/>
      <c r="AT166" s="498"/>
      <c r="AU166" s="498"/>
      <c r="AV166" s="498"/>
      <c r="AW166" s="498"/>
      <c r="AX166" s="498"/>
      <c r="AY166" s="498"/>
      <c r="AZ166" s="498"/>
      <c r="BA166" s="498"/>
      <c r="BB166" s="498"/>
      <c r="BC166" s="498"/>
      <c r="BD166" s="498"/>
      <c r="BE166" s="498"/>
      <c r="BF166" s="498"/>
      <c r="BG166" s="498"/>
      <c r="BK166" s="499"/>
    </row>
    <row r="167" spans="3:90" ht="12" customHeight="1">
      <c r="C167" s="497"/>
      <c r="D167" s="540" t="s">
        <v>843</v>
      </c>
      <c r="E167" s="540"/>
      <c r="F167" s="540"/>
      <c r="G167" s="540"/>
      <c r="H167" s="540"/>
      <c r="I167" s="540"/>
      <c r="J167" s="498" t="s">
        <v>835</v>
      </c>
      <c r="K167" s="498"/>
      <c r="L167" s="573"/>
      <c r="M167" s="543"/>
      <c r="N167" s="544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  <c r="AM167" s="498"/>
      <c r="AN167" s="498"/>
      <c r="AO167" s="498"/>
      <c r="AP167" s="498"/>
      <c r="AQ167" s="498"/>
      <c r="AR167" s="498"/>
      <c r="AS167" s="498"/>
      <c r="AT167" s="498"/>
      <c r="AU167" s="498"/>
      <c r="AV167" s="498"/>
      <c r="AW167" s="498"/>
      <c r="AX167" s="498"/>
      <c r="AY167" s="498"/>
      <c r="AZ167" s="498"/>
      <c r="BA167" s="498"/>
      <c r="BB167" s="498"/>
      <c r="BC167" s="498"/>
      <c r="BD167" s="498"/>
      <c r="BE167" s="498"/>
      <c r="BF167" s="498"/>
      <c r="BG167" s="498"/>
      <c r="BK167" s="499"/>
    </row>
    <row r="168" spans="3:90" ht="12" customHeight="1">
      <c r="C168" s="497"/>
      <c r="D168" s="540" t="s">
        <v>844</v>
      </c>
      <c r="E168" s="540"/>
      <c r="F168" s="540"/>
      <c r="G168" s="540"/>
      <c r="H168" s="540"/>
      <c r="I168" s="540"/>
      <c r="J168" s="1143"/>
      <c r="K168" s="1144"/>
      <c r="L168" s="1144"/>
      <c r="M168" s="1144"/>
      <c r="N168" s="1145"/>
      <c r="O168" s="498"/>
      <c r="P168" s="498"/>
      <c r="Q168" s="647"/>
      <c r="R168" s="498"/>
      <c r="S168" s="498"/>
      <c r="T168" s="498"/>
      <c r="U168" s="498"/>
      <c r="V168" s="498"/>
      <c r="W168" s="498"/>
      <c r="X168" s="498"/>
      <c r="Y168" s="498"/>
      <c r="Z168" s="498"/>
      <c r="AA168" s="498"/>
      <c r="AB168" s="498"/>
      <c r="AC168" s="498"/>
      <c r="AD168" s="498"/>
      <c r="AE168" s="498"/>
      <c r="AF168" s="498"/>
      <c r="AG168" s="498"/>
      <c r="AH168" s="498"/>
      <c r="AI168" s="498"/>
      <c r="AJ168" s="498"/>
      <c r="AK168" s="498"/>
      <c r="AL168" s="498"/>
      <c r="AM168" s="498"/>
      <c r="AN168" s="498"/>
      <c r="AO168" s="498"/>
      <c r="AP168" s="498"/>
      <c r="AQ168" s="498"/>
      <c r="AR168" s="498"/>
      <c r="AS168" s="498"/>
      <c r="AT168" s="498"/>
      <c r="AU168" s="498"/>
      <c r="AV168" s="498"/>
      <c r="AW168" s="498"/>
      <c r="AX168" s="498"/>
      <c r="AY168" s="498"/>
      <c r="AZ168" s="498"/>
      <c r="BA168" s="498"/>
      <c r="BB168" s="498"/>
      <c r="BC168" s="498"/>
      <c r="BD168" s="498"/>
      <c r="BE168" s="498"/>
      <c r="BF168" s="498"/>
      <c r="BG168" s="498"/>
      <c r="BK168" s="499"/>
    </row>
    <row r="169" spans="3:90" ht="12" customHeight="1">
      <c r="C169" s="497"/>
      <c r="D169" s="540" t="s">
        <v>722</v>
      </c>
      <c r="E169" s="540"/>
      <c r="F169" s="540"/>
      <c r="G169" s="540"/>
      <c r="H169" s="540"/>
      <c r="I169" s="540"/>
      <c r="J169" s="1146">
        <v>5000</v>
      </c>
      <c r="K169" s="1147"/>
      <c r="L169" s="1147"/>
      <c r="M169" s="1147"/>
      <c r="N169" s="1148"/>
      <c r="P169" s="540" t="s">
        <v>845</v>
      </c>
      <c r="Q169" s="540"/>
      <c r="R169" s="540"/>
      <c r="S169" s="540"/>
      <c r="T169" s="564"/>
      <c r="U169" s="565"/>
      <c r="V169" s="565"/>
      <c r="W169" s="565" t="s">
        <v>846</v>
      </c>
      <c r="X169" s="574"/>
      <c r="Z169" s="540" t="s">
        <v>847</v>
      </c>
      <c r="AA169" s="540"/>
      <c r="AB169" s="540"/>
      <c r="AC169" s="540"/>
      <c r="AD169" s="564"/>
      <c r="AE169" s="565"/>
      <c r="AF169" s="1172">
        <v>100</v>
      </c>
      <c r="AG169" s="1285"/>
      <c r="AH169" s="575"/>
      <c r="AI169" s="540" t="s">
        <v>848</v>
      </c>
      <c r="AJ169" s="540"/>
      <c r="AK169" s="540"/>
      <c r="AL169" s="540"/>
      <c r="AM169" s="564"/>
      <c r="AN169" s="565"/>
      <c r="AO169" s="565"/>
      <c r="AP169" s="565"/>
      <c r="AQ169" s="748"/>
      <c r="AT169" s="540" t="s">
        <v>849</v>
      </c>
      <c r="AU169" s="540"/>
      <c r="AV169" s="540"/>
      <c r="AW169" s="540"/>
      <c r="AX169" s="540"/>
      <c r="AY169" s="583"/>
      <c r="AZ169" s="584"/>
      <c r="BA169" s="584"/>
      <c r="BB169" s="584" t="s">
        <v>846</v>
      </c>
      <c r="BC169" s="578"/>
      <c r="BE169" s="8" t="s">
        <v>850</v>
      </c>
      <c r="BF169" s="10"/>
      <c r="BH169" s="10"/>
      <c r="BK169" s="499"/>
    </row>
    <row r="170" spans="3:90" ht="12" customHeight="1">
      <c r="C170" s="497"/>
      <c r="D170" s="498"/>
      <c r="E170" s="498"/>
      <c r="F170" s="498"/>
      <c r="G170" s="498"/>
      <c r="H170" s="498"/>
      <c r="I170" s="498"/>
      <c r="J170" s="891"/>
      <c r="K170" s="891"/>
      <c r="L170" s="891"/>
      <c r="M170" s="891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  <c r="AA170" s="498"/>
      <c r="AB170" s="498"/>
      <c r="AC170" s="498"/>
      <c r="AD170" s="498"/>
      <c r="AE170" s="498"/>
      <c r="AF170" s="498"/>
      <c r="AG170" s="498"/>
      <c r="AH170" s="498"/>
      <c r="AN170" s="498"/>
      <c r="AO170" s="498"/>
      <c r="AP170" s="498"/>
      <c r="AQ170" s="498"/>
      <c r="AR170" s="498"/>
      <c r="AS170" s="498"/>
      <c r="AT170" s="498"/>
      <c r="AU170" s="498"/>
      <c r="AV170" s="498"/>
      <c r="AW170" s="498"/>
      <c r="AX170" s="498"/>
      <c r="AY170" s="498"/>
      <c r="AZ170" s="498"/>
      <c r="BA170" s="498"/>
      <c r="BI170" s="498"/>
      <c r="BK170" s="499"/>
    </row>
    <row r="171" spans="3:90" ht="12" customHeight="1">
      <c r="C171" s="497"/>
      <c r="D171" s="566" t="s">
        <v>851</v>
      </c>
      <c r="E171" s="515"/>
      <c r="F171" s="515"/>
      <c r="G171" s="515"/>
      <c r="H171" s="515"/>
      <c r="I171" s="515"/>
      <c r="Q171" s="8"/>
      <c r="BF171" s="10"/>
      <c r="BH171" s="10"/>
      <c r="BK171" s="499"/>
    </row>
    <row r="172" spans="3:90" ht="12" customHeight="1">
      <c r="C172" s="497"/>
      <c r="D172" s="540" t="s">
        <v>852</v>
      </c>
      <c r="E172" s="540"/>
      <c r="F172" s="540"/>
      <c r="G172" s="540"/>
      <c r="H172" s="540"/>
      <c r="I172" s="540"/>
      <c r="J172" s="580" t="s">
        <v>718</v>
      </c>
      <c r="K172" s="562"/>
      <c r="L172" s="562"/>
      <c r="M172" s="562"/>
      <c r="N172" s="562"/>
      <c r="O172" s="542"/>
      <c r="P172" s="543" t="s">
        <v>853</v>
      </c>
      <c r="Q172" s="543"/>
      <c r="R172" s="543"/>
      <c r="S172" s="543"/>
      <c r="T172" s="543"/>
      <c r="U172" s="543"/>
      <c r="V172" s="569"/>
      <c r="W172" s="569"/>
      <c r="X172" s="569"/>
      <c r="Y172" s="575"/>
      <c r="Z172" s="540" t="s">
        <v>854</v>
      </c>
      <c r="AA172" s="540"/>
      <c r="AB172" s="540"/>
      <c r="AC172" s="540"/>
      <c r="AD172" s="581"/>
      <c r="AE172" s="581"/>
      <c r="AF172" s="581" t="s">
        <v>846</v>
      </c>
      <c r="AG172" s="574"/>
      <c r="AH172" s="498"/>
      <c r="AI172" s="540" t="s">
        <v>855</v>
      </c>
      <c r="AJ172" s="540"/>
      <c r="AK172" s="540"/>
      <c r="AL172" s="540"/>
      <c r="AM172" s="564"/>
      <c r="AN172" s="565"/>
      <c r="AO172" s="565"/>
      <c r="AP172" s="565"/>
      <c r="AQ172" s="752" t="s">
        <v>856</v>
      </c>
      <c r="AT172" s="540" t="s">
        <v>849</v>
      </c>
      <c r="AU172" s="540"/>
      <c r="AV172" s="540"/>
      <c r="AW172" s="540"/>
      <c r="AX172" s="540"/>
      <c r="AY172" s="583"/>
      <c r="AZ172" s="584"/>
      <c r="BA172" s="584"/>
      <c r="BB172" s="581" t="s">
        <v>846</v>
      </c>
      <c r="BC172" s="578"/>
      <c r="BK172" s="499"/>
      <c r="CL172" s="500" t="s">
        <v>857</v>
      </c>
    </row>
    <row r="173" spans="3:90" ht="12" customHeight="1">
      <c r="C173" s="497"/>
      <c r="D173" s="498"/>
      <c r="E173" s="498"/>
      <c r="F173" s="498"/>
      <c r="G173" s="498"/>
      <c r="H173" s="498"/>
      <c r="I173" s="498"/>
      <c r="J173" s="891"/>
      <c r="K173" s="891"/>
      <c r="L173" s="891"/>
      <c r="M173" s="891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  <c r="AA173" s="498"/>
      <c r="AB173" s="498"/>
      <c r="AC173" s="498"/>
      <c r="AD173" s="498"/>
      <c r="AE173" s="498"/>
      <c r="AF173" s="498"/>
      <c r="AG173" s="498"/>
      <c r="AH173" s="498"/>
      <c r="AN173" s="498"/>
      <c r="AO173" s="498"/>
      <c r="AP173" s="498"/>
      <c r="AQ173" s="498"/>
      <c r="AR173" s="498"/>
      <c r="AS173" s="498"/>
      <c r="AT173" s="498"/>
      <c r="AU173" s="498"/>
      <c r="AV173" s="498"/>
      <c r="AW173" s="498"/>
      <c r="AX173" s="498"/>
      <c r="AY173" s="498"/>
      <c r="AZ173" s="498"/>
      <c r="BA173" s="498"/>
      <c r="BI173" s="498"/>
      <c r="BK173" s="499"/>
    </row>
    <row r="174" spans="3:90" ht="12" customHeight="1">
      <c r="C174" s="497"/>
      <c r="D174" s="566" t="s">
        <v>858</v>
      </c>
      <c r="E174" s="515"/>
      <c r="F174" s="515"/>
      <c r="G174" s="515"/>
      <c r="H174" s="515"/>
      <c r="I174" s="515"/>
      <c r="BB174" s="498"/>
      <c r="BC174" s="498"/>
      <c r="BD174" s="498"/>
      <c r="BE174" s="498"/>
      <c r="BF174" s="498"/>
      <c r="BG174" s="498"/>
      <c r="BH174" s="498"/>
      <c r="BI174" s="498"/>
      <c r="BK174" s="499"/>
    </row>
    <row r="175" spans="3:90" ht="12" customHeight="1">
      <c r="C175" s="497"/>
      <c r="D175" s="540" t="s">
        <v>859</v>
      </c>
      <c r="E175" s="540"/>
      <c r="F175" s="540"/>
      <c r="G175" s="540"/>
      <c r="H175" s="540"/>
      <c r="I175" s="540"/>
      <c r="J175" s="511" t="s">
        <v>860</v>
      </c>
      <c r="K175" s="503"/>
      <c r="L175" s="503"/>
      <c r="M175" s="503"/>
      <c r="N175" s="503"/>
      <c r="O175" s="503"/>
      <c r="P175" s="503"/>
      <c r="Q175" s="503"/>
      <c r="R175" s="503"/>
      <c r="S175" s="503"/>
      <c r="T175" s="503"/>
      <c r="U175" s="503"/>
      <c r="V175" s="503"/>
      <c r="W175" s="503"/>
      <c r="X175" s="503"/>
      <c r="Y175" s="503"/>
      <c r="Z175" s="503"/>
      <c r="AA175" s="504"/>
      <c r="AD175" s="540" t="s">
        <v>861</v>
      </c>
      <c r="AE175" s="540"/>
      <c r="AF175" s="540"/>
      <c r="AG175" s="540"/>
      <c r="AH175" s="540"/>
      <c r="AI175" s="540"/>
      <c r="AJ175" s="511" t="s">
        <v>862</v>
      </c>
      <c r="AK175" s="503"/>
      <c r="AL175" s="503"/>
      <c r="AM175" s="503"/>
      <c r="AN175" s="503"/>
      <c r="AO175" s="503"/>
      <c r="AP175" s="503"/>
      <c r="AQ175" s="503"/>
      <c r="AR175" s="503"/>
      <c r="AS175" s="503"/>
      <c r="AT175" s="503"/>
      <c r="AU175" s="503"/>
      <c r="AV175" s="503"/>
      <c r="AW175" s="503"/>
      <c r="AX175" s="503"/>
      <c r="AY175" s="503"/>
      <c r="AZ175" s="503"/>
      <c r="BA175" s="504"/>
      <c r="BB175" s="498"/>
      <c r="BC175" s="498"/>
      <c r="BD175" s="498"/>
      <c r="BE175" s="498"/>
      <c r="BF175" s="498"/>
      <c r="BG175" s="498"/>
      <c r="BH175" s="498"/>
      <c r="BI175" s="498"/>
      <c r="BK175" s="499"/>
    </row>
    <row r="176" spans="3:90" ht="12" customHeight="1">
      <c r="C176" s="497"/>
      <c r="D176" s="540" t="s">
        <v>863</v>
      </c>
      <c r="E176" s="540"/>
      <c r="F176" s="540"/>
      <c r="G176" s="540"/>
      <c r="H176" s="540"/>
      <c r="I176" s="540"/>
      <c r="J176" s="511" t="s">
        <v>862</v>
      </c>
      <c r="K176" s="503"/>
      <c r="L176" s="503"/>
      <c r="M176" s="503"/>
      <c r="N176" s="503"/>
      <c r="O176" s="503"/>
      <c r="P176" s="503"/>
      <c r="Q176" s="503"/>
      <c r="R176" s="503"/>
      <c r="S176" s="503"/>
      <c r="T176" s="503"/>
      <c r="U176" s="503"/>
      <c r="V176" s="503"/>
      <c r="W176" s="503"/>
      <c r="X176" s="503"/>
      <c r="Y176" s="503"/>
      <c r="Z176" s="503"/>
      <c r="AA176" s="504"/>
      <c r="AD176" s="540" t="s">
        <v>864</v>
      </c>
      <c r="AE176" s="540"/>
      <c r="AF176" s="540"/>
      <c r="AG176" s="540"/>
      <c r="AH176" s="540"/>
      <c r="AI176" s="540"/>
      <c r="AJ176" s="511"/>
      <c r="AK176" s="503"/>
      <c r="AL176" s="503"/>
      <c r="AM176" s="503"/>
      <c r="AN176" s="503"/>
      <c r="AO176" s="503"/>
      <c r="AP176" s="503"/>
      <c r="AQ176" s="503"/>
      <c r="AR176" s="503"/>
      <c r="AS176" s="503"/>
      <c r="AT176" s="503"/>
      <c r="AU176" s="503"/>
      <c r="AV176" s="503"/>
      <c r="AW176" s="503"/>
      <c r="AX176" s="503"/>
      <c r="AY176" s="503"/>
      <c r="AZ176" s="503"/>
      <c r="BA176" s="504"/>
      <c r="BB176" s="498"/>
      <c r="BC176" s="498"/>
      <c r="BD176" s="498"/>
      <c r="BE176" s="498"/>
      <c r="BF176" s="498"/>
      <c r="BG176" s="498"/>
      <c r="BH176" s="498"/>
      <c r="BI176" s="498"/>
      <c r="BK176" s="499"/>
    </row>
    <row r="177" spans="3:63" ht="12" customHeight="1">
      <c r="C177" s="497"/>
      <c r="D177" s="540" t="s">
        <v>865</v>
      </c>
      <c r="E177" s="540"/>
      <c r="F177" s="540"/>
      <c r="G177" s="540"/>
      <c r="H177" s="540"/>
      <c r="I177" s="540"/>
      <c r="J177" s="511" t="s">
        <v>866</v>
      </c>
      <c r="K177" s="503"/>
      <c r="L177" s="503"/>
      <c r="M177" s="503"/>
      <c r="N177" s="503"/>
      <c r="O177" s="503"/>
      <c r="P177" s="503"/>
      <c r="Q177" s="503"/>
      <c r="R177" s="503"/>
      <c r="S177" s="503"/>
      <c r="T177" s="503"/>
      <c r="U177" s="503"/>
      <c r="V177" s="503"/>
      <c r="W177" s="503"/>
      <c r="X177" s="503"/>
      <c r="Y177" s="503"/>
      <c r="Z177" s="503"/>
      <c r="AA177" s="504"/>
      <c r="AD177" s="540" t="s">
        <v>867</v>
      </c>
      <c r="AE177" s="540"/>
      <c r="AF177" s="540"/>
      <c r="AG177" s="540"/>
      <c r="AH177" s="540"/>
      <c r="AI177" s="540"/>
      <c r="AJ177" s="511" t="s">
        <v>868</v>
      </c>
      <c r="AK177" s="503"/>
      <c r="AL177" s="503"/>
      <c r="AM177" s="503"/>
      <c r="AN177" s="503"/>
      <c r="AO177" s="503"/>
      <c r="AP177" s="503"/>
      <c r="AQ177" s="503"/>
      <c r="AR177" s="503"/>
      <c r="AS177" s="503"/>
      <c r="AT177" s="503"/>
      <c r="AU177" s="503"/>
      <c r="AV177" s="503"/>
      <c r="AW177" s="503"/>
      <c r="AX177" s="503"/>
      <c r="AY177" s="503"/>
      <c r="AZ177" s="503"/>
      <c r="BA177" s="504"/>
      <c r="BB177" s="498"/>
      <c r="BC177" s="498"/>
      <c r="BD177" s="498"/>
      <c r="BE177" s="498"/>
      <c r="BF177" s="498"/>
      <c r="BG177" s="498"/>
      <c r="BH177" s="498"/>
      <c r="BI177" s="498"/>
      <c r="BK177" s="499"/>
    </row>
    <row r="178" spans="3:63" ht="12" customHeight="1">
      <c r="C178" s="497"/>
      <c r="D178" s="540" t="s">
        <v>869</v>
      </c>
      <c r="E178" s="540"/>
      <c r="F178" s="540"/>
      <c r="G178" s="540"/>
      <c r="H178" s="540"/>
      <c r="I178" s="540"/>
      <c r="J178" s="511"/>
      <c r="K178" s="503"/>
      <c r="L178" s="503"/>
      <c r="M178" s="503"/>
      <c r="N178" s="503"/>
      <c r="O178" s="503"/>
      <c r="P178" s="503"/>
      <c r="Q178" s="503"/>
      <c r="R178" s="503"/>
      <c r="S178" s="503"/>
      <c r="T178" s="503"/>
      <c r="U178" s="503"/>
      <c r="V178" s="503"/>
      <c r="W178" s="503"/>
      <c r="X178" s="503"/>
      <c r="Y178" s="503"/>
      <c r="Z178" s="585" t="s">
        <v>870</v>
      </c>
      <c r="AA178" s="504"/>
      <c r="AD178" s="498"/>
      <c r="AE178" s="498"/>
      <c r="AF178" s="498"/>
      <c r="AG178" s="498"/>
      <c r="AH178" s="498"/>
      <c r="AI178" s="498"/>
      <c r="AJ178" s="586"/>
      <c r="AK178" s="586"/>
      <c r="AL178" s="586"/>
      <c r="AM178" s="586"/>
      <c r="AN178" s="586"/>
      <c r="AO178" s="586"/>
      <c r="AP178" s="586"/>
      <c r="AQ178" s="586"/>
      <c r="AR178" s="586"/>
      <c r="AS178" s="586"/>
      <c r="AT178" s="586"/>
      <c r="AU178" s="586"/>
      <c r="AV178" s="586"/>
      <c r="AW178" s="586"/>
      <c r="AX178" s="586"/>
      <c r="AY178" s="586"/>
      <c r="AZ178" s="587"/>
      <c r="BA178" s="586"/>
      <c r="BB178" s="498"/>
      <c r="BC178" s="498"/>
      <c r="BD178" s="498"/>
      <c r="BE178" s="498"/>
      <c r="BF178" s="498"/>
      <c r="BG178" s="498"/>
      <c r="BH178" s="498"/>
      <c r="BI178" s="498"/>
      <c r="BK178" s="499"/>
    </row>
    <row r="179" spans="3:63" ht="12" customHeight="1">
      <c r="C179" s="497"/>
      <c r="D179" s="498"/>
      <c r="E179" s="498"/>
      <c r="F179" s="498"/>
      <c r="G179" s="498"/>
      <c r="H179" s="498"/>
      <c r="I179" s="498"/>
      <c r="J179" s="498"/>
      <c r="K179" s="498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  <c r="AA179" s="498"/>
      <c r="AB179" s="498"/>
      <c r="AC179" s="498"/>
      <c r="AD179" s="498"/>
      <c r="AE179" s="498"/>
      <c r="AF179" s="498"/>
      <c r="AG179" s="498"/>
      <c r="AH179" s="498"/>
      <c r="AI179" s="498"/>
      <c r="AJ179" s="498"/>
      <c r="AK179" s="498"/>
      <c r="AL179" s="498"/>
      <c r="AM179" s="498"/>
      <c r="AN179" s="498"/>
      <c r="AO179" s="498"/>
      <c r="AP179" s="498"/>
      <c r="AQ179" s="498"/>
      <c r="AR179" s="498"/>
      <c r="AS179" s="498"/>
      <c r="AT179" s="498"/>
      <c r="AU179" s="498"/>
      <c r="AV179" s="498"/>
      <c r="AW179" s="498"/>
      <c r="AX179" s="498"/>
      <c r="AY179" s="498"/>
      <c r="AZ179" s="498"/>
      <c r="BA179" s="498"/>
      <c r="BB179" s="498"/>
      <c r="BC179" s="498"/>
      <c r="BD179" s="498"/>
      <c r="BE179" s="498"/>
      <c r="BF179" s="498"/>
      <c r="BG179" s="498"/>
      <c r="BH179" s="498"/>
      <c r="BI179" s="498"/>
      <c r="BK179" s="499"/>
    </row>
    <row r="180" spans="3:63" ht="12" customHeight="1">
      <c r="C180" s="497"/>
      <c r="BK180" s="499"/>
    </row>
    <row r="181" spans="3:63" ht="12" customHeight="1">
      <c r="C181" s="50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09"/>
    </row>
    <row r="182" spans="3:63" ht="12" customHeight="1" thickBot="1">
      <c r="C182" s="531"/>
      <c r="D182" s="532"/>
      <c r="E182" s="532"/>
      <c r="F182" s="532"/>
      <c r="G182" s="532"/>
      <c r="H182" s="532"/>
      <c r="I182" s="532"/>
      <c r="J182" s="532"/>
      <c r="K182" s="532"/>
      <c r="L182" s="532"/>
      <c r="M182" s="532"/>
      <c r="N182" s="532"/>
      <c r="O182" s="532"/>
      <c r="P182" s="532"/>
      <c r="Q182" s="533"/>
      <c r="R182" s="532"/>
      <c r="S182" s="532"/>
      <c r="T182" s="532"/>
      <c r="U182" s="532"/>
      <c r="V182" s="532"/>
      <c r="W182" s="532"/>
      <c r="X182" s="532"/>
      <c r="Y182" s="532"/>
      <c r="Z182" s="532"/>
      <c r="AA182" s="532"/>
      <c r="AB182" s="532"/>
      <c r="AC182" s="532"/>
      <c r="AD182" s="532"/>
      <c r="AE182" s="532"/>
      <c r="AF182" s="532"/>
      <c r="AG182" s="532"/>
      <c r="AH182" s="532"/>
      <c r="AI182" s="532"/>
      <c r="AJ182" s="532"/>
      <c r="AK182" s="532"/>
      <c r="AL182" s="532"/>
      <c r="AM182" s="532"/>
      <c r="AN182" s="532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  <c r="BC182" s="532"/>
      <c r="BD182" s="532"/>
      <c r="BE182" s="532"/>
      <c r="BF182" s="532"/>
      <c r="BG182" s="532"/>
      <c r="BH182" s="532"/>
      <c r="BI182" s="532"/>
      <c r="BJ182" s="532"/>
      <c r="BK182" s="534"/>
    </row>
  </sheetData>
  <mergeCells count="269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C38:EE38"/>
    <mergeCell ref="EF38:EH38"/>
    <mergeCell ref="EI38:EK38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EI39:EK39"/>
    <mergeCell ref="EL39:EN39"/>
    <mergeCell ref="EO39:EQ39"/>
    <mergeCell ref="ER39:ET39"/>
    <mergeCell ref="DK39:DM39"/>
    <mergeCell ref="DN39:DP39"/>
    <mergeCell ref="DQ39:DS39"/>
    <mergeCell ref="DT39:DV39"/>
    <mergeCell ref="DW39:DY39"/>
    <mergeCell ref="DZ39:EB39"/>
    <mergeCell ref="DH40:DJ40"/>
    <mergeCell ref="CA40:CC40"/>
    <mergeCell ref="CD40:CF40"/>
    <mergeCell ref="CG40:CI40"/>
    <mergeCell ref="CJ40:CL40"/>
    <mergeCell ref="CM40:CO40"/>
    <mergeCell ref="CP40:CR40"/>
    <mergeCell ref="EC39:EE39"/>
    <mergeCell ref="EF39:EH39"/>
    <mergeCell ref="CS39:CU39"/>
    <mergeCell ref="CV39:CX39"/>
    <mergeCell ref="CY39:DA39"/>
    <mergeCell ref="DB39:DD39"/>
    <mergeCell ref="DE39:DG39"/>
    <mergeCell ref="DH39:DJ39"/>
    <mergeCell ref="CA39:CC39"/>
    <mergeCell ref="CD39:CF39"/>
    <mergeCell ref="CG39:CI39"/>
    <mergeCell ref="CJ39:CL39"/>
    <mergeCell ref="CM39:CO39"/>
    <mergeCell ref="CP39:CR39"/>
    <mergeCell ref="BZ41:DP42"/>
    <mergeCell ref="EL41:EN41"/>
    <mergeCell ref="EO41:EQ41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H95:K95"/>
    <mergeCell ref="J98:K98"/>
    <mergeCell ref="J99:M99"/>
    <mergeCell ref="Z99:AC99"/>
    <mergeCell ref="AI99:AL99"/>
    <mergeCell ref="AT99:AW99"/>
    <mergeCell ref="AC64:AF64"/>
    <mergeCell ref="AH64:AK64"/>
    <mergeCell ref="AE83:AG83"/>
    <mergeCell ref="AM83:AP83"/>
    <mergeCell ref="AR83:AU83"/>
    <mergeCell ref="AB87:AE87"/>
    <mergeCell ref="AH104:AJ104"/>
    <mergeCell ref="R105:T105"/>
    <mergeCell ref="J100:M100"/>
    <mergeCell ref="Z100:AC100"/>
    <mergeCell ref="AI100:AL100"/>
    <mergeCell ref="AT100:AW100"/>
    <mergeCell ref="J101:M101"/>
    <mergeCell ref="Z101:AC101"/>
    <mergeCell ref="AI101:AL101"/>
    <mergeCell ref="AT101:AW101"/>
    <mergeCell ref="J107:N107"/>
    <mergeCell ref="J108:N108"/>
    <mergeCell ref="AF108:AG108"/>
    <mergeCell ref="J109:M109"/>
    <mergeCell ref="J112:M112"/>
    <mergeCell ref="AE144:AG144"/>
    <mergeCell ref="J103:M103"/>
    <mergeCell ref="L104:N104"/>
    <mergeCell ref="R104:T104"/>
    <mergeCell ref="AB104:AD104"/>
    <mergeCell ref="AM144:AP144"/>
    <mergeCell ref="AR144:AU144"/>
    <mergeCell ref="AB148:AE148"/>
    <mergeCell ref="H156:K156"/>
    <mergeCell ref="J159:K159"/>
    <mergeCell ref="J160:M160"/>
    <mergeCell ref="Z160:AC160"/>
    <mergeCell ref="AI160:AL160"/>
    <mergeCell ref="AT160:AW160"/>
    <mergeCell ref="AH165:AJ165"/>
    <mergeCell ref="R166:T166"/>
    <mergeCell ref="J161:M161"/>
    <mergeCell ref="Z161:AC161"/>
    <mergeCell ref="AI161:AL161"/>
    <mergeCell ref="AT161:AW161"/>
    <mergeCell ref="J162:M162"/>
    <mergeCell ref="Z162:AC162"/>
    <mergeCell ref="AI162:AL162"/>
    <mergeCell ref="AT162:AW162"/>
    <mergeCell ref="J168:N168"/>
    <mergeCell ref="J169:N169"/>
    <mergeCell ref="AF169:AG169"/>
    <mergeCell ref="J170:M170"/>
    <mergeCell ref="J173:M173"/>
    <mergeCell ref="J164:M164"/>
    <mergeCell ref="L165:N165"/>
    <mergeCell ref="R165:T165"/>
    <mergeCell ref="AB165:AD165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3" manualBreakCount="3">
    <brk id="50" max="87" man="1"/>
    <brk id="74" max="87" man="1"/>
    <brk id="137" max="87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ECF8-17C5-4579-810A-55CC5B2A3196}">
  <sheetPr>
    <tabColor theme="7" tint="-0.249977111117893"/>
    <pageSetUpPr fitToPage="1"/>
  </sheetPr>
  <dimension ref="A2:HY122"/>
  <sheetViews>
    <sheetView showGridLines="0" showZeros="0" view="pageBreakPreview" topLeftCell="A83" zoomScaleNormal="100" zoomScaleSheetLayoutView="100" workbookViewId="0">
      <selection activeCell="AR57" sqref="AR57:AW57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1193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1194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1195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1196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 t="s">
        <v>1197</v>
      </c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49" t="s">
        <v>718</v>
      </c>
      <c r="K60" s="543"/>
      <c r="L60" s="543"/>
      <c r="M60" s="54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306">
        <v>44622</v>
      </c>
      <c r="AI60" s="1307"/>
      <c r="AJ60" s="1307"/>
      <c r="AK60" s="1307"/>
      <c r="AL60" s="504"/>
      <c r="AO60" s="8" t="s">
        <v>235</v>
      </c>
      <c r="AS60" s="549" t="s">
        <v>1190</v>
      </c>
      <c r="AT60" s="543"/>
      <c r="AU60" s="543"/>
      <c r="AV60" s="543"/>
      <c r="AW60" s="543"/>
      <c r="AX60" s="504"/>
      <c r="BX60" s="499"/>
    </row>
    <row r="61" spans="2:76" ht="12" customHeight="1">
      <c r="C61" s="497"/>
      <c r="D61" s="8" t="s">
        <v>697</v>
      </c>
      <c r="J61" s="549" t="s">
        <v>761</v>
      </c>
      <c r="K61" s="543"/>
      <c r="L61" s="543"/>
      <c r="M61" s="543"/>
      <c r="N61" s="543"/>
      <c r="O61" s="54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306">
        <v>44628</v>
      </c>
      <c r="AI61" s="1307"/>
      <c r="AJ61" s="1307"/>
      <c r="AK61" s="1307"/>
      <c r="AL61" s="504"/>
      <c r="AO61" s="8" t="s">
        <v>722</v>
      </c>
      <c r="AS61" s="1311">
        <v>1</v>
      </c>
      <c r="AT61" s="1312"/>
      <c r="AU61" s="1312"/>
      <c r="AV61" s="1312"/>
      <c r="AW61" s="1312"/>
      <c r="AX61" s="1313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49" t="s">
        <v>763</v>
      </c>
      <c r="K63" s="543"/>
      <c r="L63" s="543"/>
      <c r="M63" s="543"/>
      <c r="N63" s="543"/>
      <c r="O63" s="543"/>
      <c r="P63" s="543"/>
      <c r="Q63" s="543"/>
      <c r="R63" s="543"/>
      <c r="S63" s="544"/>
      <c r="W63" s="8" t="s">
        <v>727</v>
      </c>
      <c r="AC63" s="549" t="s">
        <v>764</v>
      </c>
      <c r="AD63" s="543"/>
      <c r="AE63" s="543"/>
      <c r="AF63" s="543"/>
      <c r="AG63" s="543"/>
      <c r="AH63" s="543"/>
      <c r="AI63" s="543"/>
      <c r="AJ63" s="543"/>
      <c r="AK63" s="543"/>
      <c r="AL63" s="544"/>
      <c r="AO63" s="8" t="s">
        <v>728</v>
      </c>
      <c r="AS63" s="549" t="s">
        <v>765</v>
      </c>
      <c r="AT63" s="543"/>
      <c r="AU63" s="543"/>
      <c r="AV63" s="543"/>
      <c r="AW63" s="543"/>
      <c r="AX63" s="543"/>
      <c r="AY63" s="543"/>
      <c r="AZ63" s="543"/>
      <c r="BA63" s="543"/>
      <c r="BB63" s="544"/>
      <c r="BC63" s="8" t="s">
        <v>729</v>
      </c>
      <c r="BX63" s="499"/>
    </row>
    <row r="64" spans="2:76" ht="12" customHeight="1">
      <c r="C64" s="497"/>
      <c r="D64" s="8" t="s">
        <v>731</v>
      </c>
      <c r="J64" s="549" t="s">
        <v>761</v>
      </c>
      <c r="K64" s="543"/>
      <c r="L64" s="543"/>
      <c r="M64" s="54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306">
        <v>44627</v>
      </c>
      <c r="AD64" s="1307"/>
      <c r="AE64" s="1307"/>
      <c r="AF64" s="1307"/>
      <c r="AH64" s="1308">
        <v>0.5</v>
      </c>
      <c r="AI64" s="1309"/>
      <c r="AJ64" s="1309"/>
      <c r="AK64" s="131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42" t="s">
        <v>767</v>
      </c>
      <c r="K66" s="543"/>
      <c r="L66" s="543"/>
      <c r="M66" s="54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9" spans="2:76" ht="28.5">
      <c r="B79" s="488" t="s">
        <v>779</v>
      </c>
    </row>
    <row r="80" spans="2:76" ht="12" customHeight="1">
      <c r="C80" s="489" t="s">
        <v>1151</v>
      </c>
    </row>
    <row r="81" spans="3:63" ht="12" customHeight="1" thickBot="1">
      <c r="C81" s="489" t="s">
        <v>781</v>
      </c>
    </row>
    <row r="82" spans="3:63" ht="12" customHeight="1">
      <c r="C82" s="535"/>
      <c r="D82" s="536" t="s">
        <v>783</v>
      </c>
      <c r="E82" s="537"/>
      <c r="F82" s="537"/>
      <c r="G82" s="537"/>
      <c r="H82" s="537"/>
      <c r="I82" s="537"/>
      <c r="J82" s="537"/>
      <c r="K82" s="537"/>
      <c r="L82" s="537"/>
      <c r="M82" s="537"/>
      <c r="N82" s="537"/>
      <c r="O82" s="537"/>
      <c r="P82" s="537"/>
      <c r="Q82" s="538"/>
      <c r="R82" s="537"/>
      <c r="S82" s="537"/>
      <c r="T82" s="537"/>
      <c r="U82" s="537"/>
      <c r="V82" s="537"/>
      <c r="W82" s="537"/>
      <c r="X82" s="537"/>
      <c r="Y82" s="537"/>
      <c r="Z82" s="537"/>
      <c r="AA82" s="537"/>
      <c r="AB82" s="537"/>
      <c r="AC82" s="537"/>
      <c r="AD82" s="537"/>
      <c r="AE82" s="537"/>
      <c r="AF82" s="537"/>
      <c r="AG82" s="537"/>
      <c r="AH82" s="537"/>
      <c r="AI82" s="537"/>
      <c r="AJ82" s="537"/>
      <c r="AK82" s="537"/>
      <c r="AL82" s="537"/>
      <c r="AM82" s="537"/>
      <c r="AN82" s="537"/>
      <c r="AO82" s="537"/>
      <c r="AP82" s="537"/>
      <c r="AQ82" s="537"/>
      <c r="AR82" s="537"/>
      <c r="AS82" s="537"/>
      <c r="AT82" s="537"/>
      <c r="AU82" s="537"/>
      <c r="AV82" s="537"/>
      <c r="AW82" s="537"/>
      <c r="AX82" s="537"/>
      <c r="AY82" s="537"/>
      <c r="AZ82" s="537"/>
      <c r="BA82" s="537"/>
      <c r="BB82" s="537"/>
      <c r="BC82" s="537"/>
      <c r="BD82" s="537"/>
      <c r="BE82" s="537"/>
      <c r="BF82" s="537"/>
      <c r="BG82" s="537"/>
      <c r="BH82" s="537"/>
      <c r="BI82" s="537"/>
      <c r="BJ82" s="537"/>
      <c r="BK82" s="493"/>
    </row>
    <row r="83" spans="3:63" ht="12" customHeight="1">
      <c r="C83" s="497"/>
      <c r="Q83" s="8"/>
      <c r="BK83" s="499"/>
    </row>
    <row r="84" spans="3:63" ht="12" customHeight="1">
      <c r="C84" s="539"/>
      <c r="D84" s="540" t="s">
        <v>245</v>
      </c>
      <c r="E84" s="540"/>
      <c r="F84" s="541"/>
      <c r="G84" s="540"/>
      <c r="H84" s="542" t="s">
        <v>761</v>
      </c>
      <c r="I84" s="543"/>
      <c r="J84" s="543"/>
      <c r="K84" s="543"/>
      <c r="L84" s="543"/>
      <c r="M84" s="544"/>
      <c r="N84" s="498"/>
      <c r="O84" s="540" t="s">
        <v>244</v>
      </c>
      <c r="P84" s="540"/>
      <c r="Q84" s="541"/>
      <c r="R84" s="540"/>
      <c r="S84" s="498"/>
      <c r="T84" s="542" t="s">
        <v>774</v>
      </c>
      <c r="U84" s="543"/>
      <c r="V84" s="543"/>
      <c r="W84" s="543"/>
      <c r="X84" s="544"/>
      <c r="AA84" s="540" t="s">
        <v>784</v>
      </c>
      <c r="AB84" s="545"/>
      <c r="AC84" s="540"/>
      <c r="AE84" s="1303">
        <v>1</v>
      </c>
      <c r="AF84" s="1304"/>
      <c r="AG84" s="1305"/>
      <c r="AJ84" s="546" t="s">
        <v>732</v>
      </c>
      <c r="AK84" s="546"/>
      <c r="AL84" s="546"/>
      <c r="AM84" s="1306">
        <v>44627</v>
      </c>
      <c r="AN84" s="1307"/>
      <c r="AO84" s="1307"/>
      <c r="AP84" s="1307"/>
      <c r="AR84" s="1308">
        <v>0.5</v>
      </c>
      <c r="AS84" s="1309"/>
      <c r="AT84" s="1309"/>
      <c r="AU84" s="1310"/>
      <c r="AV84" s="512"/>
      <c r="BK84" s="499"/>
    </row>
    <row r="85" spans="3:63" ht="12" customHeight="1">
      <c r="C85" s="539"/>
      <c r="Q85" s="8"/>
      <c r="BK85" s="499"/>
    </row>
    <row r="86" spans="3:63" ht="12" customHeight="1">
      <c r="C86" s="539"/>
      <c r="D86" s="547" t="s">
        <v>785</v>
      </c>
      <c r="E86" s="540"/>
      <c r="F86" s="547"/>
      <c r="G86" s="540"/>
      <c r="H86" s="548" t="s">
        <v>786</v>
      </c>
      <c r="I86" s="482"/>
      <c r="J86" s="482"/>
      <c r="K86" s="483"/>
      <c r="O86" s="540" t="s">
        <v>235</v>
      </c>
      <c r="P86" s="547"/>
      <c r="Q86" s="540"/>
      <c r="R86" s="547"/>
      <c r="S86" s="540"/>
      <c r="T86" s="549" t="s">
        <v>1198</v>
      </c>
      <c r="U86" s="482"/>
      <c r="V86" s="482"/>
      <c r="W86" s="482"/>
      <c r="X86" s="482"/>
      <c r="Y86" s="483"/>
      <c r="AA86" s="540"/>
      <c r="AB86" s="540"/>
      <c r="AC86" s="541" t="s">
        <v>787</v>
      </c>
      <c r="AD86" s="540"/>
      <c r="AE86" s="540" t="s">
        <v>788</v>
      </c>
      <c r="AF86" s="550" t="s">
        <v>1199</v>
      </c>
      <c r="AG86" s="482"/>
      <c r="AH86" s="482"/>
      <c r="AI86" s="482"/>
      <c r="AJ86" s="483"/>
      <c r="AL86" s="540" t="s">
        <v>790</v>
      </c>
      <c r="AM86" s="548"/>
      <c r="AN86" s="482"/>
      <c r="AO86" s="482"/>
      <c r="AP86" s="482"/>
      <c r="AQ86" s="483"/>
      <c r="AS86" s="540" t="s">
        <v>791</v>
      </c>
      <c r="AT86" s="548"/>
      <c r="AU86" s="482"/>
      <c r="AV86" s="482"/>
      <c r="AW86" s="482"/>
      <c r="AX86" s="483"/>
      <c r="BK86" s="499"/>
    </row>
    <row r="87" spans="3:63" ht="12" customHeight="1">
      <c r="C87" s="539"/>
      <c r="D87" s="547" t="s">
        <v>715</v>
      </c>
      <c r="E87" s="540"/>
      <c r="F87" s="547"/>
      <c r="G87" s="540"/>
      <c r="H87" s="548"/>
      <c r="I87" s="482"/>
      <c r="J87" s="482"/>
      <c r="K87" s="482"/>
      <c r="L87" s="551"/>
      <c r="M87" s="483"/>
      <c r="N87" s="552"/>
      <c r="O87" s="553" t="s">
        <v>792</v>
      </c>
      <c r="P87" s="553"/>
      <c r="Q87" s="554"/>
      <c r="R87" s="553"/>
      <c r="S87" s="555"/>
      <c r="T87" s="542" t="s">
        <v>793</v>
      </c>
      <c r="U87" s="543"/>
      <c r="V87" s="543"/>
      <c r="W87" s="543"/>
      <c r="X87" s="544"/>
      <c r="BK87" s="499"/>
    </row>
    <row r="88" spans="3:63" ht="12" customHeight="1">
      <c r="C88" s="539"/>
      <c r="D88" s="547" t="s">
        <v>697</v>
      </c>
      <c r="E88" s="540"/>
      <c r="F88" s="547"/>
      <c r="G88" s="540"/>
      <c r="H88" s="548" t="s">
        <v>794</v>
      </c>
      <c r="I88" s="482"/>
      <c r="J88" s="482"/>
      <c r="K88" s="482"/>
      <c r="L88" s="482"/>
      <c r="M88" s="483"/>
      <c r="N88" s="556"/>
      <c r="O88" s="543" t="s">
        <v>762</v>
      </c>
      <c r="P88" s="543"/>
      <c r="Q88" s="543"/>
      <c r="R88" s="543"/>
      <c r="S88" s="543"/>
      <c r="T88" s="543"/>
      <c r="U88" s="543"/>
      <c r="V88" s="544"/>
      <c r="X88" s="540" t="s">
        <v>243</v>
      </c>
      <c r="Y88" s="540"/>
      <c r="Z88" s="540"/>
      <c r="AA88" s="540"/>
      <c r="AB88" s="1306">
        <v>44628</v>
      </c>
      <c r="AC88" s="1307"/>
      <c r="AD88" s="1307"/>
      <c r="AE88" s="1307"/>
      <c r="AF88" s="483"/>
      <c r="AK88" s="510"/>
      <c r="AM88" s="557"/>
      <c r="AN88" s="557"/>
      <c r="AO88" s="557"/>
      <c r="AP88" s="557"/>
      <c r="AQ88" s="557"/>
      <c r="AR88" s="557"/>
      <c r="AS88" s="557"/>
      <c r="AT88" s="557"/>
      <c r="AU88" s="557"/>
      <c r="BK88" s="499"/>
    </row>
    <row r="89" spans="3:63" ht="12" customHeight="1">
      <c r="C89" s="539"/>
      <c r="D89" s="558" t="s">
        <v>742</v>
      </c>
      <c r="E89" s="540"/>
      <c r="F89" s="547"/>
      <c r="G89" s="540"/>
      <c r="H89" s="548" t="s">
        <v>1200</v>
      </c>
      <c r="I89" s="482"/>
      <c r="J89" s="482"/>
      <c r="K89" s="482"/>
      <c r="L89" s="482"/>
      <c r="M89" s="483"/>
      <c r="O89" s="540" t="s">
        <v>796</v>
      </c>
      <c r="P89" s="540"/>
      <c r="Q89" s="540"/>
      <c r="R89" s="540"/>
      <c r="S89" s="542" t="s">
        <v>797</v>
      </c>
      <c r="T89" s="806"/>
      <c r="U89" s="806"/>
      <c r="V89" s="806"/>
      <c r="W89" s="806"/>
      <c r="X89" s="806"/>
      <c r="Y89" s="806"/>
      <c r="Z89" s="806"/>
      <c r="AA89" s="806"/>
      <c r="AB89" s="543"/>
      <c r="AC89" s="543"/>
      <c r="AD89" s="543"/>
      <c r="AE89" s="543"/>
      <c r="AF89" s="544"/>
      <c r="AI89" s="540" t="s">
        <v>798</v>
      </c>
      <c r="AJ89" s="540"/>
      <c r="AK89" s="540"/>
      <c r="AL89" s="540"/>
      <c r="AM89" s="542" t="s">
        <v>772</v>
      </c>
      <c r="AN89" s="806"/>
      <c r="AO89" s="806"/>
      <c r="AP89" s="806"/>
      <c r="AQ89" s="806"/>
      <c r="AR89" s="806"/>
      <c r="AS89" s="806"/>
      <c r="AT89" s="806"/>
      <c r="AU89" s="806"/>
      <c r="AV89" s="543"/>
      <c r="AW89" s="543"/>
      <c r="AX89" s="543"/>
      <c r="AY89" s="543"/>
      <c r="AZ89" s="544"/>
      <c r="BK89" s="499"/>
    </row>
    <row r="90" spans="3:63" ht="12" customHeight="1">
      <c r="C90" s="539"/>
      <c r="D90" s="547" t="s">
        <v>799</v>
      </c>
      <c r="E90" s="540"/>
      <c r="F90" s="547"/>
      <c r="G90" s="540"/>
      <c r="H90" s="542"/>
      <c r="I90" s="543"/>
      <c r="J90" s="543"/>
      <c r="K90" s="543"/>
      <c r="L90" s="543"/>
      <c r="M90" s="544"/>
      <c r="O90" s="540" t="s">
        <v>743</v>
      </c>
      <c r="P90" s="540"/>
      <c r="Q90" s="540"/>
      <c r="R90" s="540"/>
      <c r="S90" s="542" t="s">
        <v>800</v>
      </c>
      <c r="T90" s="806"/>
      <c r="U90" s="806"/>
      <c r="V90" s="806"/>
      <c r="W90" s="806"/>
      <c r="X90" s="806"/>
      <c r="Y90" s="806"/>
      <c r="Z90" s="806"/>
      <c r="AA90" s="806"/>
      <c r="AB90" s="543"/>
      <c r="AC90" s="543"/>
      <c r="AD90" s="543"/>
      <c r="AE90" s="543"/>
      <c r="AF90" s="544"/>
      <c r="AI90" s="540" t="s">
        <v>801</v>
      </c>
      <c r="AJ90" s="540"/>
      <c r="AK90" s="540"/>
      <c r="AL90" s="540"/>
      <c r="AM90" s="542" t="s">
        <v>772</v>
      </c>
      <c r="AN90" s="806"/>
      <c r="AO90" s="806"/>
      <c r="AP90" s="806"/>
      <c r="AQ90" s="806"/>
      <c r="AR90" s="806"/>
      <c r="AS90" s="806"/>
      <c r="AT90" s="806"/>
      <c r="AU90" s="806"/>
      <c r="AV90" s="543"/>
      <c r="AW90" s="543"/>
      <c r="AX90" s="543"/>
      <c r="AY90" s="543"/>
      <c r="AZ90" s="544"/>
      <c r="BK90" s="499"/>
    </row>
    <row r="91" spans="3:63" ht="12" customHeight="1">
      <c r="C91" s="539"/>
      <c r="D91" s="547" t="s">
        <v>802</v>
      </c>
      <c r="E91" s="540"/>
      <c r="F91" s="547"/>
      <c r="G91" s="540"/>
      <c r="H91" s="549" t="s">
        <v>763</v>
      </c>
      <c r="I91" s="543"/>
      <c r="J91" s="543"/>
      <c r="K91" s="543"/>
      <c r="L91" s="543"/>
      <c r="M91" s="544"/>
      <c r="O91" s="540" t="s">
        <v>803</v>
      </c>
      <c r="P91" s="540"/>
      <c r="Q91" s="540"/>
      <c r="R91" s="540"/>
      <c r="S91" s="542"/>
      <c r="T91" s="543"/>
      <c r="U91" s="543"/>
      <c r="V91" s="543"/>
      <c r="W91" s="543"/>
      <c r="X91" s="544"/>
      <c r="BK91" s="499"/>
    </row>
    <row r="92" spans="3:63" ht="12" customHeight="1">
      <c r="C92" s="539"/>
      <c r="D92" s="560" t="s">
        <v>804</v>
      </c>
      <c r="E92" s="540"/>
      <c r="F92" s="547"/>
      <c r="G92" s="540"/>
      <c r="H92" s="548"/>
      <c r="I92" s="482"/>
      <c r="J92" s="482"/>
      <c r="K92" s="482"/>
      <c r="L92" s="482"/>
      <c r="M92" s="483"/>
      <c r="O92" s="540" t="s">
        <v>805</v>
      </c>
      <c r="P92" s="540"/>
      <c r="Q92" s="545"/>
      <c r="R92" s="540"/>
      <c r="S92" s="548"/>
      <c r="T92" s="482"/>
      <c r="U92" s="482"/>
      <c r="V92" s="482"/>
      <c r="W92" s="482"/>
      <c r="X92" s="483"/>
      <c r="BK92" s="499"/>
    </row>
    <row r="93" spans="3:63" ht="12" customHeight="1">
      <c r="C93" s="539"/>
      <c r="BK93" s="499"/>
    </row>
    <row r="94" spans="3:63" ht="12" customHeight="1">
      <c r="C94" s="539"/>
      <c r="D94" s="540" t="s">
        <v>806</v>
      </c>
      <c r="E94" s="540"/>
      <c r="H94" s="547" t="s">
        <v>287</v>
      </c>
      <c r="I94" s="540"/>
      <c r="J94" s="540"/>
      <c r="K94" s="549"/>
      <c r="L94" s="543"/>
      <c r="M94" s="544"/>
      <c r="O94" s="540" t="s">
        <v>807</v>
      </c>
      <c r="P94" s="540"/>
      <c r="Q94" s="540"/>
      <c r="R94" s="540"/>
      <c r="S94" s="549"/>
      <c r="T94" s="543"/>
      <c r="U94" s="544"/>
      <c r="Z94" s="540" t="s">
        <v>808</v>
      </c>
      <c r="AA94" s="540"/>
      <c r="AB94" s="540"/>
      <c r="AC94" s="549"/>
      <c r="AD94" s="543"/>
      <c r="AE94" s="543"/>
      <c r="AF94" s="544"/>
      <c r="AI94" s="540"/>
      <c r="AJ94" s="540"/>
      <c r="AK94" s="540"/>
      <c r="AL94" s="540"/>
      <c r="AM94" s="541" t="s">
        <v>809</v>
      </c>
      <c r="AN94" s="549"/>
      <c r="AO94" s="543"/>
      <c r="AP94" s="543"/>
      <c r="AQ94" s="544"/>
      <c r="AR94" s="556"/>
      <c r="BK94" s="499"/>
    </row>
    <row r="95" spans="3:63" ht="12" customHeight="1">
      <c r="C95" s="539"/>
      <c r="BK95" s="499"/>
    </row>
    <row r="96" spans="3:63" ht="12" customHeight="1">
      <c r="C96" s="539"/>
      <c r="D96" s="540" t="s">
        <v>810</v>
      </c>
      <c r="E96" s="540"/>
      <c r="F96" s="540"/>
      <c r="G96" s="540"/>
      <c r="H96" s="1143" t="s">
        <v>811</v>
      </c>
      <c r="I96" s="1144"/>
      <c r="J96" s="1144"/>
      <c r="K96" s="1144"/>
      <c r="L96" s="563"/>
      <c r="BK96" s="499"/>
    </row>
    <row r="97" spans="3:90" ht="12" customHeight="1">
      <c r="C97" s="539"/>
      <c r="Q97" s="8"/>
      <c r="BK97" s="499"/>
    </row>
    <row r="98" spans="3:90" ht="12" customHeight="1">
      <c r="C98" s="497"/>
      <c r="D98" s="566" t="s">
        <v>812</v>
      </c>
      <c r="E98" s="515"/>
      <c r="F98" s="515"/>
      <c r="G98" s="515"/>
      <c r="H98" s="515"/>
      <c r="I98" s="515"/>
      <c r="Q98" s="8"/>
      <c r="BK98" s="499"/>
    </row>
    <row r="99" spans="3:90" ht="12" customHeight="1">
      <c r="C99" s="497"/>
      <c r="D99" s="540" t="s">
        <v>813</v>
      </c>
      <c r="E99" s="540"/>
      <c r="F99" s="540"/>
      <c r="G99" s="540"/>
      <c r="H99" s="540"/>
      <c r="I99" s="540"/>
      <c r="J99" s="972"/>
      <c r="K99" s="974"/>
      <c r="O99" s="540" t="s">
        <v>815</v>
      </c>
      <c r="P99" s="540"/>
      <c r="Q99" s="545"/>
      <c r="R99" s="540"/>
      <c r="S99" s="540"/>
      <c r="T99" s="540"/>
      <c r="U99" s="540"/>
      <c r="V99" s="540"/>
      <c r="W99" s="540"/>
      <c r="X99" s="540"/>
      <c r="Z99" s="540" t="s">
        <v>816</v>
      </c>
      <c r="AA99" s="540"/>
      <c r="AB99" s="540"/>
      <c r="AC99" s="540"/>
      <c r="AD99" s="540"/>
      <c r="AE99" s="540"/>
      <c r="AF99" s="540"/>
      <c r="AG99" s="540"/>
      <c r="AI99" s="540" t="s">
        <v>817</v>
      </c>
      <c r="AJ99" s="540"/>
      <c r="AK99" s="540"/>
      <c r="AL99" s="540"/>
      <c r="AM99" s="540"/>
      <c r="AN99" s="540"/>
      <c r="AO99" s="540"/>
      <c r="AP99" s="540"/>
      <c r="AQ99" s="540"/>
      <c r="AR99" s="540"/>
      <c r="AT99" s="540" t="s">
        <v>818</v>
      </c>
      <c r="AU99" s="540"/>
      <c r="AV99" s="540"/>
      <c r="AW99" s="540"/>
      <c r="AX99" s="540"/>
      <c r="AY99" s="540"/>
      <c r="AZ99" s="540"/>
      <c r="BA99" s="540"/>
      <c r="BB99" s="540"/>
      <c r="BC99" s="540"/>
      <c r="BK99" s="499"/>
    </row>
    <row r="100" spans="3:90" ht="12" customHeight="1">
      <c r="C100" s="497"/>
      <c r="D100" s="540"/>
      <c r="E100" s="540"/>
      <c r="F100" s="540" t="s">
        <v>819</v>
      </c>
      <c r="G100" s="540"/>
      <c r="H100" s="540"/>
      <c r="I100" s="540"/>
      <c r="J100" s="1160"/>
      <c r="K100" s="1161"/>
      <c r="L100" s="1150"/>
      <c r="M100" s="1162"/>
      <c r="N100" s="556"/>
      <c r="O100" s="543"/>
      <c r="P100" s="543"/>
      <c r="Q100" s="543"/>
      <c r="R100" s="543"/>
      <c r="S100" s="543"/>
      <c r="T100" s="543"/>
      <c r="U100" s="543"/>
      <c r="V100" s="543"/>
      <c r="W100" s="543"/>
      <c r="X100" s="544"/>
      <c r="Y100" s="498"/>
      <c r="Z100" s="1151"/>
      <c r="AA100" s="1152"/>
      <c r="AB100" s="1152"/>
      <c r="AC100" s="1153"/>
      <c r="AD100" s="556"/>
      <c r="AE100" s="543"/>
      <c r="AF100" s="543"/>
      <c r="AG100" s="544"/>
      <c r="AH100" s="498"/>
      <c r="AI100" s="1151"/>
      <c r="AJ100" s="1150"/>
      <c r="AK100" s="1150"/>
      <c r="AL100" s="1162"/>
      <c r="AM100" s="556"/>
      <c r="AN100" s="543"/>
      <c r="AO100" s="543"/>
      <c r="AP100" s="543"/>
      <c r="AQ100" s="543"/>
      <c r="AR100" s="544"/>
      <c r="AS100" s="498"/>
      <c r="AT100" s="1151"/>
      <c r="AU100" s="1150"/>
      <c r="AV100" s="1150"/>
      <c r="AW100" s="1162"/>
      <c r="AX100" s="556"/>
      <c r="AY100" s="543"/>
      <c r="AZ100" s="543"/>
      <c r="BA100" s="543"/>
      <c r="BB100" s="543"/>
      <c r="BC100" s="544"/>
      <c r="BK100" s="499"/>
    </row>
    <row r="101" spans="3:90" ht="12" customHeight="1">
      <c r="C101" s="497"/>
      <c r="D101" s="540"/>
      <c r="E101" s="540"/>
      <c r="F101" s="540" t="s">
        <v>824</v>
      </c>
      <c r="G101" s="540"/>
      <c r="H101" s="540"/>
      <c r="I101" s="540"/>
      <c r="J101" s="1149"/>
      <c r="K101" s="1150"/>
      <c r="L101" s="1150"/>
      <c r="M101" s="1162"/>
      <c r="N101" s="556"/>
      <c r="O101" s="543"/>
      <c r="P101" s="543"/>
      <c r="Q101" s="543"/>
      <c r="R101" s="543"/>
      <c r="S101" s="543"/>
      <c r="T101" s="543"/>
      <c r="U101" s="543"/>
      <c r="V101" s="543"/>
      <c r="W101" s="543"/>
      <c r="X101" s="544"/>
      <c r="Y101" s="498"/>
      <c r="Z101" s="1151"/>
      <c r="AA101" s="1152"/>
      <c r="AB101" s="1152"/>
      <c r="AC101" s="1153"/>
      <c r="AD101" s="556"/>
      <c r="AE101" s="543"/>
      <c r="AF101" s="543"/>
      <c r="AG101" s="544"/>
      <c r="AH101" s="498"/>
      <c r="AI101" s="1151"/>
      <c r="AJ101" s="1150"/>
      <c r="AK101" s="1150"/>
      <c r="AL101" s="1162"/>
      <c r="AM101" s="556"/>
      <c r="AN101" s="543"/>
      <c r="AO101" s="543"/>
      <c r="AP101" s="543"/>
      <c r="AQ101" s="543"/>
      <c r="AR101" s="544"/>
      <c r="AS101" s="498"/>
      <c r="AT101" s="1151"/>
      <c r="AU101" s="1150"/>
      <c r="AV101" s="1150"/>
      <c r="AW101" s="1162"/>
      <c r="AX101" s="556"/>
      <c r="AY101" s="543"/>
      <c r="AZ101" s="543"/>
      <c r="BA101" s="543"/>
      <c r="BB101" s="543"/>
      <c r="BC101" s="544"/>
      <c r="BK101" s="499"/>
    </row>
    <row r="102" spans="3:90" ht="12" customHeight="1">
      <c r="C102" s="497"/>
      <c r="D102" s="540"/>
      <c r="E102" s="540"/>
      <c r="F102" s="540" t="s">
        <v>827</v>
      </c>
      <c r="G102" s="540"/>
      <c r="H102" s="540"/>
      <c r="I102" s="540"/>
      <c r="J102" s="1149"/>
      <c r="K102" s="1150"/>
      <c r="L102" s="1150"/>
      <c r="M102" s="1150"/>
      <c r="N102" s="556"/>
      <c r="O102" s="543"/>
      <c r="P102" s="543"/>
      <c r="Q102" s="543"/>
      <c r="R102" s="543"/>
      <c r="S102" s="543"/>
      <c r="T102" s="543"/>
      <c r="U102" s="543"/>
      <c r="V102" s="543"/>
      <c r="W102" s="543"/>
      <c r="X102" s="544"/>
      <c r="Y102" s="498"/>
      <c r="Z102" s="1151"/>
      <c r="AA102" s="1152"/>
      <c r="AB102" s="1152"/>
      <c r="AC102" s="1153"/>
      <c r="AD102" s="556"/>
      <c r="AE102" s="543"/>
      <c r="AF102" s="543"/>
      <c r="AG102" s="544"/>
      <c r="AH102" s="498"/>
      <c r="AI102" s="1151"/>
      <c r="AJ102" s="1150"/>
      <c r="AK102" s="1150"/>
      <c r="AL102" s="1150"/>
      <c r="AM102" s="556"/>
      <c r="AN102" s="543"/>
      <c r="AO102" s="543"/>
      <c r="AP102" s="543"/>
      <c r="AQ102" s="543"/>
      <c r="AR102" s="544"/>
      <c r="AS102" s="498"/>
      <c r="AT102" s="1151"/>
      <c r="AU102" s="1150"/>
      <c r="AV102" s="1150"/>
      <c r="AW102" s="1150"/>
      <c r="AX102" s="556"/>
      <c r="AY102" s="543"/>
      <c r="AZ102" s="543"/>
      <c r="BA102" s="543"/>
      <c r="BB102" s="543"/>
      <c r="BC102" s="544"/>
      <c r="BK102" s="499"/>
    </row>
    <row r="103" spans="3:90" ht="12" customHeight="1">
      <c r="C103" s="497"/>
      <c r="D103" s="540" t="s">
        <v>831</v>
      </c>
      <c r="E103" s="540"/>
      <c r="F103" s="540"/>
      <c r="G103" s="540"/>
      <c r="H103" s="540"/>
      <c r="I103" s="540"/>
      <c r="J103" s="549"/>
      <c r="K103" s="543"/>
      <c r="L103" s="543"/>
      <c r="M103" s="543"/>
      <c r="N103" s="544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  <c r="AA103" s="567"/>
      <c r="AB103" s="567"/>
      <c r="AC103" s="567"/>
      <c r="AD103" s="567"/>
      <c r="AE103" s="567"/>
      <c r="AF103" s="567"/>
      <c r="AG103" s="567"/>
      <c r="AH103" s="567"/>
      <c r="AI103" s="567"/>
      <c r="AJ103" s="567"/>
      <c r="AK103" s="567"/>
      <c r="AL103" s="567"/>
      <c r="AM103" s="567"/>
      <c r="AN103" s="567"/>
      <c r="AO103" s="567"/>
      <c r="AP103" s="567"/>
      <c r="AQ103" s="567"/>
      <c r="AR103" s="567"/>
      <c r="AS103" s="567"/>
      <c r="AT103" s="567"/>
      <c r="AV103" s="567"/>
      <c r="AW103" s="567"/>
      <c r="AX103" s="567"/>
      <c r="AY103" s="567"/>
      <c r="AZ103" s="567"/>
      <c r="BK103" s="499"/>
    </row>
    <row r="104" spans="3:90" ht="12" customHeight="1">
      <c r="C104" s="497"/>
      <c r="D104" s="540" t="s">
        <v>832</v>
      </c>
      <c r="E104" s="540"/>
      <c r="F104" s="540"/>
      <c r="G104" s="540"/>
      <c r="H104" s="540"/>
      <c r="I104" s="540"/>
      <c r="J104" s="1143"/>
      <c r="K104" s="1144"/>
      <c r="L104" s="1144"/>
      <c r="M104" s="1145"/>
      <c r="N104" s="498"/>
      <c r="O104" s="498"/>
      <c r="P104" s="498"/>
      <c r="Q104" s="498"/>
      <c r="R104" s="498"/>
      <c r="S104" s="498"/>
      <c r="T104" s="498"/>
      <c r="U104" s="498"/>
      <c r="V104" s="498"/>
      <c r="W104" s="498"/>
      <c r="X104" s="498"/>
      <c r="Y104" s="498"/>
      <c r="Z104" s="498"/>
      <c r="AA104" s="498"/>
      <c r="AB104" s="498"/>
      <c r="AC104" s="498"/>
      <c r="AD104" s="498"/>
      <c r="AE104" s="498"/>
      <c r="AF104" s="498"/>
      <c r="AG104" s="498"/>
      <c r="AH104" s="498"/>
      <c r="AI104" s="498"/>
      <c r="AJ104" s="498"/>
      <c r="AK104" s="498"/>
      <c r="AL104" s="498"/>
      <c r="AM104" s="498"/>
      <c r="AN104" s="498"/>
      <c r="AO104" s="498"/>
      <c r="AP104" s="498"/>
      <c r="AQ104" s="498"/>
      <c r="AR104" s="498"/>
      <c r="AS104" s="498"/>
      <c r="AT104" s="498"/>
      <c r="AU104" s="498"/>
      <c r="AV104" s="498"/>
      <c r="AW104" s="498"/>
      <c r="AX104" s="498"/>
      <c r="AY104" s="498"/>
      <c r="AZ104" s="498"/>
      <c r="BA104" s="498"/>
      <c r="BB104" s="498"/>
      <c r="BC104" s="498"/>
      <c r="BD104" s="498"/>
      <c r="BE104" s="498"/>
      <c r="BF104" s="498"/>
      <c r="BG104" s="498"/>
      <c r="BK104" s="499"/>
    </row>
    <row r="105" spans="3:90" ht="12" customHeight="1">
      <c r="C105" s="497"/>
      <c r="D105" s="540" t="s">
        <v>834</v>
      </c>
      <c r="E105" s="540"/>
      <c r="F105" s="540"/>
      <c r="G105" s="540"/>
      <c r="H105" s="540"/>
      <c r="I105" s="540"/>
      <c r="J105" s="498" t="s">
        <v>835</v>
      </c>
      <c r="K105" s="498"/>
      <c r="L105" s="1154"/>
      <c r="M105" s="1155"/>
      <c r="N105" s="1156"/>
      <c r="O105" s="498"/>
      <c r="P105" s="498" t="s">
        <v>836</v>
      </c>
      <c r="Q105" s="498"/>
      <c r="R105" s="1154"/>
      <c r="S105" s="1155"/>
      <c r="T105" s="1156"/>
      <c r="U105" s="498"/>
      <c r="V105" s="498" t="s">
        <v>837</v>
      </c>
      <c r="W105" s="498"/>
      <c r="X105" s="498"/>
      <c r="Y105" s="498"/>
      <c r="Z105" s="498" t="s">
        <v>838</v>
      </c>
      <c r="AA105" s="498"/>
      <c r="AB105" s="1157"/>
      <c r="AC105" s="1158"/>
      <c r="AD105" s="1159"/>
      <c r="AE105" s="498"/>
      <c r="AF105" s="498" t="s">
        <v>839</v>
      </c>
      <c r="AG105" s="498"/>
      <c r="AH105" s="1154"/>
      <c r="AI105" s="1155"/>
      <c r="AJ105" s="1156"/>
      <c r="AK105" s="498"/>
      <c r="AL105" s="498"/>
      <c r="AM105" s="498"/>
      <c r="AN105" s="498"/>
      <c r="AO105" s="498"/>
      <c r="AP105" s="498"/>
      <c r="AQ105" s="498"/>
      <c r="AR105" s="498"/>
      <c r="AS105" s="498"/>
      <c r="AT105" s="498"/>
      <c r="AU105" s="498"/>
      <c r="AV105" s="498"/>
      <c r="AW105" s="498"/>
      <c r="AX105" s="498"/>
      <c r="AY105" s="498"/>
      <c r="AZ105" s="498"/>
      <c r="BA105" s="498"/>
      <c r="BB105" s="498"/>
      <c r="BC105" s="498"/>
      <c r="BD105" s="498"/>
      <c r="BE105" s="498"/>
      <c r="BF105" s="498"/>
      <c r="BG105" s="498"/>
      <c r="BK105" s="499"/>
    </row>
    <row r="106" spans="3:90" ht="12" customHeight="1">
      <c r="C106" s="497"/>
      <c r="D106" s="540" t="s">
        <v>840</v>
      </c>
      <c r="E106" s="540"/>
      <c r="F106" s="540"/>
      <c r="G106" s="540"/>
      <c r="H106" s="540"/>
      <c r="I106" s="540"/>
      <c r="J106" s="498" t="s">
        <v>835</v>
      </c>
      <c r="K106" s="498"/>
      <c r="L106" s="573"/>
      <c r="M106" s="543"/>
      <c r="N106" s="544"/>
      <c r="O106" s="498"/>
      <c r="P106" s="498" t="s">
        <v>836</v>
      </c>
      <c r="Q106" s="498"/>
      <c r="R106" s="1140"/>
      <c r="S106" s="1141"/>
      <c r="T106" s="1142"/>
      <c r="U106" s="498" t="s">
        <v>842</v>
      </c>
      <c r="V106" s="498"/>
      <c r="W106" s="498"/>
      <c r="X106" s="498"/>
      <c r="Y106" s="498"/>
      <c r="Z106" s="498"/>
      <c r="AA106" s="498"/>
      <c r="AB106" s="498"/>
      <c r="AC106" s="498"/>
      <c r="AD106" s="498"/>
      <c r="AE106" s="498"/>
      <c r="AF106" s="498"/>
      <c r="AG106" s="498"/>
      <c r="AH106" s="498"/>
      <c r="AI106" s="498"/>
      <c r="AJ106" s="498"/>
      <c r="AK106" s="498"/>
      <c r="AL106" s="498"/>
      <c r="AM106" s="498"/>
      <c r="AN106" s="498"/>
      <c r="AO106" s="498"/>
      <c r="AP106" s="498"/>
      <c r="AQ106" s="498"/>
      <c r="AR106" s="498"/>
      <c r="AS106" s="498"/>
      <c r="AT106" s="498"/>
      <c r="AU106" s="498"/>
      <c r="AV106" s="498"/>
      <c r="AW106" s="498"/>
      <c r="AX106" s="498"/>
      <c r="AY106" s="498"/>
      <c r="AZ106" s="498"/>
      <c r="BA106" s="498"/>
      <c r="BB106" s="498"/>
      <c r="BC106" s="498"/>
      <c r="BD106" s="498"/>
      <c r="BE106" s="498"/>
      <c r="BF106" s="498"/>
      <c r="BG106" s="498"/>
      <c r="BK106" s="499"/>
    </row>
    <row r="107" spans="3:90" ht="12" customHeight="1">
      <c r="C107" s="497"/>
      <c r="D107" s="540" t="s">
        <v>843</v>
      </c>
      <c r="E107" s="540"/>
      <c r="F107" s="540"/>
      <c r="G107" s="540"/>
      <c r="H107" s="540"/>
      <c r="I107" s="540"/>
      <c r="J107" s="498" t="s">
        <v>835</v>
      </c>
      <c r="K107" s="498"/>
      <c r="L107" s="573"/>
      <c r="M107" s="543"/>
      <c r="N107" s="544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  <c r="AA107" s="498"/>
      <c r="AB107" s="498"/>
      <c r="AC107" s="498"/>
      <c r="AD107" s="498"/>
      <c r="AE107" s="498"/>
      <c r="AF107" s="498"/>
      <c r="AG107" s="498"/>
      <c r="AH107" s="498"/>
      <c r="AI107" s="498"/>
      <c r="AJ107" s="498"/>
      <c r="AK107" s="498"/>
      <c r="AL107" s="498"/>
      <c r="AM107" s="498"/>
      <c r="AN107" s="498"/>
      <c r="AO107" s="498"/>
      <c r="AP107" s="498"/>
      <c r="AQ107" s="498"/>
      <c r="AR107" s="498"/>
      <c r="AS107" s="498"/>
      <c r="AT107" s="498"/>
      <c r="AU107" s="498"/>
      <c r="AV107" s="498"/>
      <c r="AW107" s="498"/>
      <c r="AX107" s="498"/>
      <c r="AY107" s="498"/>
      <c r="AZ107" s="498"/>
      <c r="BA107" s="498"/>
      <c r="BB107" s="498"/>
      <c r="BC107" s="498"/>
      <c r="BD107" s="498"/>
      <c r="BE107" s="498"/>
      <c r="BF107" s="498"/>
      <c r="BG107" s="498"/>
      <c r="BK107" s="499"/>
    </row>
    <row r="108" spans="3:90" ht="12" customHeight="1">
      <c r="C108" s="497"/>
      <c r="D108" s="540" t="s">
        <v>844</v>
      </c>
      <c r="E108" s="540"/>
      <c r="F108" s="540"/>
      <c r="G108" s="540"/>
      <c r="H108" s="540"/>
      <c r="I108" s="540"/>
      <c r="J108" s="1143"/>
      <c r="K108" s="1144"/>
      <c r="L108" s="1144"/>
      <c r="M108" s="1144"/>
      <c r="N108" s="1145"/>
      <c r="O108" s="498"/>
      <c r="P108" s="498"/>
      <c r="Q108" s="647"/>
      <c r="R108" s="498"/>
      <c r="S108" s="498"/>
      <c r="T108" s="498"/>
      <c r="U108" s="498"/>
      <c r="V108" s="498"/>
      <c r="W108" s="498"/>
      <c r="X108" s="498"/>
      <c r="Y108" s="498"/>
      <c r="Z108" s="498"/>
      <c r="AA108" s="498"/>
      <c r="AB108" s="498"/>
      <c r="AC108" s="498"/>
      <c r="AD108" s="498"/>
      <c r="AE108" s="498"/>
      <c r="AF108" s="498"/>
      <c r="AG108" s="498"/>
      <c r="AH108" s="498"/>
      <c r="AI108" s="498"/>
      <c r="AJ108" s="498"/>
      <c r="AK108" s="498"/>
      <c r="AL108" s="498"/>
      <c r="AM108" s="498"/>
      <c r="AN108" s="498"/>
      <c r="AO108" s="498"/>
      <c r="AP108" s="498"/>
      <c r="AQ108" s="498"/>
      <c r="AR108" s="498"/>
      <c r="AS108" s="498"/>
      <c r="AT108" s="498"/>
      <c r="AU108" s="498"/>
      <c r="AV108" s="498"/>
      <c r="AW108" s="498"/>
      <c r="AX108" s="498"/>
      <c r="AY108" s="498"/>
      <c r="AZ108" s="498"/>
      <c r="BA108" s="498"/>
      <c r="BB108" s="498"/>
      <c r="BC108" s="498"/>
      <c r="BD108" s="498"/>
      <c r="BE108" s="498"/>
      <c r="BF108" s="498"/>
      <c r="BG108" s="498"/>
      <c r="BK108" s="499"/>
    </row>
    <row r="109" spans="3:90" ht="12" customHeight="1">
      <c r="C109" s="497"/>
      <c r="D109" s="540" t="s">
        <v>722</v>
      </c>
      <c r="E109" s="540"/>
      <c r="F109" s="540"/>
      <c r="G109" s="540"/>
      <c r="H109" s="540"/>
      <c r="I109" s="540"/>
      <c r="J109" s="1303">
        <v>1</v>
      </c>
      <c r="K109" s="1304"/>
      <c r="L109" s="1304"/>
      <c r="M109" s="1304"/>
      <c r="N109" s="1305"/>
      <c r="P109" s="540" t="s">
        <v>845</v>
      </c>
      <c r="Q109" s="540"/>
      <c r="R109" s="540"/>
      <c r="S109" s="540"/>
      <c r="T109" s="568"/>
      <c r="U109" s="569"/>
      <c r="V109" s="569"/>
      <c r="W109" s="569" t="s">
        <v>773</v>
      </c>
      <c r="X109" s="574"/>
      <c r="Z109" s="540" t="s">
        <v>847</v>
      </c>
      <c r="AA109" s="540"/>
      <c r="AB109" s="540"/>
      <c r="AC109" s="540"/>
      <c r="AD109" s="568"/>
      <c r="AE109" s="569"/>
      <c r="AF109" s="1144">
        <v>100</v>
      </c>
      <c r="AG109" s="1145"/>
      <c r="AH109" s="575"/>
      <c r="AI109" s="540" t="s">
        <v>848</v>
      </c>
      <c r="AJ109" s="540"/>
      <c r="AK109" s="540"/>
      <c r="AL109" s="540"/>
      <c r="AM109" s="568"/>
      <c r="AN109" s="569"/>
      <c r="AO109" s="569"/>
      <c r="AP109" s="569"/>
      <c r="AQ109" s="570"/>
      <c r="AT109" s="540" t="s">
        <v>849</v>
      </c>
      <c r="AU109" s="540"/>
      <c r="AV109" s="540"/>
      <c r="AW109" s="540"/>
      <c r="AX109" s="540"/>
      <c r="AY109" s="576"/>
      <c r="AZ109" s="577"/>
      <c r="BA109" s="577"/>
      <c r="BB109" s="577" t="s">
        <v>773</v>
      </c>
      <c r="BC109" s="578"/>
      <c r="BE109" s="8" t="s">
        <v>850</v>
      </c>
      <c r="BF109" s="10"/>
      <c r="BH109" s="10"/>
      <c r="BK109" s="499"/>
    </row>
    <row r="110" spans="3:90" ht="12" customHeight="1">
      <c r="C110" s="497"/>
      <c r="D110" s="498"/>
      <c r="E110" s="498"/>
      <c r="F110" s="498"/>
      <c r="G110" s="498"/>
      <c r="H110" s="498"/>
      <c r="I110" s="498"/>
      <c r="J110" s="891"/>
      <c r="K110" s="891"/>
      <c r="L110" s="891"/>
      <c r="M110" s="891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  <c r="AA110" s="498"/>
      <c r="AB110" s="498"/>
      <c r="AC110" s="498"/>
      <c r="AD110" s="498"/>
      <c r="AE110" s="498"/>
      <c r="AF110" s="498"/>
      <c r="AG110" s="498"/>
      <c r="AH110" s="498"/>
      <c r="AN110" s="498"/>
      <c r="AO110" s="498"/>
      <c r="AP110" s="498"/>
      <c r="AQ110" s="498"/>
      <c r="AR110" s="498"/>
      <c r="AS110" s="498"/>
      <c r="AT110" s="498"/>
      <c r="AU110" s="498"/>
      <c r="AV110" s="498"/>
      <c r="AW110" s="498"/>
      <c r="AX110" s="498"/>
      <c r="AY110" s="498"/>
      <c r="AZ110" s="498"/>
      <c r="BA110" s="498"/>
      <c r="BI110" s="498"/>
      <c r="BK110" s="499"/>
    </row>
    <row r="111" spans="3:90" ht="12" customHeight="1">
      <c r="C111" s="497"/>
      <c r="D111" s="566" t="s">
        <v>851</v>
      </c>
      <c r="E111" s="515"/>
      <c r="F111" s="515"/>
      <c r="G111" s="515"/>
      <c r="H111" s="515"/>
      <c r="I111" s="515"/>
      <c r="Q111" s="8"/>
      <c r="BF111" s="10"/>
      <c r="BH111" s="10"/>
      <c r="BK111" s="499"/>
    </row>
    <row r="112" spans="3:90" ht="12" customHeight="1">
      <c r="C112" s="497"/>
      <c r="D112" s="540" t="s">
        <v>852</v>
      </c>
      <c r="E112" s="540"/>
      <c r="F112" s="540"/>
      <c r="G112" s="540"/>
      <c r="H112" s="540"/>
      <c r="I112" s="540"/>
      <c r="J112" s="542" t="s">
        <v>718</v>
      </c>
      <c r="K112" s="543"/>
      <c r="L112" s="543"/>
      <c r="M112" s="543"/>
      <c r="N112" s="543"/>
      <c r="O112" s="542"/>
      <c r="P112" s="543" t="s">
        <v>853</v>
      </c>
      <c r="Q112" s="543"/>
      <c r="R112" s="543"/>
      <c r="S112" s="543"/>
      <c r="T112" s="543"/>
      <c r="U112" s="543"/>
      <c r="V112" s="569"/>
      <c r="W112" s="569"/>
      <c r="X112" s="569"/>
      <c r="Y112" s="575"/>
      <c r="Z112" s="498" t="s">
        <v>854</v>
      </c>
      <c r="AA112" s="498"/>
      <c r="AB112" s="498"/>
      <c r="AC112" s="498"/>
      <c r="AD112" s="568"/>
      <c r="AE112" s="569"/>
      <c r="AF112" s="569" t="s">
        <v>1201</v>
      </c>
      <c r="AG112" s="570"/>
      <c r="AH112" s="498"/>
      <c r="AI112" s="498" t="s">
        <v>855</v>
      </c>
      <c r="AJ112" s="498"/>
      <c r="AK112" s="498"/>
      <c r="AL112" s="498"/>
      <c r="AM112" s="568"/>
      <c r="AN112" s="569"/>
      <c r="AO112" s="569"/>
      <c r="AP112" s="569"/>
      <c r="AQ112" s="570">
        <v>90</v>
      </c>
      <c r="AR112" s="498"/>
      <c r="AS112" s="498"/>
      <c r="AT112" s="498" t="s">
        <v>849</v>
      </c>
      <c r="AU112" s="498"/>
      <c r="AV112" s="498"/>
      <c r="AW112" s="498"/>
      <c r="AX112" s="498"/>
      <c r="AY112" s="576"/>
      <c r="AZ112" s="577"/>
      <c r="BA112" s="577"/>
      <c r="BB112" s="577" t="s">
        <v>1201</v>
      </c>
      <c r="BC112" s="807"/>
      <c r="BD112" s="498"/>
      <c r="BK112" s="499"/>
      <c r="CL112" s="500" t="s">
        <v>857</v>
      </c>
    </row>
    <row r="113" spans="3:63" ht="12" customHeight="1">
      <c r="C113" s="497"/>
      <c r="D113" s="498"/>
      <c r="E113" s="498"/>
      <c r="F113" s="498"/>
      <c r="G113" s="498"/>
      <c r="H113" s="498"/>
      <c r="I113" s="498"/>
      <c r="J113" s="891"/>
      <c r="K113" s="891"/>
      <c r="L113" s="891"/>
      <c r="M113" s="891"/>
      <c r="N113" s="498"/>
      <c r="O113" s="498"/>
      <c r="P113" s="498"/>
      <c r="Q113" s="498"/>
      <c r="R113" s="498"/>
      <c r="S113" s="498"/>
      <c r="T113" s="498"/>
      <c r="U113" s="498"/>
      <c r="V113" s="498"/>
      <c r="W113" s="498"/>
      <c r="X113" s="498"/>
      <c r="Y113" s="498"/>
      <c r="Z113" s="498"/>
      <c r="AA113" s="498"/>
      <c r="AB113" s="498"/>
      <c r="AC113" s="498"/>
      <c r="AD113" s="498"/>
      <c r="AE113" s="498"/>
      <c r="AF113" s="498"/>
      <c r="AG113" s="498"/>
      <c r="AH113" s="498"/>
      <c r="AN113" s="498"/>
      <c r="AO113" s="498"/>
      <c r="AP113" s="498"/>
      <c r="AQ113" s="498"/>
      <c r="AR113" s="498"/>
      <c r="AS113" s="498"/>
      <c r="AT113" s="498"/>
      <c r="AU113" s="498"/>
      <c r="AV113" s="498"/>
      <c r="AW113" s="498"/>
      <c r="AX113" s="498"/>
      <c r="AY113" s="498"/>
      <c r="AZ113" s="498"/>
      <c r="BA113" s="498"/>
      <c r="BI113" s="498"/>
      <c r="BK113" s="499"/>
    </row>
    <row r="114" spans="3:63" ht="12" customHeight="1">
      <c r="C114" s="497"/>
      <c r="D114" s="566" t="s">
        <v>858</v>
      </c>
      <c r="E114" s="515"/>
      <c r="F114" s="515"/>
      <c r="G114" s="515"/>
      <c r="H114" s="515"/>
      <c r="I114" s="515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859</v>
      </c>
      <c r="E115" s="540"/>
      <c r="F115" s="540"/>
      <c r="G115" s="540"/>
      <c r="H115" s="540"/>
      <c r="I115" s="540"/>
      <c r="J115" s="549" t="s">
        <v>860</v>
      </c>
      <c r="K115" s="543"/>
      <c r="L115" s="543"/>
      <c r="M115" s="543"/>
      <c r="N115" s="543"/>
      <c r="O115" s="543"/>
      <c r="P115" s="543"/>
      <c r="Q115" s="543"/>
      <c r="R115" s="543"/>
      <c r="S115" s="543"/>
      <c r="T115" s="543"/>
      <c r="U115" s="543"/>
      <c r="V115" s="543"/>
      <c r="W115" s="543"/>
      <c r="X115" s="543"/>
      <c r="Y115" s="543"/>
      <c r="Z115" s="543"/>
      <c r="AA115" s="544"/>
      <c r="AD115" s="540" t="s">
        <v>861</v>
      </c>
      <c r="AE115" s="540"/>
      <c r="AF115" s="540"/>
      <c r="AG115" s="540"/>
      <c r="AH115" s="540"/>
      <c r="AI115" s="540"/>
      <c r="AJ115" s="549" t="s">
        <v>862</v>
      </c>
      <c r="AK115" s="543"/>
      <c r="AL115" s="543"/>
      <c r="AM115" s="543"/>
      <c r="AN115" s="543"/>
      <c r="AO115" s="543"/>
      <c r="AP115" s="543"/>
      <c r="AQ115" s="543"/>
      <c r="AR115" s="543"/>
      <c r="AS115" s="543"/>
      <c r="AT115" s="543"/>
      <c r="AU115" s="543"/>
      <c r="AV115" s="543"/>
      <c r="AW115" s="543"/>
      <c r="AX115" s="543"/>
      <c r="AY115" s="543"/>
      <c r="AZ115" s="543"/>
      <c r="BA115" s="544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540" t="s">
        <v>863</v>
      </c>
      <c r="E116" s="540"/>
      <c r="F116" s="540"/>
      <c r="G116" s="540"/>
      <c r="H116" s="540"/>
      <c r="I116" s="540"/>
      <c r="J116" s="549" t="s">
        <v>862</v>
      </c>
      <c r="K116" s="543"/>
      <c r="L116" s="543"/>
      <c r="M116" s="543"/>
      <c r="N116" s="543"/>
      <c r="O116" s="543"/>
      <c r="P116" s="543"/>
      <c r="Q116" s="543"/>
      <c r="R116" s="543"/>
      <c r="S116" s="543"/>
      <c r="T116" s="543"/>
      <c r="U116" s="543"/>
      <c r="V116" s="543"/>
      <c r="W116" s="543"/>
      <c r="X116" s="543"/>
      <c r="Y116" s="543"/>
      <c r="Z116" s="543"/>
      <c r="AA116" s="544"/>
      <c r="AD116" s="540" t="s">
        <v>864</v>
      </c>
      <c r="AE116" s="540"/>
      <c r="AF116" s="540"/>
      <c r="AG116" s="540"/>
      <c r="AH116" s="540"/>
      <c r="AI116" s="540"/>
      <c r="AJ116" s="549"/>
      <c r="AK116" s="543"/>
      <c r="AL116" s="543"/>
      <c r="AM116" s="543"/>
      <c r="AN116" s="543"/>
      <c r="AO116" s="543"/>
      <c r="AP116" s="543"/>
      <c r="AQ116" s="543"/>
      <c r="AR116" s="543"/>
      <c r="AS116" s="543"/>
      <c r="AT116" s="543"/>
      <c r="AU116" s="543"/>
      <c r="AV116" s="543"/>
      <c r="AW116" s="543"/>
      <c r="AX116" s="543"/>
      <c r="AY116" s="543"/>
      <c r="AZ116" s="543"/>
      <c r="BA116" s="544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D117" s="540" t="s">
        <v>865</v>
      </c>
      <c r="E117" s="540"/>
      <c r="F117" s="540"/>
      <c r="G117" s="540"/>
      <c r="H117" s="540"/>
      <c r="I117" s="540"/>
      <c r="J117" s="549" t="s">
        <v>866</v>
      </c>
      <c r="K117" s="543"/>
      <c r="L117" s="543"/>
      <c r="M117" s="543"/>
      <c r="N117" s="543"/>
      <c r="O117" s="543"/>
      <c r="P117" s="543"/>
      <c r="Q117" s="543"/>
      <c r="R117" s="543"/>
      <c r="S117" s="543"/>
      <c r="T117" s="543"/>
      <c r="U117" s="543"/>
      <c r="V117" s="543"/>
      <c r="W117" s="543"/>
      <c r="X117" s="543"/>
      <c r="Y117" s="543"/>
      <c r="Z117" s="543"/>
      <c r="AA117" s="544"/>
      <c r="AD117" s="540" t="s">
        <v>867</v>
      </c>
      <c r="AE117" s="540"/>
      <c r="AF117" s="540"/>
      <c r="AG117" s="540"/>
      <c r="AH117" s="540"/>
      <c r="AI117" s="540"/>
      <c r="AJ117" s="549" t="s">
        <v>868</v>
      </c>
      <c r="AK117" s="543"/>
      <c r="AL117" s="543"/>
      <c r="AM117" s="543"/>
      <c r="AN117" s="543"/>
      <c r="AO117" s="543"/>
      <c r="AP117" s="543"/>
      <c r="AQ117" s="543"/>
      <c r="AR117" s="543"/>
      <c r="AS117" s="543"/>
      <c r="AT117" s="543"/>
      <c r="AU117" s="543"/>
      <c r="AV117" s="543"/>
      <c r="AW117" s="543"/>
      <c r="AX117" s="543"/>
      <c r="AY117" s="543"/>
      <c r="AZ117" s="543"/>
      <c r="BA117" s="544"/>
      <c r="BB117" s="498"/>
      <c r="BC117" s="498"/>
      <c r="BD117" s="498"/>
      <c r="BE117" s="498"/>
      <c r="BF117" s="498"/>
      <c r="BG117" s="498"/>
      <c r="BH117" s="498"/>
      <c r="BI117" s="498"/>
      <c r="BK117" s="499"/>
    </row>
    <row r="118" spans="3:63" ht="12" customHeight="1">
      <c r="C118" s="497"/>
      <c r="D118" s="540" t="s">
        <v>869</v>
      </c>
      <c r="E118" s="540"/>
      <c r="F118" s="540"/>
      <c r="G118" s="540"/>
      <c r="H118" s="540"/>
      <c r="I118" s="540"/>
      <c r="J118" s="549"/>
      <c r="K118" s="543"/>
      <c r="L118" s="543"/>
      <c r="M118" s="543"/>
      <c r="N118" s="543"/>
      <c r="O118" s="543"/>
      <c r="P118" s="543"/>
      <c r="Q118" s="543"/>
      <c r="R118" s="543"/>
      <c r="S118" s="543"/>
      <c r="T118" s="543"/>
      <c r="U118" s="543"/>
      <c r="V118" s="543"/>
      <c r="W118" s="543"/>
      <c r="X118" s="543"/>
      <c r="Y118" s="543"/>
      <c r="Z118" s="808" t="s">
        <v>870</v>
      </c>
      <c r="AA118" s="544"/>
      <c r="AD118" s="498"/>
      <c r="AE118" s="498"/>
      <c r="AF118" s="498"/>
      <c r="AG118" s="498"/>
      <c r="AH118" s="498"/>
      <c r="AI118" s="498"/>
      <c r="AJ118" s="586"/>
      <c r="AK118" s="586"/>
      <c r="AL118" s="586"/>
      <c r="AM118" s="586"/>
      <c r="AN118" s="586"/>
      <c r="AO118" s="586"/>
      <c r="AP118" s="586"/>
      <c r="AQ118" s="586"/>
      <c r="AR118" s="586"/>
      <c r="AS118" s="586"/>
      <c r="AT118" s="586"/>
      <c r="AU118" s="586"/>
      <c r="AV118" s="586"/>
      <c r="AW118" s="586"/>
      <c r="AX118" s="586"/>
      <c r="AY118" s="586"/>
      <c r="AZ118" s="587"/>
      <c r="BA118" s="586"/>
      <c r="BB118" s="498"/>
      <c r="BC118" s="498"/>
      <c r="BD118" s="498"/>
      <c r="BE118" s="498"/>
      <c r="BF118" s="498"/>
      <c r="BG118" s="498"/>
      <c r="BH118" s="498"/>
      <c r="BI118" s="498"/>
      <c r="BK118" s="499"/>
    </row>
    <row r="119" spans="3:63" ht="12" customHeight="1">
      <c r="C119" s="497"/>
      <c r="D119" s="498"/>
      <c r="E119" s="498"/>
      <c r="F119" s="498"/>
      <c r="G119" s="498"/>
      <c r="H119" s="498"/>
      <c r="I119" s="498"/>
      <c r="J119" s="498"/>
      <c r="K119" s="498"/>
      <c r="L119" s="498"/>
      <c r="M119" s="498"/>
      <c r="N119" s="498"/>
      <c r="O119" s="498"/>
      <c r="P119" s="498"/>
      <c r="Q119" s="498"/>
      <c r="R119" s="498"/>
      <c r="S119" s="498"/>
      <c r="T119" s="498"/>
      <c r="U119" s="498"/>
      <c r="V119" s="498"/>
      <c r="W119" s="498"/>
      <c r="X119" s="498"/>
      <c r="Y119" s="498"/>
      <c r="Z119" s="498"/>
      <c r="AA119" s="498"/>
      <c r="AB119" s="498"/>
      <c r="AC119" s="498"/>
      <c r="AD119" s="498"/>
      <c r="AE119" s="498"/>
      <c r="AF119" s="498"/>
      <c r="AG119" s="498"/>
      <c r="AH119" s="498"/>
      <c r="AI119" s="498"/>
      <c r="AJ119" s="498"/>
      <c r="AK119" s="498"/>
      <c r="AL119" s="498"/>
      <c r="AM119" s="498"/>
      <c r="AN119" s="498"/>
      <c r="AO119" s="498"/>
      <c r="AP119" s="498"/>
      <c r="AQ119" s="498"/>
      <c r="AR119" s="498"/>
      <c r="AS119" s="498"/>
      <c r="AT119" s="498"/>
      <c r="AU119" s="498"/>
      <c r="AV119" s="498"/>
      <c r="AW119" s="498"/>
      <c r="AX119" s="498"/>
      <c r="AY119" s="498"/>
      <c r="AZ119" s="498"/>
      <c r="BA119" s="498"/>
      <c r="BB119" s="498"/>
      <c r="BC119" s="498"/>
      <c r="BD119" s="498"/>
      <c r="BE119" s="498"/>
      <c r="BF119" s="498"/>
      <c r="BG119" s="498"/>
      <c r="BH119" s="498"/>
      <c r="BI119" s="498"/>
      <c r="BK119" s="499"/>
    </row>
    <row r="120" spans="3:63" ht="12" customHeight="1">
      <c r="C120" s="497"/>
      <c r="BK120" s="499"/>
    </row>
    <row r="121" spans="3:63" ht="12" customHeight="1">
      <c r="C121" s="50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7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09"/>
    </row>
    <row r="122" spans="3:63" ht="12" customHeight="1" thickBot="1">
      <c r="C122" s="531"/>
      <c r="D122" s="532"/>
      <c r="E122" s="532"/>
      <c r="F122" s="532"/>
      <c r="G122" s="532"/>
      <c r="H122" s="532"/>
      <c r="I122" s="532"/>
      <c r="J122" s="532"/>
      <c r="K122" s="532"/>
      <c r="L122" s="532"/>
      <c r="M122" s="532"/>
      <c r="N122" s="532"/>
      <c r="O122" s="532"/>
      <c r="P122" s="532"/>
      <c r="Q122" s="533"/>
      <c r="R122" s="532"/>
      <c r="S122" s="532"/>
      <c r="T122" s="532"/>
      <c r="U122" s="532"/>
      <c r="V122" s="532"/>
      <c r="W122" s="532"/>
      <c r="X122" s="532"/>
      <c r="Y122" s="532"/>
      <c r="Z122" s="532"/>
      <c r="AA122" s="532"/>
      <c r="AB122" s="532"/>
      <c r="AC122" s="532"/>
      <c r="AD122" s="532"/>
      <c r="AE122" s="532"/>
      <c r="AF122" s="532"/>
      <c r="AG122" s="532"/>
      <c r="AH122" s="532"/>
      <c r="AI122" s="532"/>
      <c r="AJ122" s="532"/>
      <c r="AK122" s="532"/>
      <c r="AL122" s="532"/>
      <c r="AM122" s="532"/>
      <c r="AN122" s="532"/>
      <c r="AO122" s="532"/>
      <c r="AP122" s="532"/>
      <c r="AQ122" s="532"/>
      <c r="AR122" s="532"/>
      <c r="AS122" s="532"/>
      <c r="AT122" s="532"/>
      <c r="AU122" s="532"/>
      <c r="AV122" s="532"/>
      <c r="AW122" s="532"/>
      <c r="AX122" s="532"/>
      <c r="AY122" s="532"/>
      <c r="AZ122" s="532"/>
      <c r="BA122" s="532"/>
      <c r="BB122" s="532"/>
      <c r="BC122" s="532"/>
      <c r="BD122" s="532"/>
      <c r="BE122" s="532"/>
      <c r="BF122" s="532"/>
      <c r="BG122" s="532"/>
      <c r="BH122" s="532"/>
      <c r="BI122" s="532"/>
      <c r="BJ122" s="532"/>
      <c r="BK122" s="534"/>
    </row>
  </sheetData>
  <mergeCells count="240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C38:EE38"/>
    <mergeCell ref="EF38:EH38"/>
    <mergeCell ref="EI38:EK38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EI39:EK39"/>
    <mergeCell ref="EL39:EN39"/>
    <mergeCell ref="EO39:EQ39"/>
    <mergeCell ref="ER39:ET39"/>
    <mergeCell ref="DK39:DM39"/>
    <mergeCell ref="DN39:DP39"/>
    <mergeCell ref="DQ39:DS39"/>
    <mergeCell ref="DT39:DV39"/>
    <mergeCell ref="DW39:DY39"/>
    <mergeCell ref="DZ39:EB39"/>
    <mergeCell ref="DH40:DJ40"/>
    <mergeCell ref="CA40:CC40"/>
    <mergeCell ref="CD40:CF40"/>
    <mergeCell ref="CG40:CI40"/>
    <mergeCell ref="CJ40:CL40"/>
    <mergeCell ref="CM40:CO40"/>
    <mergeCell ref="CP40:CR40"/>
    <mergeCell ref="EC39:EE39"/>
    <mergeCell ref="EF39:EH39"/>
    <mergeCell ref="CS39:CU39"/>
    <mergeCell ref="CV39:CX39"/>
    <mergeCell ref="CY39:DA39"/>
    <mergeCell ref="DB39:DD39"/>
    <mergeCell ref="DE39:DG39"/>
    <mergeCell ref="DH39:DJ39"/>
    <mergeCell ref="CA39:CC39"/>
    <mergeCell ref="CD39:CF39"/>
    <mergeCell ref="CG39:CI39"/>
    <mergeCell ref="CJ39:CL39"/>
    <mergeCell ref="CM39:CO39"/>
    <mergeCell ref="CP39:CR39"/>
    <mergeCell ref="BZ41:DP42"/>
    <mergeCell ref="EL41:EN41"/>
    <mergeCell ref="EO41:EQ41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H96:K96"/>
    <mergeCell ref="J99:K99"/>
    <mergeCell ref="J100:M100"/>
    <mergeCell ref="Z100:AC100"/>
    <mergeCell ref="AI100:AL100"/>
    <mergeCell ref="AT100:AW100"/>
    <mergeCell ref="AC64:AF64"/>
    <mergeCell ref="AH64:AK64"/>
    <mergeCell ref="AE84:AG84"/>
    <mergeCell ref="AM84:AP84"/>
    <mergeCell ref="AR84:AU84"/>
    <mergeCell ref="AB88:AE88"/>
    <mergeCell ref="AH105:AJ105"/>
    <mergeCell ref="R106:T106"/>
    <mergeCell ref="J101:M101"/>
    <mergeCell ref="Z101:AC101"/>
    <mergeCell ref="AI101:AL101"/>
    <mergeCell ref="AT101:AW101"/>
    <mergeCell ref="J102:M102"/>
    <mergeCell ref="Z102:AC102"/>
    <mergeCell ref="AI102:AL102"/>
    <mergeCell ref="AT102:AW102"/>
    <mergeCell ref="J108:N108"/>
    <mergeCell ref="J109:N109"/>
    <mergeCell ref="AF109:AG109"/>
    <mergeCell ref="J110:M110"/>
    <mergeCell ref="J113:M113"/>
    <mergeCell ref="J104:M104"/>
    <mergeCell ref="L105:N105"/>
    <mergeCell ref="R105:T105"/>
    <mergeCell ref="AB105:AD105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2" manualBreakCount="2">
    <brk id="50" max="87" man="1"/>
    <brk id="74" max="87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8E20-B266-4E8F-AB45-8F748DC32996}">
  <sheetPr>
    <tabColor theme="9" tint="-0.249977111117893"/>
    <pageSetUpPr fitToPage="1"/>
  </sheetPr>
  <dimension ref="A2:HY182"/>
  <sheetViews>
    <sheetView showGridLines="0" showZeros="0" view="pageBreakPreview" topLeftCell="A141" zoomScaleNormal="100" zoomScaleSheetLayoutView="100" workbookViewId="0">
      <selection activeCell="AA92" sqref="AA92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1202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1190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1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8" spans="2:76" ht="28.5">
      <c r="B78" s="488" t="s">
        <v>779</v>
      </c>
    </row>
    <row r="79" spans="2:76" ht="12" customHeight="1">
      <c r="C79" s="489" t="s">
        <v>1151</v>
      </c>
    </row>
    <row r="80" spans="2:76" ht="12" customHeight="1" thickBot="1">
      <c r="C80" s="489" t="s">
        <v>781</v>
      </c>
    </row>
    <row r="81" spans="3:63" ht="12" customHeight="1">
      <c r="C81" s="535"/>
      <c r="D81" s="536" t="s">
        <v>783</v>
      </c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8"/>
      <c r="R81" s="537"/>
      <c r="S81" s="537"/>
      <c r="T81" s="537"/>
      <c r="U81" s="537"/>
      <c r="V81" s="537"/>
      <c r="W81" s="537"/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7"/>
      <c r="AK81" s="537"/>
      <c r="AL81" s="537"/>
      <c r="AM81" s="537"/>
      <c r="AN81" s="537"/>
      <c r="AO81" s="537"/>
      <c r="AP81" s="537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493"/>
    </row>
    <row r="82" spans="3:63" ht="12" customHeight="1">
      <c r="C82" s="497"/>
      <c r="Q82" s="8"/>
      <c r="BK82" s="499"/>
    </row>
    <row r="83" spans="3:63" ht="12" customHeight="1">
      <c r="C83" s="539"/>
      <c r="D83" s="540" t="s">
        <v>245</v>
      </c>
      <c r="E83" s="540"/>
      <c r="F83" s="541"/>
      <c r="G83" s="540"/>
      <c r="H83" s="542" t="s">
        <v>761</v>
      </c>
      <c r="I83" s="543"/>
      <c r="J83" s="543"/>
      <c r="K83" s="543"/>
      <c r="L83" s="543"/>
      <c r="M83" s="544"/>
      <c r="N83" s="498"/>
      <c r="O83" s="540" t="s">
        <v>244</v>
      </c>
      <c r="P83" s="540"/>
      <c r="Q83" s="541"/>
      <c r="R83" s="540"/>
      <c r="S83" s="498"/>
      <c r="T83" s="542" t="s">
        <v>774</v>
      </c>
      <c r="U83" s="543"/>
      <c r="V83" s="543"/>
      <c r="W83" s="543"/>
      <c r="X83" s="544"/>
      <c r="AA83" s="540" t="s">
        <v>784</v>
      </c>
      <c r="AB83" s="545"/>
      <c r="AC83" s="540"/>
      <c r="AE83" s="1163"/>
      <c r="AF83" s="1164"/>
      <c r="AG83" s="1165"/>
      <c r="AJ83" s="546" t="s">
        <v>732</v>
      </c>
      <c r="AK83" s="546"/>
      <c r="AL83" s="546"/>
      <c r="AM83" s="1166">
        <v>44627</v>
      </c>
      <c r="AN83" s="1167"/>
      <c r="AO83" s="1167"/>
      <c r="AP83" s="1167"/>
      <c r="AR83" s="1168">
        <v>0.5</v>
      </c>
      <c r="AS83" s="1169"/>
      <c r="AT83" s="1169"/>
      <c r="AU83" s="1170"/>
      <c r="AV83" s="512"/>
      <c r="BK83" s="499"/>
    </row>
    <row r="84" spans="3:63" ht="12" customHeight="1">
      <c r="C84" s="539"/>
      <c r="Q84" s="8"/>
      <c r="BK84" s="499"/>
    </row>
    <row r="85" spans="3:63" ht="12" customHeight="1">
      <c r="C85" s="539"/>
      <c r="D85" s="547" t="s">
        <v>785</v>
      </c>
      <c r="E85" s="540"/>
      <c r="F85" s="547"/>
      <c r="G85" s="540"/>
      <c r="H85" s="548" t="s">
        <v>786</v>
      </c>
      <c r="I85" s="482"/>
      <c r="J85" s="482"/>
      <c r="K85" s="483"/>
      <c r="O85" s="540" t="s">
        <v>235</v>
      </c>
      <c r="P85" s="547"/>
      <c r="Q85" s="540"/>
      <c r="R85" s="547"/>
      <c r="S85" s="540"/>
      <c r="T85" s="549" t="s">
        <v>1190</v>
      </c>
      <c r="U85" s="482"/>
      <c r="V85" s="482"/>
      <c r="W85" s="482"/>
      <c r="X85" s="482"/>
      <c r="Y85" s="483"/>
      <c r="AA85" s="540"/>
      <c r="AB85" s="540"/>
      <c r="AC85" s="541" t="s">
        <v>787</v>
      </c>
      <c r="AD85" s="540"/>
      <c r="AE85" s="540" t="s">
        <v>788</v>
      </c>
      <c r="AF85" s="550"/>
      <c r="AG85" s="482"/>
      <c r="AH85" s="482"/>
      <c r="AI85" s="482"/>
      <c r="AJ85" s="483"/>
      <c r="AL85" s="540" t="s">
        <v>790</v>
      </c>
      <c r="AM85" s="548"/>
      <c r="AN85" s="482"/>
      <c r="AO85" s="482"/>
      <c r="AP85" s="482"/>
      <c r="AQ85" s="483"/>
      <c r="AS85" s="540" t="s">
        <v>791</v>
      </c>
      <c r="AT85" s="548"/>
      <c r="AU85" s="482"/>
      <c r="AV85" s="482"/>
      <c r="AW85" s="482"/>
      <c r="AX85" s="483"/>
      <c r="BK85" s="499"/>
    </row>
    <row r="86" spans="3:63" ht="12" customHeight="1">
      <c r="C86" s="539"/>
      <c r="D86" s="547" t="s">
        <v>715</v>
      </c>
      <c r="E86" s="540"/>
      <c r="F86" s="547"/>
      <c r="G86" s="540"/>
      <c r="H86" s="548"/>
      <c r="I86" s="482"/>
      <c r="J86" s="482"/>
      <c r="K86" s="482"/>
      <c r="L86" s="551"/>
      <c r="M86" s="483"/>
      <c r="N86" s="552"/>
      <c r="O86" s="553" t="s">
        <v>792</v>
      </c>
      <c r="P86" s="553"/>
      <c r="Q86" s="554"/>
      <c r="R86" s="553"/>
      <c r="S86" s="555"/>
      <c r="T86" s="542" t="s">
        <v>793</v>
      </c>
      <c r="U86" s="543"/>
      <c r="V86" s="543"/>
      <c r="W86" s="543"/>
      <c r="X86" s="544"/>
      <c r="BK86" s="499"/>
    </row>
    <row r="87" spans="3:63" ht="12" customHeight="1">
      <c r="C87" s="539"/>
      <c r="D87" s="547" t="s">
        <v>697</v>
      </c>
      <c r="E87" s="540"/>
      <c r="F87" s="547"/>
      <c r="G87" s="540"/>
      <c r="H87" s="548" t="s">
        <v>794</v>
      </c>
      <c r="I87" s="482"/>
      <c r="J87" s="482"/>
      <c r="K87" s="482"/>
      <c r="L87" s="482"/>
      <c r="M87" s="483"/>
      <c r="N87" s="556"/>
      <c r="O87" s="543" t="s">
        <v>762</v>
      </c>
      <c r="P87" s="543"/>
      <c r="Q87" s="543"/>
      <c r="R87" s="543"/>
      <c r="S87" s="543"/>
      <c r="T87" s="543"/>
      <c r="U87" s="543"/>
      <c r="V87" s="544"/>
      <c r="X87" s="540" t="s">
        <v>243</v>
      </c>
      <c r="Y87" s="540"/>
      <c r="Z87" s="540"/>
      <c r="AA87" s="540"/>
      <c r="AB87" s="1166">
        <v>44628</v>
      </c>
      <c r="AC87" s="1167"/>
      <c r="AD87" s="1167"/>
      <c r="AE87" s="1167"/>
      <c r="AF87" s="483"/>
      <c r="AK87" s="510"/>
      <c r="AM87" s="557"/>
      <c r="AN87" s="557"/>
      <c r="AO87" s="557"/>
      <c r="AP87" s="557"/>
      <c r="AQ87" s="557"/>
      <c r="AR87" s="557"/>
      <c r="AS87" s="557"/>
      <c r="AT87" s="557"/>
      <c r="AU87" s="557"/>
      <c r="BK87" s="499"/>
    </row>
    <row r="88" spans="3:63" ht="12" customHeight="1">
      <c r="C88" s="539"/>
      <c r="D88" s="558" t="s">
        <v>742</v>
      </c>
      <c r="E88" s="540"/>
      <c r="F88" s="547"/>
      <c r="G88" s="540"/>
      <c r="H88" s="511" t="s">
        <v>763</v>
      </c>
      <c r="I88" s="503"/>
      <c r="J88" s="503"/>
      <c r="K88" s="503"/>
      <c r="L88" s="503"/>
      <c r="M88" s="504"/>
      <c r="O88" s="540" t="s">
        <v>796</v>
      </c>
      <c r="P88" s="540"/>
      <c r="Q88" s="540"/>
      <c r="R88" s="540"/>
      <c r="S88" s="506"/>
      <c r="T88" s="559"/>
      <c r="U88" s="559"/>
      <c r="V88" s="559"/>
      <c r="W88" s="559"/>
      <c r="X88" s="559"/>
      <c r="Y88" s="559"/>
      <c r="Z88" s="559"/>
      <c r="AA88" s="559"/>
      <c r="AB88" s="503"/>
      <c r="AC88" s="503"/>
      <c r="AD88" s="503"/>
      <c r="AE88" s="503"/>
      <c r="AF88" s="504"/>
      <c r="AI88" s="540" t="s">
        <v>798</v>
      </c>
      <c r="AJ88" s="540"/>
      <c r="AK88" s="540"/>
      <c r="AL88" s="540"/>
      <c r="AM88" s="506"/>
      <c r="AN88" s="559"/>
      <c r="AO88" s="559"/>
      <c r="AP88" s="559"/>
      <c r="AQ88" s="559"/>
      <c r="AR88" s="559"/>
      <c r="AS88" s="559"/>
      <c r="AT88" s="559"/>
      <c r="AU88" s="559"/>
      <c r="AV88" s="503"/>
      <c r="AW88" s="503"/>
      <c r="AX88" s="503"/>
      <c r="AY88" s="503"/>
      <c r="AZ88" s="504"/>
      <c r="BK88" s="499"/>
    </row>
    <row r="89" spans="3:63" ht="12" customHeight="1">
      <c r="C89" s="539"/>
      <c r="D89" s="547" t="s">
        <v>799</v>
      </c>
      <c r="E89" s="540"/>
      <c r="F89" s="547"/>
      <c r="G89" s="540"/>
      <c r="H89" s="548"/>
      <c r="I89" s="482"/>
      <c r="J89" s="482"/>
      <c r="K89" s="482"/>
      <c r="L89" s="482"/>
      <c r="M89" s="483"/>
      <c r="O89" s="540" t="s">
        <v>743</v>
      </c>
      <c r="P89" s="540"/>
      <c r="Q89" s="540"/>
      <c r="R89" s="540"/>
      <c r="S89" s="506"/>
      <c r="T89" s="559"/>
      <c r="U89" s="559"/>
      <c r="V89" s="559"/>
      <c r="W89" s="559"/>
      <c r="X89" s="559"/>
      <c r="Y89" s="559"/>
      <c r="Z89" s="559"/>
      <c r="AA89" s="559"/>
      <c r="AB89" s="503"/>
      <c r="AC89" s="503"/>
      <c r="AD89" s="503"/>
      <c r="AE89" s="503"/>
      <c r="AF89" s="504"/>
      <c r="AI89" s="540" t="s">
        <v>801</v>
      </c>
      <c r="AJ89" s="540"/>
      <c r="AK89" s="540"/>
      <c r="AL89" s="540"/>
      <c r="AM89" s="506"/>
      <c r="AN89" s="559"/>
      <c r="AO89" s="559"/>
      <c r="AP89" s="559"/>
      <c r="AQ89" s="559"/>
      <c r="AR89" s="559"/>
      <c r="AS89" s="559"/>
      <c r="AT89" s="559"/>
      <c r="AU89" s="559"/>
      <c r="AV89" s="503"/>
      <c r="AW89" s="503"/>
      <c r="AX89" s="503"/>
      <c r="AY89" s="503"/>
      <c r="AZ89" s="504"/>
      <c r="BK89" s="499"/>
    </row>
    <row r="90" spans="3:63" ht="12" customHeight="1">
      <c r="C90" s="539"/>
      <c r="D90" s="547" t="s">
        <v>802</v>
      </c>
      <c r="E90" s="540"/>
      <c r="F90" s="547"/>
      <c r="G90" s="540"/>
      <c r="H90" s="511" t="s">
        <v>763</v>
      </c>
      <c r="I90" s="503"/>
      <c r="J90" s="503"/>
      <c r="K90" s="503"/>
      <c r="L90" s="503"/>
      <c r="M90" s="504"/>
      <c r="O90" s="540" t="s">
        <v>803</v>
      </c>
      <c r="P90" s="540"/>
      <c r="Q90" s="540"/>
      <c r="R90" s="540"/>
      <c r="S90" s="506"/>
      <c r="T90" s="503"/>
      <c r="U90" s="503"/>
      <c r="V90" s="503"/>
      <c r="W90" s="503"/>
      <c r="X90" s="504"/>
      <c r="BK90" s="499"/>
    </row>
    <row r="91" spans="3:63" ht="12" customHeight="1">
      <c r="C91" s="539"/>
      <c r="D91" s="560" t="s">
        <v>804</v>
      </c>
      <c r="E91" s="540"/>
      <c r="F91" s="547"/>
      <c r="G91" s="540"/>
      <c r="H91" s="548"/>
      <c r="I91" s="482"/>
      <c r="J91" s="482"/>
      <c r="K91" s="482"/>
      <c r="L91" s="482"/>
      <c r="M91" s="483"/>
      <c r="O91" s="540" t="s">
        <v>805</v>
      </c>
      <c r="P91" s="540"/>
      <c r="Q91" s="545"/>
      <c r="R91" s="540"/>
      <c r="S91" s="548"/>
      <c r="T91" s="482"/>
      <c r="U91" s="482"/>
      <c r="V91" s="482"/>
      <c r="W91" s="482"/>
      <c r="X91" s="483"/>
      <c r="BK91" s="499"/>
    </row>
    <row r="92" spans="3:63" ht="12" customHeight="1">
      <c r="C92" s="539"/>
      <c r="BK92" s="499"/>
    </row>
    <row r="93" spans="3:63" ht="12" customHeight="1">
      <c r="C93" s="539"/>
      <c r="D93" s="540" t="s">
        <v>806</v>
      </c>
      <c r="E93" s="540"/>
      <c r="H93" s="547" t="s">
        <v>287</v>
      </c>
      <c r="I93" s="540"/>
      <c r="J93" s="540"/>
      <c r="K93" s="561"/>
      <c r="L93" s="562"/>
      <c r="M93" s="563"/>
      <c r="O93" s="540" t="s">
        <v>807</v>
      </c>
      <c r="P93" s="540"/>
      <c r="Q93" s="540"/>
      <c r="R93" s="540"/>
      <c r="S93" s="561"/>
      <c r="T93" s="562"/>
      <c r="U93" s="563"/>
      <c r="Z93" s="540" t="s">
        <v>808</v>
      </c>
      <c r="AA93" s="540"/>
      <c r="AB93" s="540"/>
      <c r="AC93" s="561"/>
      <c r="AD93" s="562"/>
      <c r="AE93" s="562"/>
      <c r="AF93" s="563"/>
      <c r="AI93" s="540"/>
      <c r="AJ93" s="540"/>
      <c r="AK93" s="540"/>
      <c r="AL93" s="540"/>
      <c r="AM93" s="541" t="s">
        <v>809</v>
      </c>
      <c r="AN93" s="561"/>
      <c r="AO93" s="562"/>
      <c r="AP93" s="562"/>
      <c r="AQ93" s="563"/>
      <c r="AR93" s="556"/>
      <c r="BK93" s="499"/>
    </row>
    <row r="94" spans="3:63" ht="12" customHeight="1">
      <c r="C94" s="539"/>
      <c r="BK94" s="499"/>
    </row>
    <row r="95" spans="3:63" ht="12" customHeight="1">
      <c r="C95" s="539"/>
      <c r="D95" s="540" t="s">
        <v>810</v>
      </c>
      <c r="E95" s="540"/>
      <c r="F95" s="540"/>
      <c r="G95" s="540"/>
      <c r="H95" s="1171" t="s">
        <v>811</v>
      </c>
      <c r="I95" s="1172"/>
      <c r="J95" s="1172"/>
      <c r="K95" s="1172"/>
      <c r="L95" s="563"/>
      <c r="BK95" s="499"/>
    </row>
    <row r="96" spans="3:63" ht="12" customHeight="1">
      <c r="C96" s="539"/>
      <c r="Q96" s="8"/>
      <c r="BK96" s="499"/>
    </row>
    <row r="97" spans="3:90" ht="12" customHeight="1">
      <c r="C97" s="497"/>
      <c r="D97" s="566" t="s">
        <v>812</v>
      </c>
      <c r="E97" s="515"/>
      <c r="F97" s="515"/>
      <c r="G97" s="515"/>
      <c r="H97" s="515"/>
      <c r="I97" s="515"/>
      <c r="Q97" s="8"/>
      <c r="BK97" s="499"/>
    </row>
    <row r="98" spans="3:90" ht="12" customHeight="1">
      <c r="C98" s="497"/>
      <c r="D98" s="540" t="s">
        <v>813</v>
      </c>
      <c r="E98" s="540"/>
      <c r="F98" s="540"/>
      <c r="G98" s="540"/>
      <c r="H98" s="540"/>
      <c r="I98" s="540"/>
      <c r="J98" s="972"/>
      <c r="K98" s="974"/>
      <c r="O98" s="540" t="s">
        <v>815</v>
      </c>
      <c r="P98" s="540"/>
      <c r="Q98" s="545"/>
      <c r="R98" s="540"/>
      <c r="S98" s="540"/>
      <c r="T98" s="540"/>
      <c r="U98" s="540"/>
      <c r="V98" s="540"/>
      <c r="W98" s="540"/>
      <c r="X98" s="540"/>
      <c r="Z98" s="540" t="s">
        <v>816</v>
      </c>
      <c r="AA98" s="540"/>
      <c r="AB98" s="540"/>
      <c r="AC98" s="540"/>
      <c r="AD98" s="540"/>
      <c r="AE98" s="540"/>
      <c r="AF98" s="540"/>
      <c r="AG98" s="540"/>
      <c r="AI98" s="540" t="s">
        <v>817</v>
      </c>
      <c r="AJ98" s="540"/>
      <c r="AK98" s="540"/>
      <c r="AL98" s="540"/>
      <c r="AM98" s="540"/>
      <c r="AN98" s="540"/>
      <c r="AO98" s="540"/>
      <c r="AP98" s="540"/>
      <c r="AQ98" s="540"/>
      <c r="AR98" s="540"/>
      <c r="AT98" s="540" t="s">
        <v>818</v>
      </c>
      <c r="AU98" s="540"/>
      <c r="AV98" s="540"/>
      <c r="AW98" s="540"/>
      <c r="AX98" s="540"/>
      <c r="AY98" s="540"/>
      <c r="AZ98" s="540"/>
      <c r="BA98" s="540"/>
      <c r="BB98" s="540"/>
      <c r="BC98" s="540"/>
      <c r="BK98" s="499"/>
    </row>
    <row r="99" spans="3:90" ht="12" customHeight="1">
      <c r="C99" s="497"/>
      <c r="D99" s="540"/>
      <c r="E99" s="540"/>
      <c r="F99" s="540" t="s">
        <v>819</v>
      </c>
      <c r="G99" s="540"/>
      <c r="H99" s="540"/>
      <c r="I99" s="540"/>
      <c r="J99" s="1160"/>
      <c r="K99" s="1161"/>
      <c r="L99" s="1150"/>
      <c r="M99" s="1162"/>
      <c r="N99" s="556"/>
      <c r="O99" s="543"/>
      <c r="P99" s="543"/>
      <c r="Q99" s="543"/>
      <c r="R99" s="543"/>
      <c r="S99" s="543"/>
      <c r="T99" s="543"/>
      <c r="U99" s="543"/>
      <c r="V99" s="543"/>
      <c r="W99" s="543"/>
      <c r="X99" s="544"/>
      <c r="Y99" s="498"/>
      <c r="Z99" s="1151"/>
      <c r="AA99" s="1152"/>
      <c r="AB99" s="1152"/>
      <c r="AC99" s="1153"/>
      <c r="AD99" s="556"/>
      <c r="AE99" s="543"/>
      <c r="AF99" s="543"/>
      <c r="AG99" s="544"/>
      <c r="AH99" s="498"/>
      <c r="AI99" s="1151"/>
      <c r="AJ99" s="1150"/>
      <c r="AK99" s="1150"/>
      <c r="AL99" s="1162"/>
      <c r="AM99" s="556"/>
      <c r="AN99" s="543"/>
      <c r="AO99" s="543"/>
      <c r="AP99" s="543"/>
      <c r="AQ99" s="543"/>
      <c r="AR99" s="544"/>
      <c r="AS99" s="498"/>
      <c r="AT99" s="1151"/>
      <c r="AU99" s="1150"/>
      <c r="AV99" s="1150"/>
      <c r="AW99" s="1162"/>
      <c r="AX99" s="556"/>
      <c r="AY99" s="543"/>
      <c r="AZ99" s="543"/>
      <c r="BA99" s="543"/>
      <c r="BB99" s="543"/>
      <c r="BC99" s="544"/>
      <c r="BK99" s="499"/>
    </row>
    <row r="100" spans="3:90" ht="12" customHeight="1">
      <c r="C100" s="497"/>
      <c r="D100" s="540"/>
      <c r="E100" s="540"/>
      <c r="F100" s="540" t="s">
        <v>824</v>
      </c>
      <c r="G100" s="540"/>
      <c r="H100" s="540"/>
      <c r="I100" s="540"/>
      <c r="J100" s="1149"/>
      <c r="K100" s="1150"/>
      <c r="L100" s="1150"/>
      <c r="M100" s="1162"/>
      <c r="N100" s="556"/>
      <c r="O100" s="543"/>
      <c r="P100" s="543"/>
      <c r="Q100" s="543"/>
      <c r="R100" s="543"/>
      <c r="S100" s="543"/>
      <c r="T100" s="543"/>
      <c r="U100" s="543"/>
      <c r="V100" s="543"/>
      <c r="W100" s="543"/>
      <c r="X100" s="544"/>
      <c r="Y100" s="498"/>
      <c r="Z100" s="1151"/>
      <c r="AA100" s="1152"/>
      <c r="AB100" s="1152"/>
      <c r="AC100" s="1153"/>
      <c r="AD100" s="556"/>
      <c r="AE100" s="543"/>
      <c r="AF100" s="543"/>
      <c r="AG100" s="544"/>
      <c r="AH100" s="498"/>
      <c r="AI100" s="1151"/>
      <c r="AJ100" s="1150"/>
      <c r="AK100" s="1150"/>
      <c r="AL100" s="1162"/>
      <c r="AM100" s="556"/>
      <c r="AN100" s="543"/>
      <c r="AO100" s="543"/>
      <c r="AP100" s="543"/>
      <c r="AQ100" s="543"/>
      <c r="AR100" s="544"/>
      <c r="AS100" s="498"/>
      <c r="AT100" s="1151"/>
      <c r="AU100" s="1150"/>
      <c r="AV100" s="1150"/>
      <c r="AW100" s="1162"/>
      <c r="AX100" s="556"/>
      <c r="AY100" s="543"/>
      <c r="AZ100" s="543"/>
      <c r="BA100" s="543"/>
      <c r="BB100" s="543"/>
      <c r="BC100" s="544"/>
      <c r="BK100" s="499"/>
    </row>
    <row r="101" spans="3:90" ht="12" customHeight="1">
      <c r="C101" s="497"/>
      <c r="D101" s="540"/>
      <c r="E101" s="540"/>
      <c r="F101" s="540" t="s">
        <v>827</v>
      </c>
      <c r="G101" s="540"/>
      <c r="H101" s="540"/>
      <c r="I101" s="540"/>
      <c r="J101" s="1149"/>
      <c r="K101" s="1150"/>
      <c r="L101" s="1150"/>
      <c r="M101" s="1150"/>
      <c r="N101" s="556"/>
      <c r="O101" s="543"/>
      <c r="P101" s="543"/>
      <c r="Q101" s="543"/>
      <c r="R101" s="543"/>
      <c r="S101" s="543"/>
      <c r="T101" s="543"/>
      <c r="U101" s="543"/>
      <c r="V101" s="543"/>
      <c r="W101" s="543"/>
      <c r="X101" s="544"/>
      <c r="Y101" s="498"/>
      <c r="Z101" s="1151"/>
      <c r="AA101" s="1152"/>
      <c r="AB101" s="1152"/>
      <c r="AC101" s="1153"/>
      <c r="AD101" s="556"/>
      <c r="AE101" s="543"/>
      <c r="AF101" s="543"/>
      <c r="AG101" s="544"/>
      <c r="AH101" s="498"/>
      <c r="AI101" s="1151"/>
      <c r="AJ101" s="1150"/>
      <c r="AK101" s="1150"/>
      <c r="AL101" s="1150"/>
      <c r="AM101" s="556"/>
      <c r="AN101" s="543"/>
      <c r="AO101" s="543"/>
      <c r="AP101" s="543"/>
      <c r="AQ101" s="543"/>
      <c r="AR101" s="544"/>
      <c r="AS101" s="498"/>
      <c r="AT101" s="1151"/>
      <c r="AU101" s="1150"/>
      <c r="AV101" s="1150"/>
      <c r="AW101" s="1150"/>
      <c r="AX101" s="556"/>
      <c r="AY101" s="543"/>
      <c r="AZ101" s="543"/>
      <c r="BA101" s="543"/>
      <c r="BB101" s="543"/>
      <c r="BC101" s="544"/>
      <c r="BK101" s="499"/>
    </row>
    <row r="102" spans="3:90" ht="12" customHeight="1">
      <c r="C102" s="497"/>
      <c r="D102" s="540" t="s">
        <v>831</v>
      </c>
      <c r="E102" s="540"/>
      <c r="F102" s="540"/>
      <c r="G102" s="540"/>
      <c r="H102" s="540"/>
      <c r="I102" s="540"/>
      <c r="J102" s="549"/>
      <c r="K102" s="543"/>
      <c r="L102" s="543"/>
      <c r="M102" s="543"/>
      <c r="N102" s="544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V102" s="567"/>
      <c r="AW102" s="567"/>
      <c r="AX102" s="567"/>
      <c r="AY102" s="567"/>
      <c r="AZ102" s="567"/>
      <c r="BK102" s="499"/>
    </row>
    <row r="103" spans="3:90" ht="12" customHeight="1">
      <c r="C103" s="497"/>
      <c r="D103" s="540" t="s">
        <v>832</v>
      </c>
      <c r="E103" s="540"/>
      <c r="F103" s="540"/>
      <c r="G103" s="540"/>
      <c r="H103" s="540"/>
      <c r="I103" s="540"/>
      <c r="J103" s="1143"/>
      <c r="K103" s="1144"/>
      <c r="L103" s="1144"/>
      <c r="M103" s="1145"/>
      <c r="N103" s="498"/>
      <c r="Q103" s="8"/>
      <c r="BK103" s="499"/>
    </row>
    <row r="104" spans="3:90" ht="12" customHeight="1">
      <c r="C104" s="497"/>
      <c r="D104" s="540" t="s">
        <v>834</v>
      </c>
      <c r="E104" s="540"/>
      <c r="F104" s="540"/>
      <c r="G104" s="540"/>
      <c r="H104" s="540"/>
      <c r="I104" s="540"/>
      <c r="J104" s="498" t="s">
        <v>835</v>
      </c>
      <c r="K104" s="498"/>
      <c r="L104" s="1154"/>
      <c r="M104" s="1155"/>
      <c r="N104" s="1156"/>
      <c r="P104" s="8" t="s">
        <v>836</v>
      </c>
      <c r="Q104" s="8"/>
      <c r="R104" s="1154"/>
      <c r="S104" s="1155"/>
      <c r="T104" s="1156"/>
      <c r="V104" s="540" t="s">
        <v>837</v>
      </c>
      <c r="W104" s="540"/>
      <c r="X104" s="540"/>
      <c r="Z104" s="8" t="s">
        <v>838</v>
      </c>
      <c r="AB104" s="1157"/>
      <c r="AC104" s="1158"/>
      <c r="AD104" s="1159"/>
      <c r="AF104" s="8" t="s">
        <v>839</v>
      </c>
      <c r="AH104" s="1154"/>
      <c r="AI104" s="1155"/>
      <c r="AJ104" s="1156"/>
      <c r="BK104" s="499"/>
    </row>
    <row r="105" spans="3:90" ht="12" customHeight="1">
      <c r="C105" s="497"/>
      <c r="D105" s="540" t="s">
        <v>840</v>
      </c>
      <c r="E105" s="540"/>
      <c r="F105" s="540"/>
      <c r="G105" s="540"/>
      <c r="H105" s="540"/>
      <c r="I105" s="540"/>
      <c r="J105" s="498" t="s">
        <v>835</v>
      </c>
      <c r="K105" s="498"/>
      <c r="L105" s="573"/>
      <c r="M105" s="543"/>
      <c r="N105" s="544"/>
      <c r="P105" s="8" t="s">
        <v>836</v>
      </c>
      <c r="Q105" s="8"/>
      <c r="R105" s="1140"/>
      <c r="S105" s="1141"/>
      <c r="T105" s="1142"/>
      <c r="U105" s="8" t="s">
        <v>842</v>
      </c>
      <c r="BK105" s="499"/>
    </row>
    <row r="106" spans="3:90" ht="12" customHeight="1">
      <c r="C106" s="497"/>
      <c r="D106" s="540" t="s">
        <v>843</v>
      </c>
      <c r="E106" s="540"/>
      <c r="F106" s="540"/>
      <c r="G106" s="540"/>
      <c r="H106" s="540"/>
      <c r="I106" s="540"/>
      <c r="J106" s="498" t="s">
        <v>835</v>
      </c>
      <c r="K106" s="498"/>
      <c r="L106" s="573"/>
      <c r="M106" s="543"/>
      <c r="N106" s="544"/>
      <c r="Q106" s="8"/>
      <c r="R106" s="498"/>
      <c r="S106" s="498"/>
      <c r="T106" s="498"/>
      <c r="BK106" s="499"/>
    </row>
    <row r="107" spans="3:90" ht="12" customHeight="1">
      <c r="C107" s="497"/>
      <c r="D107" s="540" t="s">
        <v>844</v>
      </c>
      <c r="E107" s="540"/>
      <c r="F107" s="540"/>
      <c r="G107" s="540"/>
      <c r="H107" s="540"/>
      <c r="I107" s="540"/>
      <c r="J107" s="1143"/>
      <c r="K107" s="1144"/>
      <c r="L107" s="1144"/>
      <c r="M107" s="1144"/>
      <c r="N107" s="1145"/>
      <c r="BK107" s="499"/>
    </row>
    <row r="108" spans="3:90" ht="12" customHeight="1">
      <c r="C108" s="497"/>
      <c r="D108" s="540" t="s">
        <v>722</v>
      </c>
      <c r="E108" s="540"/>
      <c r="F108" s="540"/>
      <c r="G108" s="540"/>
      <c r="H108" s="540"/>
      <c r="I108" s="540"/>
      <c r="J108" s="1146">
        <v>1</v>
      </c>
      <c r="K108" s="1147"/>
      <c r="L108" s="1147"/>
      <c r="M108" s="1147"/>
      <c r="N108" s="1148"/>
      <c r="P108" s="540" t="s">
        <v>845</v>
      </c>
      <c r="Q108" s="540"/>
      <c r="R108" s="540"/>
      <c r="S108" s="540"/>
      <c r="T108" s="564"/>
      <c r="U108" s="565"/>
      <c r="V108" s="565"/>
      <c r="W108" s="565"/>
      <c r="X108" s="574"/>
      <c r="Z108" s="540" t="s">
        <v>847</v>
      </c>
      <c r="AA108" s="540"/>
      <c r="AB108" s="540"/>
      <c r="AC108" s="540"/>
      <c r="AD108" s="564"/>
      <c r="AE108" s="565"/>
      <c r="AF108" s="1172"/>
      <c r="AG108" s="1285"/>
      <c r="AH108" s="575"/>
      <c r="AI108" s="540" t="s">
        <v>848</v>
      </c>
      <c r="AJ108" s="540"/>
      <c r="AK108" s="540"/>
      <c r="AL108" s="540"/>
      <c r="AM108" s="564"/>
      <c r="AN108" s="565"/>
      <c r="AO108" s="565"/>
      <c r="AP108" s="565"/>
      <c r="AQ108" s="748"/>
      <c r="AT108" s="540" t="s">
        <v>849</v>
      </c>
      <c r="AU108" s="540"/>
      <c r="AV108" s="540"/>
      <c r="AW108" s="540"/>
      <c r="AX108" s="540"/>
      <c r="AY108" s="583"/>
      <c r="AZ108" s="584"/>
      <c r="BA108" s="584"/>
      <c r="BB108" s="584"/>
      <c r="BC108" s="578"/>
      <c r="BE108" s="8" t="s">
        <v>850</v>
      </c>
      <c r="BF108" s="10"/>
      <c r="BH108" s="10"/>
      <c r="BK108" s="499"/>
    </row>
    <row r="109" spans="3:90" ht="12" customHeight="1">
      <c r="C109" s="497"/>
      <c r="D109" s="498"/>
      <c r="E109" s="498"/>
      <c r="F109" s="498"/>
      <c r="G109" s="498"/>
      <c r="H109" s="498"/>
      <c r="I109" s="498"/>
      <c r="J109" s="891"/>
      <c r="K109" s="891"/>
      <c r="L109" s="891"/>
      <c r="M109" s="891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  <c r="AA109" s="498"/>
      <c r="AB109" s="498"/>
      <c r="AC109" s="498"/>
      <c r="AD109" s="498"/>
      <c r="AE109" s="498"/>
      <c r="AF109" s="498"/>
      <c r="AG109" s="498"/>
      <c r="AH109" s="498"/>
      <c r="AN109" s="498"/>
      <c r="AO109" s="498"/>
      <c r="AP109" s="498"/>
      <c r="AQ109" s="498"/>
      <c r="AR109" s="498"/>
      <c r="AS109" s="498"/>
      <c r="AT109" s="498"/>
      <c r="AU109" s="498"/>
      <c r="AV109" s="498"/>
      <c r="AW109" s="498"/>
      <c r="AX109" s="498"/>
      <c r="AY109" s="498"/>
      <c r="AZ109" s="498"/>
      <c r="BA109" s="498"/>
      <c r="BI109" s="498"/>
      <c r="BK109" s="499"/>
    </row>
    <row r="110" spans="3:90" ht="12" customHeight="1">
      <c r="C110" s="497"/>
      <c r="D110" s="566" t="s">
        <v>851</v>
      </c>
      <c r="E110" s="515"/>
      <c r="F110" s="515"/>
      <c r="G110" s="515"/>
      <c r="H110" s="515"/>
      <c r="I110" s="515"/>
      <c r="Q110" s="8"/>
      <c r="BF110" s="10"/>
      <c r="BH110" s="10"/>
      <c r="BK110" s="499"/>
    </row>
    <row r="111" spans="3:90" ht="12" customHeight="1">
      <c r="C111" s="497"/>
      <c r="D111" s="540" t="s">
        <v>852</v>
      </c>
      <c r="E111" s="540"/>
      <c r="F111" s="540"/>
      <c r="G111" s="540"/>
      <c r="H111" s="540"/>
      <c r="I111" s="540"/>
      <c r="J111" s="580"/>
      <c r="K111" s="562"/>
      <c r="L111" s="562"/>
      <c r="M111" s="562"/>
      <c r="N111" s="562"/>
      <c r="O111" s="542"/>
      <c r="P111" s="543"/>
      <c r="Q111" s="543"/>
      <c r="R111" s="543"/>
      <c r="S111" s="543"/>
      <c r="T111" s="543"/>
      <c r="U111" s="543"/>
      <c r="V111" s="569"/>
      <c r="W111" s="569"/>
      <c r="X111" s="569"/>
      <c r="Y111" s="575"/>
      <c r="Z111" s="540" t="s">
        <v>854</v>
      </c>
      <c r="AA111" s="540"/>
      <c r="AB111" s="540"/>
      <c r="AC111" s="540"/>
      <c r="AD111" s="581"/>
      <c r="AE111" s="581"/>
      <c r="AF111" s="581"/>
      <c r="AG111" s="574"/>
      <c r="AH111" s="498"/>
      <c r="AI111" s="540" t="s">
        <v>855</v>
      </c>
      <c r="AJ111" s="540"/>
      <c r="AK111" s="540"/>
      <c r="AL111" s="540"/>
      <c r="AM111" s="564"/>
      <c r="AN111" s="565"/>
      <c r="AO111" s="565"/>
      <c r="AP111" s="565"/>
      <c r="AQ111" s="748"/>
      <c r="AT111" s="540" t="s">
        <v>849</v>
      </c>
      <c r="AU111" s="540"/>
      <c r="AV111" s="540"/>
      <c r="AW111" s="540"/>
      <c r="AX111" s="540"/>
      <c r="AY111" s="583"/>
      <c r="AZ111" s="584"/>
      <c r="BA111" s="584"/>
      <c r="BB111" s="584"/>
      <c r="BC111" s="578"/>
      <c r="BK111" s="499"/>
      <c r="CL111" s="500" t="s">
        <v>857</v>
      </c>
    </row>
    <row r="112" spans="3:90" ht="12" customHeight="1">
      <c r="C112" s="497"/>
      <c r="D112" s="498"/>
      <c r="E112" s="498"/>
      <c r="F112" s="498"/>
      <c r="G112" s="498"/>
      <c r="H112" s="498"/>
      <c r="I112" s="498"/>
      <c r="J112" s="891"/>
      <c r="K112" s="891"/>
      <c r="L112" s="891"/>
      <c r="M112" s="891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  <c r="AD112" s="498"/>
      <c r="AE112" s="498"/>
      <c r="AF112" s="498"/>
      <c r="AG112" s="498"/>
      <c r="AH112" s="498"/>
      <c r="AN112" s="498"/>
      <c r="AO112" s="498"/>
      <c r="AP112" s="498"/>
      <c r="AQ112" s="498"/>
      <c r="AR112" s="498"/>
      <c r="AS112" s="498"/>
      <c r="AT112" s="498"/>
      <c r="AU112" s="498"/>
      <c r="AV112" s="498"/>
      <c r="AW112" s="498"/>
      <c r="AX112" s="498"/>
      <c r="AY112" s="498"/>
      <c r="AZ112" s="498"/>
      <c r="BA112" s="498"/>
      <c r="BI112" s="498"/>
      <c r="BK112" s="499"/>
    </row>
    <row r="113" spans="3:63" ht="12" customHeight="1">
      <c r="C113" s="497"/>
      <c r="D113" s="566" t="s">
        <v>858</v>
      </c>
      <c r="E113" s="515"/>
      <c r="F113" s="515"/>
      <c r="G113" s="515"/>
      <c r="H113" s="515"/>
      <c r="I113" s="515"/>
      <c r="BB113" s="498"/>
      <c r="BC113" s="498"/>
      <c r="BD113" s="498"/>
      <c r="BE113" s="498"/>
      <c r="BF113" s="498"/>
      <c r="BG113" s="498"/>
      <c r="BH113" s="498"/>
      <c r="BI113" s="498"/>
      <c r="BK113" s="499"/>
    </row>
    <row r="114" spans="3:63" ht="12" customHeight="1">
      <c r="C114" s="497"/>
      <c r="D114" s="540" t="s">
        <v>859</v>
      </c>
      <c r="E114" s="540"/>
      <c r="F114" s="540"/>
      <c r="G114" s="540"/>
      <c r="H114" s="540"/>
      <c r="I114" s="540"/>
      <c r="J114" s="511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4"/>
      <c r="AD114" s="540" t="s">
        <v>861</v>
      </c>
      <c r="AE114" s="540"/>
      <c r="AF114" s="540"/>
      <c r="AG114" s="540"/>
      <c r="AH114" s="540"/>
      <c r="AI114" s="540"/>
      <c r="AJ114" s="511"/>
      <c r="AK114" s="503"/>
      <c r="AL114" s="503"/>
      <c r="AM114" s="503"/>
      <c r="AN114" s="503"/>
      <c r="AO114" s="503"/>
      <c r="AP114" s="503"/>
      <c r="AQ114" s="503"/>
      <c r="AR114" s="503"/>
      <c r="AS114" s="503"/>
      <c r="AT114" s="503"/>
      <c r="AU114" s="503"/>
      <c r="AV114" s="503"/>
      <c r="AW114" s="503"/>
      <c r="AX114" s="503"/>
      <c r="AY114" s="503"/>
      <c r="AZ114" s="503"/>
      <c r="BA114" s="504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863</v>
      </c>
      <c r="E115" s="540"/>
      <c r="F115" s="540"/>
      <c r="G115" s="540"/>
      <c r="H115" s="540"/>
      <c r="I115" s="540"/>
      <c r="J115" s="511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03"/>
      <c r="AA115" s="504"/>
      <c r="AD115" s="540" t="s">
        <v>864</v>
      </c>
      <c r="AE115" s="540"/>
      <c r="AF115" s="540"/>
      <c r="AG115" s="540"/>
      <c r="AH115" s="540"/>
      <c r="AI115" s="540"/>
      <c r="AJ115" s="511"/>
      <c r="AK115" s="503"/>
      <c r="AL115" s="503"/>
      <c r="AM115" s="503"/>
      <c r="AN115" s="503"/>
      <c r="AO115" s="503"/>
      <c r="AP115" s="503"/>
      <c r="AQ115" s="503"/>
      <c r="AR115" s="503"/>
      <c r="AS115" s="503"/>
      <c r="AT115" s="503"/>
      <c r="AU115" s="503"/>
      <c r="AV115" s="503"/>
      <c r="AW115" s="503"/>
      <c r="AX115" s="503"/>
      <c r="AY115" s="503"/>
      <c r="AZ115" s="503"/>
      <c r="BA115" s="504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540" t="s">
        <v>865</v>
      </c>
      <c r="E116" s="540"/>
      <c r="F116" s="540"/>
      <c r="G116" s="540"/>
      <c r="H116" s="540"/>
      <c r="I116" s="540"/>
      <c r="J116" s="511"/>
      <c r="K116" s="503"/>
      <c r="L116" s="503"/>
      <c r="M116" s="503"/>
      <c r="N116" s="503"/>
      <c r="O116" s="503"/>
      <c r="P116" s="503"/>
      <c r="Q116" s="503"/>
      <c r="R116" s="503"/>
      <c r="S116" s="503"/>
      <c r="T116" s="503"/>
      <c r="U116" s="503"/>
      <c r="V116" s="503"/>
      <c r="W116" s="503"/>
      <c r="X116" s="503"/>
      <c r="Y116" s="503"/>
      <c r="Z116" s="503"/>
      <c r="AA116" s="504"/>
      <c r="AD116" s="540" t="s">
        <v>867</v>
      </c>
      <c r="AE116" s="540"/>
      <c r="AF116" s="540"/>
      <c r="AG116" s="540"/>
      <c r="AH116" s="540"/>
      <c r="AI116" s="540"/>
      <c r="AJ116" s="511"/>
      <c r="AK116" s="503"/>
      <c r="AL116" s="503"/>
      <c r="AM116" s="503"/>
      <c r="AN116" s="503"/>
      <c r="AO116" s="503"/>
      <c r="AP116" s="503"/>
      <c r="AQ116" s="503"/>
      <c r="AR116" s="503"/>
      <c r="AS116" s="503"/>
      <c r="AT116" s="503"/>
      <c r="AU116" s="503"/>
      <c r="AV116" s="503"/>
      <c r="AW116" s="503"/>
      <c r="AX116" s="503"/>
      <c r="AY116" s="503"/>
      <c r="AZ116" s="503"/>
      <c r="BA116" s="504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D117" s="540" t="s">
        <v>869</v>
      </c>
      <c r="E117" s="540"/>
      <c r="F117" s="540"/>
      <c r="G117" s="540"/>
      <c r="H117" s="540"/>
      <c r="I117" s="540"/>
      <c r="J117" s="511"/>
      <c r="K117" s="503"/>
      <c r="L117" s="503"/>
      <c r="M117" s="503"/>
      <c r="N117" s="503"/>
      <c r="O117" s="503"/>
      <c r="P117" s="503"/>
      <c r="Q117" s="503"/>
      <c r="R117" s="503"/>
      <c r="S117" s="503"/>
      <c r="T117" s="503"/>
      <c r="U117" s="503"/>
      <c r="V117" s="503"/>
      <c r="W117" s="503"/>
      <c r="X117" s="503"/>
      <c r="Y117" s="503"/>
      <c r="Z117" s="585"/>
      <c r="AA117" s="504"/>
      <c r="AD117" s="498"/>
      <c r="AE117" s="498"/>
      <c r="AF117" s="498"/>
      <c r="AG117" s="498"/>
      <c r="AH117" s="498"/>
      <c r="AI117" s="498"/>
      <c r="AJ117" s="586"/>
      <c r="AK117" s="586"/>
      <c r="AL117" s="586"/>
      <c r="AM117" s="586"/>
      <c r="AN117" s="586"/>
      <c r="AO117" s="586"/>
      <c r="AP117" s="586"/>
      <c r="AQ117" s="586"/>
      <c r="AR117" s="586"/>
      <c r="AS117" s="586"/>
      <c r="AT117" s="586"/>
      <c r="AU117" s="586"/>
      <c r="AV117" s="586"/>
      <c r="AW117" s="586"/>
      <c r="AX117" s="586"/>
      <c r="AY117" s="586"/>
      <c r="AZ117" s="587"/>
      <c r="BA117" s="586"/>
      <c r="BB117" s="498"/>
      <c r="BC117" s="498"/>
      <c r="BD117" s="498"/>
      <c r="BE117" s="498"/>
      <c r="BF117" s="498"/>
      <c r="BG117" s="498"/>
      <c r="BH117" s="498"/>
      <c r="BI117" s="498"/>
      <c r="BK117" s="499"/>
    </row>
    <row r="118" spans="3:63" ht="12" customHeight="1">
      <c r="C118" s="497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  <c r="AD118" s="498"/>
      <c r="AE118" s="498"/>
      <c r="AF118" s="498"/>
      <c r="AG118" s="498"/>
      <c r="AH118" s="498"/>
      <c r="AI118" s="498"/>
      <c r="AJ118" s="498"/>
      <c r="AK118" s="498"/>
      <c r="AL118" s="498"/>
      <c r="AM118" s="498"/>
      <c r="AN118" s="498"/>
      <c r="AO118" s="498"/>
      <c r="AP118" s="498"/>
      <c r="AQ118" s="498"/>
      <c r="AR118" s="498"/>
      <c r="AS118" s="498"/>
      <c r="AT118" s="498"/>
      <c r="AU118" s="498"/>
      <c r="AV118" s="498"/>
      <c r="AW118" s="498"/>
      <c r="AX118" s="498"/>
      <c r="AY118" s="498"/>
      <c r="AZ118" s="498"/>
      <c r="BA118" s="498"/>
      <c r="BB118" s="498"/>
      <c r="BC118" s="498"/>
      <c r="BD118" s="498"/>
      <c r="BE118" s="498"/>
      <c r="BF118" s="498"/>
      <c r="BG118" s="498"/>
      <c r="BH118" s="498"/>
      <c r="BI118" s="498"/>
      <c r="BK118" s="499"/>
    </row>
    <row r="119" spans="3:63" ht="12" customHeight="1">
      <c r="C119" s="497"/>
      <c r="BK119" s="499"/>
    </row>
    <row r="120" spans="3:63" ht="12" customHeight="1">
      <c r="C120" s="50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09"/>
    </row>
    <row r="121" spans="3:63" ht="12" customHeight="1" thickBot="1">
      <c r="C121" s="531"/>
      <c r="D121" s="532"/>
      <c r="E121" s="532"/>
      <c r="F121" s="532"/>
      <c r="G121" s="532"/>
      <c r="H121" s="532"/>
      <c r="I121" s="532"/>
      <c r="J121" s="532"/>
      <c r="K121" s="532"/>
      <c r="L121" s="532"/>
      <c r="M121" s="532"/>
      <c r="N121" s="532"/>
      <c r="O121" s="532"/>
      <c r="P121" s="532"/>
      <c r="Q121" s="533"/>
      <c r="R121" s="532"/>
      <c r="S121" s="532"/>
      <c r="T121" s="532"/>
      <c r="U121" s="532"/>
      <c r="V121" s="532"/>
      <c r="W121" s="532"/>
      <c r="X121" s="532"/>
      <c r="Y121" s="532"/>
      <c r="Z121" s="532"/>
      <c r="AA121" s="532"/>
      <c r="AB121" s="532"/>
      <c r="AC121" s="532"/>
      <c r="AD121" s="532"/>
      <c r="AE121" s="532"/>
      <c r="AF121" s="532"/>
      <c r="AG121" s="532"/>
      <c r="AH121" s="532"/>
      <c r="AI121" s="532"/>
      <c r="AJ121" s="532"/>
      <c r="AK121" s="532"/>
      <c r="AL121" s="532"/>
      <c r="AM121" s="532"/>
      <c r="AN121" s="532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4"/>
    </row>
    <row r="139" spans="2:63" ht="28.5">
      <c r="B139" s="488" t="s">
        <v>1153</v>
      </c>
    </row>
    <row r="140" spans="2:63" ht="12" customHeight="1">
      <c r="C140" s="489" t="s">
        <v>1151</v>
      </c>
    </row>
    <row r="141" spans="2:63" ht="12" customHeight="1" thickBot="1">
      <c r="C141" s="489" t="s">
        <v>781</v>
      </c>
    </row>
    <row r="142" spans="2:63" ht="12" customHeight="1">
      <c r="C142" s="535"/>
      <c r="D142" s="536" t="s">
        <v>783</v>
      </c>
      <c r="E142" s="537"/>
      <c r="F142" s="537"/>
      <c r="G142" s="537"/>
      <c r="H142" s="537"/>
      <c r="I142" s="537"/>
      <c r="J142" s="537"/>
      <c r="K142" s="537"/>
      <c r="L142" s="537"/>
      <c r="M142" s="537"/>
      <c r="N142" s="537"/>
      <c r="O142" s="537"/>
      <c r="P142" s="537"/>
      <c r="Q142" s="538"/>
      <c r="R142" s="537"/>
      <c r="S142" s="537"/>
      <c r="T142" s="537"/>
      <c r="U142" s="537"/>
      <c r="V142" s="537"/>
      <c r="W142" s="537"/>
      <c r="X142" s="537"/>
      <c r="Y142" s="537"/>
      <c r="Z142" s="537"/>
      <c r="AA142" s="537"/>
      <c r="AB142" s="537"/>
      <c r="AC142" s="537"/>
      <c r="AD142" s="537"/>
      <c r="AE142" s="537"/>
      <c r="AF142" s="537"/>
      <c r="AG142" s="537"/>
      <c r="AH142" s="537"/>
      <c r="AI142" s="537"/>
      <c r="AJ142" s="537"/>
      <c r="AK142" s="537"/>
      <c r="AL142" s="537"/>
      <c r="AM142" s="537"/>
      <c r="AN142" s="537"/>
      <c r="AO142" s="537"/>
      <c r="AP142" s="537"/>
      <c r="AQ142" s="537"/>
      <c r="AR142" s="537"/>
      <c r="AS142" s="537"/>
      <c r="AT142" s="537"/>
      <c r="AU142" s="537"/>
      <c r="AV142" s="537"/>
      <c r="AW142" s="537"/>
      <c r="AX142" s="537"/>
      <c r="AY142" s="537"/>
      <c r="AZ142" s="537"/>
      <c r="BA142" s="537"/>
      <c r="BB142" s="537"/>
      <c r="BC142" s="537"/>
      <c r="BD142" s="537"/>
      <c r="BE142" s="537"/>
      <c r="BF142" s="537"/>
      <c r="BG142" s="537"/>
      <c r="BH142" s="537"/>
      <c r="BI142" s="537"/>
      <c r="BJ142" s="537"/>
      <c r="BK142" s="493"/>
    </row>
    <row r="143" spans="2:63" ht="12" customHeight="1">
      <c r="C143" s="497"/>
      <c r="Q143" s="8"/>
      <c r="BK143" s="499"/>
    </row>
    <row r="144" spans="2:63" ht="12" customHeight="1">
      <c r="C144" s="539"/>
      <c r="D144" s="540" t="s">
        <v>245</v>
      </c>
      <c r="E144" s="540"/>
      <c r="F144" s="541"/>
      <c r="G144" s="540"/>
      <c r="H144" s="542" t="s">
        <v>761</v>
      </c>
      <c r="I144" s="543"/>
      <c r="J144" s="543"/>
      <c r="K144" s="543"/>
      <c r="L144" s="543"/>
      <c r="M144" s="544"/>
      <c r="N144" s="498"/>
      <c r="O144" s="540" t="s">
        <v>244</v>
      </c>
      <c r="P144" s="540"/>
      <c r="Q144" s="541"/>
      <c r="R144" s="540"/>
      <c r="S144" s="498"/>
      <c r="T144" s="542" t="s">
        <v>1203</v>
      </c>
      <c r="U144" s="543"/>
      <c r="V144" s="543"/>
      <c r="W144" s="543"/>
      <c r="X144" s="544"/>
      <c r="AA144" s="540" t="s">
        <v>784</v>
      </c>
      <c r="AB144" s="545"/>
      <c r="AC144" s="540"/>
      <c r="AE144" s="1163"/>
      <c r="AF144" s="1164"/>
      <c r="AG144" s="1165"/>
      <c r="AJ144" s="546" t="s">
        <v>732</v>
      </c>
      <c r="AK144" s="546"/>
      <c r="AL144" s="546"/>
      <c r="AM144" s="1166">
        <v>44627</v>
      </c>
      <c r="AN144" s="1167"/>
      <c r="AO144" s="1167"/>
      <c r="AP144" s="1167"/>
      <c r="AR144" s="1168">
        <v>0.5</v>
      </c>
      <c r="AS144" s="1169"/>
      <c r="AT144" s="1169"/>
      <c r="AU144" s="1170"/>
      <c r="AV144" s="512"/>
      <c r="BK144" s="499"/>
    </row>
    <row r="145" spans="3:63" ht="12" customHeight="1">
      <c r="C145" s="539"/>
      <c r="Q145" s="8"/>
      <c r="BK145" s="499"/>
    </row>
    <row r="146" spans="3:63" ht="12" customHeight="1">
      <c r="C146" s="539"/>
      <c r="D146" s="547" t="s">
        <v>785</v>
      </c>
      <c r="E146" s="540"/>
      <c r="F146" s="547"/>
      <c r="G146" s="540"/>
      <c r="H146" s="548" t="s">
        <v>786</v>
      </c>
      <c r="I146" s="482"/>
      <c r="J146" s="482"/>
      <c r="K146" s="483"/>
      <c r="O146" s="540" t="s">
        <v>235</v>
      </c>
      <c r="P146" s="547"/>
      <c r="Q146" s="540"/>
      <c r="R146" s="547"/>
      <c r="S146" s="540"/>
      <c r="T146" s="549" t="s">
        <v>1198</v>
      </c>
      <c r="U146" s="482"/>
      <c r="V146" s="482"/>
      <c r="W146" s="482"/>
      <c r="X146" s="482"/>
      <c r="Y146" s="483"/>
      <c r="AA146" s="540"/>
      <c r="AB146" s="540"/>
      <c r="AC146" s="541" t="s">
        <v>787</v>
      </c>
      <c r="AD146" s="540"/>
      <c r="AE146" s="540" t="s">
        <v>788</v>
      </c>
      <c r="AF146" s="809" t="s">
        <v>1204</v>
      </c>
      <c r="AG146" s="503"/>
      <c r="AH146" s="503"/>
      <c r="AI146" s="503"/>
      <c r="AJ146" s="504"/>
      <c r="AL146" s="540" t="s">
        <v>790</v>
      </c>
      <c r="AM146" s="548"/>
      <c r="AN146" s="482"/>
      <c r="AO146" s="482"/>
      <c r="AP146" s="482"/>
      <c r="AQ146" s="483"/>
      <c r="AS146" s="540" t="s">
        <v>791</v>
      </c>
      <c r="AT146" s="548"/>
      <c r="AU146" s="482"/>
      <c r="AV146" s="482"/>
      <c r="AW146" s="482"/>
      <c r="AX146" s="483"/>
      <c r="BK146" s="499"/>
    </row>
    <row r="147" spans="3:63" ht="12" customHeight="1">
      <c r="C147" s="539"/>
      <c r="D147" s="547" t="s">
        <v>715</v>
      </c>
      <c r="E147" s="540"/>
      <c r="F147" s="547"/>
      <c r="G147" s="540"/>
      <c r="H147" s="548"/>
      <c r="I147" s="482"/>
      <c r="J147" s="482"/>
      <c r="K147" s="482"/>
      <c r="L147" s="551"/>
      <c r="M147" s="483"/>
      <c r="N147" s="552"/>
      <c r="O147" s="553" t="s">
        <v>792</v>
      </c>
      <c r="P147" s="553"/>
      <c r="Q147" s="554"/>
      <c r="R147" s="553"/>
      <c r="S147" s="555"/>
      <c r="T147" s="542" t="s">
        <v>793</v>
      </c>
      <c r="U147" s="543"/>
      <c r="V147" s="543"/>
      <c r="W147" s="543"/>
      <c r="X147" s="544"/>
      <c r="BK147" s="499"/>
    </row>
    <row r="148" spans="3:63" ht="12" customHeight="1">
      <c r="C148" s="539"/>
      <c r="D148" s="547" t="s">
        <v>697</v>
      </c>
      <c r="E148" s="540"/>
      <c r="F148" s="547"/>
      <c r="G148" s="540"/>
      <c r="H148" s="548" t="s">
        <v>794</v>
      </c>
      <c r="I148" s="482"/>
      <c r="J148" s="482"/>
      <c r="K148" s="482"/>
      <c r="L148" s="482"/>
      <c r="M148" s="483"/>
      <c r="N148" s="556"/>
      <c r="O148" s="543" t="s">
        <v>762</v>
      </c>
      <c r="P148" s="543"/>
      <c r="Q148" s="543"/>
      <c r="R148" s="543"/>
      <c r="S148" s="543"/>
      <c r="T148" s="543"/>
      <c r="U148" s="543"/>
      <c r="V148" s="544"/>
      <c r="X148" s="540" t="s">
        <v>243</v>
      </c>
      <c r="Y148" s="540"/>
      <c r="Z148" s="540"/>
      <c r="AA148" s="540"/>
      <c r="AB148" s="1166">
        <v>44628</v>
      </c>
      <c r="AC148" s="1167"/>
      <c r="AD148" s="1167"/>
      <c r="AE148" s="1167"/>
      <c r="AF148" s="483"/>
      <c r="AK148" s="510"/>
      <c r="AM148" s="557"/>
      <c r="AN148" s="557"/>
      <c r="AO148" s="557"/>
      <c r="AP148" s="557"/>
      <c r="AQ148" s="557"/>
      <c r="AR148" s="557"/>
      <c r="AS148" s="557"/>
      <c r="AT148" s="557"/>
      <c r="AU148" s="557"/>
      <c r="BK148" s="499"/>
    </row>
    <row r="149" spans="3:63" ht="12" customHeight="1">
      <c r="C149" s="539"/>
      <c r="D149" s="558" t="s">
        <v>742</v>
      </c>
      <c r="E149" s="540"/>
      <c r="F149" s="547"/>
      <c r="G149" s="540"/>
      <c r="H149" s="506" t="s">
        <v>1205</v>
      </c>
      <c r="I149" s="503"/>
      <c r="J149" s="503"/>
      <c r="K149" s="503"/>
      <c r="L149" s="503"/>
      <c r="M149" s="504"/>
      <c r="O149" s="540" t="s">
        <v>796</v>
      </c>
      <c r="P149" s="540"/>
      <c r="Q149" s="540"/>
      <c r="R149" s="540"/>
      <c r="S149" s="506" t="s">
        <v>797</v>
      </c>
      <c r="T149" s="559"/>
      <c r="U149" s="559"/>
      <c r="V149" s="559"/>
      <c r="W149" s="559"/>
      <c r="X149" s="559"/>
      <c r="Y149" s="559"/>
      <c r="Z149" s="559"/>
      <c r="AA149" s="559"/>
      <c r="AB149" s="503"/>
      <c r="AC149" s="503"/>
      <c r="AD149" s="503"/>
      <c r="AE149" s="503"/>
      <c r="AF149" s="504"/>
      <c r="AI149" s="540" t="s">
        <v>798</v>
      </c>
      <c r="AJ149" s="540"/>
      <c r="AK149" s="540"/>
      <c r="AL149" s="540"/>
      <c r="AM149" s="506" t="s">
        <v>772</v>
      </c>
      <c r="AN149" s="559"/>
      <c r="AO149" s="559"/>
      <c r="AP149" s="559"/>
      <c r="AQ149" s="559"/>
      <c r="AR149" s="559"/>
      <c r="AS149" s="559"/>
      <c r="AT149" s="559"/>
      <c r="AU149" s="559"/>
      <c r="AV149" s="503"/>
      <c r="AW149" s="503"/>
      <c r="AX149" s="503"/>
      <c r="AY149" s="503"/>
      <c r="AZ149" s="504"/>
      <c r="BK149" s="499"/>
    </row>
    <row r="150" spans="3:63" ht="12" customHeight="1">
      <c r="C150" s="539"/>
      <c r="D150" s="547" t="s">
        <v>799</v>
      </c>
      <c r="E150" s="540"/>
      <c r="F150" s="547"/>
      <c r="G150" s="540"/>
      <c r="H150" s="542"/>
      <c r="I150" s="543"/>
      <c r="J150" s="543"/>
      <c r="K150" s="543"/>
      <c r="L150" s="543"/>
      <c r="M150" s="544"/>
      <c r="O150" s="540" t="s">
        <v>743</v>
      </c>
      <c r="P150" s="540"/>
      <c r="Q150" s="540"/>
      <c r="R150" s="540"/>
      <c r="S150" s="506" t="s">
        <v>800</v>
      </c>
      <c r="T150" s="559"/>
      <c r="U150" s="559"/>
      <c r="V150" s="559"/>
      <c r="W150" s="559"/>
      <c r="X150" s="559"/>
      <c r="Y150" s="559"/>
      <c r="Z150" s="559"/>
      <c r="AA150" s="559"/>
      <c r="AB150" s="503"/>
      <c r="AC150" s="503"/>
      <c r="AD150" s="503"/>
      <c r="AE150" s="503"/>
      <c r="AF150" s="504"/>
      <c r="AI150" s="540" t="s">
        <v>801</v>
      </c>
      <c r="AJ150" s="540"/>
      <c r="AK150" s="540"/>
      <c r="AL150" s="540"/>
      <c r="AM150" s="506" t="s">
        <v>772</v>
      </c>
      <c r="AN150" s="559"/>
      <c r="AO150" s="559"/>
      <c r="AP150" s="559"/>
      <c r="AQ150" s="559"/>
      <c r="AR150" s="559"/>
      <c r="AS150" s="559"/>
      <c r="AT150" s="559"/>
      <c r="AU150" s="559"/>
      <c r="AV150" s="503"/>
      <c r="AW150" s="503"/>
      <c r="AX150" s="503"/>
      <c r="AY150" s="503"/>
      <c r="AZ150" s="504"/>
      <c r="BK150" s="499"/>
    </row>
    <row r="151" spans="3:63" ht="12" customHeight="1">
      <c r="C151" s="539"/>
      <c r="D151" s="547" t="s">
        <v>802</v>
      </c>
      <c r="E151" s="540"/>
      <c r="F151" s="547"/>
      <c r="G151" s="540"/>
      <c r="H151" s="511" t="s">
        <v>763</v>
      </c>
      <c r="I151" s="503"/>
      <c r="J151" s="503"/>
      <c r="K151" s="503"/>
      <c r="L151" s="503"/>
      <c r="M151" s="504"/>
      <c r="O151" s="540" t="s">
        <v>803</v>
      </c>
      <c r="P151" s="540"/>
      <c r="Q151" s="540"/>
      <c r="R151" s="540"/>
      <c r="S151" s="506"/>
      <c r="T151" s="503"/>
      <c r="U151" s="503"/>
      <c r="V151" s="503"/>
      <c r="W151" s="503"/>
      <c r="X151" s="504"/>
      <c r="BK151" s="499"/>
    </row>
    <row r="152" spans="3:63" ht="12" customHeight="1">
      <c r="C152" s="539"/>
      <c r="D152" s="560" t="s">
        <v>804</v>
      </c>
      <c r="E152" s="540"/>
      <c r="F152" s="547"/>
      <c r="G152" s="540"/>
      <c r="H152" s="548"/>
      <c r="I152" s="482"/>
      <c r="J152" s="482"/>
      <c r="K152" s="482"/>
      <c r="L152" s="482"/>
      <c r="M152" s="483"/>
      <c r="O152" s="540" t="s">
        <v>805</v>
      </c>
      <c r="P152" s="540"/>
      <c r="Q152" s="545"/>
      <c r="R152" s="540"/>
      <c r="S152" s="548"/>
      <c r="T152" s="482"/>
      <c r="U152" s="482"/>
      <c r="V152" s="482"/>
      <c r="W152" s="482"/>
      <c r="X152" s="483"/>
      <c r="BK152" s="499"/>
    </row>
    <row r="153" spans="3:63" ht="12" customHeight="1">
      <c r="C153" s="539"/>
      <c r="BK153" s="499"/>
    </row>
    <row r="154" spans="3:63" ht="12" customHeight="1">
      <c r="C154" s="539"/>
      <c r="D154" s="540" t="s">
        <v>806</v>
      </c>
      <c r="E154" s="540"/>
      <c r="H154" s="547" t="s">
        <v>287</v>
      </c>
      <c r="I154" s="540"/>
      <c r="J154" s="540"/>
      <c r="K154" s="561"/>
      <c r="L154" s="562"/>
      <c r="M154" s="563"/>
      <c r="O154" s="540" t="s">
        <v>807</v>
      </c>
      <c r="P154" s="540"/>
      <c r="Q154" s="540"/>
      <c r="R154" s="540"/>
      <c r="S154" s="561"/>
      <c r="T154" s="562"/>
      <c r="U154" s="563"/>
      <c r="Z154" s="540" t="s">
        <v>808</v>
      </c>
      <c r="AA154" s="540"/>
      <c r="AB154" s="540"/>
      <c r="AC154" s="561"/>
      <c r="AD154" s="562"/>
      <c r="AE154" s="562"/>
      <c r="AF154" s="563"/>
      <c r="AI154" s="540"/>
      <c r="AJ154" s="540"/>
      <c r="AK154" s="540"/>
      <c r="AL154" s="540"/>
      <c r="AM154" s="541" t="s">
        <v>809</v>
      </c>
      <c r="AN154" s="561"/>
      <c r="AO154" s="562"/>
      <c r="AP154" s="562"/>
      <c r="AQ154" s="563"/>
      <c r="AR154" s="556"/>
      <c r="BK154" s="499"/>
    </row>
    <row r="155" spans="3:63" ht="12" customHeight="1">
      <c r="C155" s="539"/>
      <c r="BK155" s="499"/>
    </row>
    <row r="156" spans="3:63" ht="12" customHeight="1">
      <c r="C156" s="539"/>
      <c r="D156" s="540" t="s">
        <v>810</v>
      </c>
      <c r="E156" s="540"/>
      <c r="F156" s="540"/>
      <c r="G156" s="540"/>
      <c r="H156" s="1171" t="s">
        <v>811</v>
      </c>
      <c r="I156" s="1172"/>
      <c r="J156" s="1172"/>
      <c r="K156" s="1172"/>
      <c r="L156" s="563"/>
      <c r="BK156" s="499"/>
    </row>
    <row r="157" spans="3:63" ht="12" customHeight="1">
      <c r="C157" s="539"/>
      <c r="Q157" s="8"/>
      <c r="BK157" s="499"/>
    </row>
    <row r="158" spans="3:63" ht="12" customHeight="1">
      <c r="C158" s="497"/>
      <c r="D158" s="566" t="s">
        <v>812</v>
      </c>
      <c r="E158" s="515"/>
      <c r="F158" s="515"/>
      <c r="G158" s="515"/>
      <c r="H158" s="515"/>
      <c r="I158" s="515"/>
      <c r="Q158" s="8"/>
      <c r="BK158" s="499"/>
    </row>
    <row r="159" spans="3:63" ht="12" customHeight="1">
      <c r="C159" s="497"/>
      <c r="D159" s="540" t="s">
        <v>813</v>
      </c>
      <c r="E159" s="540"/>
      <c r="F159" s="540"/>
      <c r="G159" s="540"/>
      <c r="H159" s="540"/>
      <c r="I159" s="540"/>
      <c r="J159" s="972"/>
      <c r="K159" s="974"/>
      <c r="O159" s="540" t="s">
        <v>815</v>
      </c>
      <c r="P159" s="540"/>
      <c r="Q159" s="545"/>
      <c r="R159" s="540"/>
      <c r="S159" s="540"/>
      <c r="T159" s="540"/>
      <c r="U159" s="540"/>
      <c r="V159" s="540"/>
      <c r="W159" s="540"/>
      <c r="X159" s="540"/>
      <c r="Z159" s="540" t="s">
        <v>816</v>
      </c>
      <c r="AA159" s="540"/>
      <c r="AB159" s="540"/>
      <c r="AC159" s="540"/>
      <c r="AD159" s="540"/>
      <c r="AE159" s="540"/>
      <c r="AF159" s="540"/>
      <c r="AG159" s="540"/>
      <c r="AI159" s="540" t="s">
        <v>817</v>
      </c>
      <c r="AJ159" s="540"/>
      <c r="AK159" s="540"/>
      <c r="AL159" s="540"/>
      <c r="AM159" s="540"/>
      <c r="AN159" s="540"/>
      <c r="AO159" s="540"/>
      <c r="AP159" s="540"/>
      <c r="AQ159" s="540"/>
      <c r="AR159" s="540"/>
      <c r="AT159" s="540" t="s">
        <v>818</v>
      </c>
      <c r="AU159" s="540"/>
      <c r="AV159" s="540"/>
      <c r="AW159" s="540"/>
      <c r="AX159" s="540"/>
      <c r="AY159" s="540"/>
      <c r="AZ159" s="540"/>
      <c r="BA159" s="540"/>
      <c r="BB159" s="540"/>
      <c r="BC159" s="540"/>
      <c r="BK159" s="499"/>
    </row>
    <row r="160" spans="3:63" ht="12" customHeight="1">
      <c r="C160" s="497"/>
      <c r="D160" s="540"/>
      <c r="E160" s="540"/>
      <c r="F160" s="540" t="s">
        <v>819</v>
      </c>
      <c r="G160" s="540"/>
      <c r="H160" s="540"/>
      <c r="I160" s="540"/>
      <c r="J160" s="1160"/>
      <c r="K160" s="1161"/>
      <c r="L160" s="1150"/>
      <c r="M160" s="1162"/>
      <c r="N160" s="556"/>
      <c r="O160" s="543"/>
      <c r="P160" s="543"/>
      <c r="Q160" s="543"/>
      <c r="R160" s="543"/>
      <c r="S160" s="543"/>
      <c r="T160" s="543"/>
      <c r="U160" s="543"/>
      <c r="V160" s="543"/>
      <c r="W160" s="543"/>
      <c r="X160" s="544"/>
      <c r="Y160" s="498"/>
      <c r="Z160" s="1151"/>
      <c r="AA160" s="1152"/>
      <c r="AB160" s="1152"/>
      <c r="AC160" s="1153"/>
      <c r="AD160" s="556"/>
      <c r="AE160" s="543"/>
      <c r="AF160" s="543"/>
      <c r="AG160" s="544"/>
      <c r="AH160" s="498"/>
      <c r="AI160" s="1151"/>
      <c r="AJ160" s="1150"/>
      <c r="AK160" s="1150"/>
      <c r="AL160" s="1162"/>
      <c r="AM160" s="556"/>
      <c r="AN160" s="543"/>
      <c r="AO160" s="543"/>
      <c r="AP160" s="543"/>
      <c r="AQ160" s="543"/>
      <c r="AR160" s="544"/>
      <c r="AS160" s="498"/>
      <c r="AT160" s="1151"/>
      <c r="AU160" s="1150"/>
      <c r="AV160" s="1150"/>
      <c r="AW160" s="1162"/>
      <c r="AX160" s="556"/>
      <c r="AY160" s="543"/>
      <c r="AZ160" s="543"/>
      <c r="BA160" s="543"/>
      <c r="BB160" s="543"/>
      <c r="BC160" s="544"/>
      <c r="BK160" s="499"/>
    </row>
    <row r="161" spans="3:90" ht="12" customHeight="1">
      <c r="C161" s="497"/>
      <c r="D161" s="540"/>
      <c r="E161" s="540"/>
      <c r="F161" s="540" t="s">
        <v>824</v>
      </c>
      <c r="G161" s="540"/>
      <c r="H161" s="540"/>
      <c r="I161" s="540"/>
      <c r="J161" s="1149"/>
      <c r="K161" s="1150"/>
      <c r="L161" s="1150"/>
      <c r="M161" s="1162"/>
      <c r="N161" s="556"/>
      <c r="O161" s="543"/>
      <c r="P161" s="543"/>
      <c r="Q161" s="543"/>
      <c r="R161" s="543"/>
      <c r="S161" s="543"/>
      <c r="T161" s="543"/>
      <c r="U161" s="543"/>
      <c r="V161" s="543"/>
      <c r="W161" s="543"/>
      <c r="X161" s="544"/>
      <c r="Y161" s="498"/>
      <c r="Z161" s="1151"/>
      <c r="AA161" s="1152"/>
      <c r="AB161" s="1152"/>
      <c r="AC161" s="1153"/>
      <c r="AD161" s="556"/>
      <c r="AE161" s="543"/>
      <c r="AF161" s="543"/>
      <c r="AG161" s="544"/>
      <c r="AH161" s="498"/>
      <c r="AI161" s="1151"/>
      <c r="AJ161" s="1150"/>
      <c r="AK161" s="1150"/>
      <c r="AL161" s="1162"/>
      <c r="AM161" s="556"/>
      <c r="AN161" s="543"/>
      <c r="AO161" s="543"/>
      <c r="AP161" s="543"/>
      <c r="AQ161" s="543"/>
      <c r="AR161" s="544"/>
      <c r="AS161" s="498"/>
      <c r="AT161" s="1151"/>
      <c r="AU161" s="1150"/>
      <c r="AV161" s="1150"/>
      <c r="AW161" s="1162"/>
      <c r="AX161" s="556"/>
      <c r="AY161" s="543"/>
      <c r="AZ161" s="543"/>
      <c r="BA161" s="543"/>
      <c r="BB161" s="543"/>
      <c r="BC161" s="544"/>
      <c r="BK161" s="499"/>
    </row>
    <row r="162" spans="3:90" ht="12" customHeight="1">
      <c r="C162" s="497"/>
      <c r="D162" s="540"/>
      <c r="E162" s="540"/>
      <c r="F162" s="540" t="s">
        <v>827</v>
      </c>
      <c r="G162" s="540"/>
      <c r="H162" s="540"/>
      <c r="I162" s="540"/>
      <c r="J162" s="1149"/>
      <c r="K162" s="1150"/>
      <c r="L162" s="1150"/>
      <c r="M162" s="1150"/>
      <c r="N162" s="556"/>
      <c r="O162" s="543"/>
      <c r="P162" s="543"/>
      <c r="Q162" s="543"/>
      <c r="R162" s="543"/>
      <c r="S162" s="543"/>
      <c r="T162" s="543"/>
      <c r="U162" s="543"/>
      <c r="V162" s="543"/>
      <c r="W162" s="543"/>
      <c r="X162" s="544"/>
      <c r="Y162" s="498"/>
      <c r="Z162" s="1151"/>
      <c r="AA162" s="1152"/>
      <c r="AB162" s="1152"/>
      <c r="AC162" s="1153"/>
      <c r="AD162" s="556"/>
      <c r="AE162" s="543"/>
      <c r="AF162" s="543"/>
      <c r="AG162" s="544"/>
      <c r="AH162" s="498"/>
      <c r="AI162" s="1151"/>
      <c r="AJ162" s="1150"/>
      <c r="AK162" s="1150"/>
      <c r="AL162" s="1150"/>
      <c r="AM162" s="556"/>
      <c r="AN162" s="543"/>
      <c r="AO162" s="543"/>
      <c r="AP162" s="543"/>
      <c r="AQ162" s="543"/>
      <c r="AR162" s="544"/>
      <c r="AS162" s="498"/>
      <c r="AT162" s="1151"/>
      <c r="AU162" s="1150"/>
      <c r="AV162" s="1150"/>
      <c r="AW162" s="1150"/>
      <c r="AX162" s="556"/>
      <c r="AY162" s="543"/>
      <c r="AZ162" s="543"/>
      <c r="BA162" s="543"/>
      <c r="BB162" s="543"/>
      <c r="BC162" s="544"/>
      <c r="BK162" s="499"/>
    </row>
    <row r="163" spans="3:90" ht="12" customHeight="1">
      <c r="C163" s="497"/>
      <c r="D163" s="540" t="s">
        <v>831</v>
      </c>
      <c r="E163" s="540"/>
      <c r="F163" s="540"/>
      <c r="G163" s="540"/>
      <c r="H163" s="540"/>
      <c r="I163" s="540"/>
      <c r="J163" s="549"/>
      <c r="K163" s="543"/>
      <c r="L163" s="543"/>
      <c r="M163" s="543"/>
      <c r="N163" s="544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V163" s="567"/>
      <c r="AW163" s="567"/>
      <c r="AX163" s="567"/>
      <c r="AY163" s="567"/>
      <c r="AZ163" s="567"/>
      <c r="BK163" s="499"/>
    </row>
    <row r="164" spans="3:90" ht="12" customHeight="1">
      <c r="C164" s="497"/>
      <c r="D164" s="540" t="s">
        <v>832</v>
      </c>
      <c r="E164" s="540"/>
      <c r="F164" s="540"/>
      <c r="G164" s="540"/>
      <c r="H164" s="540"/>
      <c r="I164" s="540"/>
      <c r="J164" s="1143"/>
      <c r="K164" s="1144"/>
      <c r="L164" s="1144"/>
      <c r="M164" s="1145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  <c r="AA164" s="498"/>
      <c r="AB164" s="498"/>
      <c r="AC164" s="498"/>
      <c r="AD164" s="498"/>
      <c r="AE164" s="498"/>
      <c r="AF164" s="498"/>
      <c r="AG164" s="498"/>
      <c r="AH164" s="498"/>
      <c r="AI164" s="498"/>
      <c r="AJ164" s="498"/>
      <c r="AK164" s="498"/>
      <c r="AL164" s="498"/>
      <c r="AM164" s="498"/>
      <c r="AN164" s="498"/>
      <c r="AO164" s="498"/>
      <c r="AP164" s="498"/>
      <c r="AQ164" s="498"/>
      <c r="AR164" s="498"/>
      <c r="AS164" s="498"/>
      <c r="AT164" s="498"/>
      <c r="AU164" s="498"/>
      <c r="AV164" s="498"/>
      <c r="AW164" s="498"/>
      <c r="AX164" s="498"/>
      <c r="AY164" s="498"/>
      <c r="AZ164" s="498"/>
      <c r="BA164" s="498"/>
      <c r="BB164" s="498"/>
      <c r="BC164" s="498"/>
      <c r="BD164" s="498"/>
      <c r="BE164" s="498"/>
      <c r="BF164" s="498"/>
      <c r="BG164" s="498"/>
      <c r="BK164" s="499"/>
    </row>
    <row r="165" spans="3:90" ht="12" customHeight="1">
      <c r="C165" s="497"/>
      <c r="D165" s="540" t="s">
        <v>834</v>
      </c>
      <c r="E165" s="540"/>
      <c r="F165" s="540"/>
      <c r="G165" s="540"/>
      <c r="H165" s="540"/>
      <c r="I165" s="540"/>
      <c r="J165" s="498" t="s">
        <v>835</v>
      </c>
      <c r="K165" s="498"/>
      <c r="L165" s="1154"/>
      <c r="M165" s="1155"/>
      <c r="N165" s="1156"/>
      <c r="O165" s="498"/>
      <c r="P165" s="498" t="s">
        <v>836</v>
      </c>
      <c r="Q165" s="498"/>
      <c r="R165" s="1154"/>
      <c r="S165" s="1155"/>
      <c r="T165" s="1156"/>
      <c r="U165" s="498"/>
      <c r="V165" s="498" t="s">
        <v>837</v>
      </c>
      <c r="W165" s="498"/>
      <c r="X165" s="498"/>
      <c r="Y165" s="498"/>
      <c r="Z165" s="498" t="s">
        <v>838</v>
      </c>
      <c r="AA165" s="498"/>
      <c r="AB165" s="1157"/>
      <c r="AC165" s="1158"/>
      <c r="AD165" s="1159"/>
      <c r="AE165" s="498"/>
      <c r="AF165" s="498" t="s">
        <v>839</v>
      </c>
      <c r="AG165" s="498"/>
      <c r="AH165" s="1154"/>
      <c r="AI165" s="1155"/>
      <c r="AJ165" s="1156"/>
      <c r="AK165" s="498"/>
      <c r="AL165" s="498"/>
      <c r="AM165" s="498"/>
      <c r="AN165" s="498"/>
      <c r="AO165" s="498"/>
      <c r="AP165" s="498"/>
      <c r="AQ165" s="498"/>
      <c r="AR165" s="498"/>
      <c r="AS165" s="498"/>
      <c r="AT165" s="498"/>
      <c r="AU165" s="498"/>
      <c r="AV165" s="498"/>
      <c r="AW165" s="498"/>
      <c r="AX165" s="498"/>
      <c r="AY165" s="498"/>
      <c r="AZ165" s="498"/>
      <c r="BA165" s="498"/>
      <c r="BB165" s="498"/>
      <c r="BC165" s="498"/>
      <c r="BD165" s="498"/>
      <c r="BE165" s="498"/>
      <c r="BF165" s="498"/>
      <c r="BG165" s="498"/>
      <c r="BK165" s="499"/>
    </row>
    <row r="166" spans="3:90" ht="12" customHeight="1">
      <c r="C166" s="497"/>
      <c r="D166" s="540" t="s">
        <v>840</v>
      </c>
      <c r="E166" s="540"/>
      <c r="F166" s="540"/>
      <c r="G166" s="540"/>
      <c r="H166" s="540"/>
      <c r="I166" s="540"/>
      <c r="J166" s="498" t="s">
        <v>835</v>
      </c>
      <c r="K166" s="498"/>
      <c r="L166" s="573"/>
      <c r="M166" s="543"/>
      <c r="N166" s="544"/>
      <c r="O166" s="498"/>
      <c r="P166" s="498" t="s">
        <v>836</v>
      </c>
      <c r="Q166" s="498"/>
      <c r="R166" s="1140"/>
      <c r="S166" s="1141"/>
      <c r="T166" s="1142"/>
      <c r="U166" s="498" t="s">
        <v>842</v>
      </c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  <c r="AM166" s="498"/>
      <c r="AN166" s="498"/>
      <c r="AO166" s="498"/>
      <c r="AP166" s="498"/>
      <c r="AQ166" s="498"/>
      <c r="AR166" s="498"/>
      <c r="AS166" s="498"/>
      <c r="AT166" s="498"/>
      <c r="AU166" s="498"/>
      <c r="AV166" s="498"/>
      <c r="AW166" s="498"/>
      <c r="AX166" s="498"/>
      <c r="AY166" s="498"/>
      <c r="AZ166" s="498"/>
      <c r="BA166" s="498"/>
      <c r="BB166" s="498"/>
      <c r="BC166" s="498"/>
      <c r="BD166" s="498"/>
      <c r="BE166" s="498"/>
      <c r="BF166" s="498"/>
      <c r="BG166" s="498"/>
      <c r="BK166" s="499"/>
    </row>
    <row r="167" spans="3:90" ht="12" customHeight="1">
      <c r="C167" s="497"/>
      <c r="D167" s="540" t="s">
        <v>843</v>
      </c>
      <c r="E167" s="540"/>
      <c r="F167" s="540"/>
      <c r="G167" s="540"/>
      <c r="H167" s="540"/>
      <c r="I167" s="540"/>
      <c r="J167" s="498" t="s">
        <v>835</v>
      </c>
      <c r="K167" s="498"/>
      <c r="L167" s="573"/>
      <c r="M167" s="543"/>
      <c r="N167" s="544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  <c r="AM167" s="498"/>
      <c r="AN167" s="498"/>
      <c r="AO167" s="498"/>
      <c r="AP167" s="498"/>
      <c r="AQ167" s="498"/>
      <c r="AR167" s="498"/>
      <c r="AS167" s="498"/>
      <c r="AT167" s="498"/>
      <c r="AU167" s="498"/>
      <c r="AV167" s="498"/>
      <c r="AW167" s="498"/>
      <c r="AX167" s="498"/>
      <c r="AY167" s="498"/>
      <c r="AZ167" s="498"/>
      <c r="BA167" s="498"/>
      <c r="BB167" s="498"/>
      <c r="BC167" s="498"/>
      <c r="BD167" s="498"/>
      <c r="BE167" s="498"/>
      <c r="BF167" s="498"/>
      <c r="BG167" s="498"/>
      <c r="BK167" s="499"/>
    </row>
    <row r="168" spans="3:90" ht="12" customHeight="1">
      <c r="C168" s="497"/>
      <c r="D168" s="540" t="s">
        <v>844</v>
      </c>
      <c r="E168" s="540"/>
      <c r="F168" s="540"/>
      <c r="G168" s="540"/>
      <c r="H168" s="540"/>
      <c r="I168" s="540"/>
      <c r="J168" s="1143"/>
      <c r="K168" s="1144"/>
      <c r="L168" s="1144"/>
      <c r="M168" s="1144"/>
      <c r="N168" s="1145"/>
      <c r="O168" s="498"/>
      <c r="P168" s="498"/>
      <c r="Q168" s="647"/>
      <c r="R168" s="498"/>
      <c r="S168" s="498"/>
      <c r="T168" s="498"/>
      <c r="U168" s="498"/>
      <c r="V168" s="498"/>
      <c r="W168" s="498"/>
      <c r="X168" s="498"/>
      <c r="Y168" s="498"/>
      <c r="Z168" s="498"/>
      <c r="AA168" s="498"/>
      <c r="AB168" s="498"/>
      <c r="AC168" s="498"/>
      <c r="AD168" s="498"/>
      <c r="AE168" s="498"/>
      <c r="AF168" s="498"/>
      <c r="AG168" s="498"/>
      <c r="AH168" s="498"/>
      <c r="AI168" s="498"/>
      <c r="AJ168" s="498"/>
      <c r="AK168" s="498"/>
      <c r="AL168" s="498"/>
      <c r="AM168" s="498"/>
      <c r="AN168" s="498"/>
      <c r="AO168" s="498"/>
      <c r="AP168" s="498"/>
      <c r="AQ168" s="498"/>
      <c r="AR168" s="498"/>
      <c r="AS168" s="498"/>
      <c r="AT168" s="498"/>
      <c r="AU168" s="498"/>
      <c r="AV168" s="498"/>
      <c r="AW168" s="498"/>
      <c r="AX168" s="498"/>
      <c r="AY168" s="498"/>
      <c r="AZ168" s="498"/>
      <c r="BA168" s="498"/>
      <c r="BB168" s="498"/>
      <c r="BC168" s="498"/>
      <c r="BD168" s="498"/>
      <c r="BE168" s="498"/>
      <c r="BF168" s="498"/>
      <c r="BG168" s="498"/>
      <c r="BK168" s="499"/>
    </row>
    <row r="169" spans="3:90" ht="12" customHeight="1">
      <c r="C169" s="497"/>
      <c r="D169" s="540" t="s">
        <v>722</v>
      </c>
      <c r="E169" s="540"/>
      <c r="F169" s="540"/>
      <c r="G169" s="540"/>
      <c r="H169" s="540"/>
      <c r="I169" s="540"/>
      <c r="J169" s="1146">
        <v>1</v>
      </c>
      <c r="K169" s="1147"/>
      <c r="L169" s="1147"/>
      <c r="M169" s="1147"/>
      <c r="N169" s="1148"/>
      <c r="P169" s="540" t="s">
        <v>845</v>
      </c>
      <c r="Q169" s="540"/>
      <c r="R169" s="540"/>
      <c r="S169" s="540"/>
      <c r="T169" s="564"/>
      <c r="U169" s="565"/>
      <c r="V169" s="565"/>
      <c r="W169" s="565" t="s">
        <v>773</v>
      </c>
      <c r="X169" s="574"/>
      <c r="Z169" s="540" t="s">
        <v>847</v>
      </c>
      <c r="AA169" s="540"/>
      <c r="AB169" s="540"/>
      <c r="AC169" s="540"/>
      <c r="AD169" s="1314">
        <v>50000</v>
      </c>
      <c r="AE169" s="1315"/>
      <c r="AF169" s="1315"/>
      <c r="AG169" s="1316"/>
      <c r="AH169" s="575"/>
      <c r="AI169" s="540" t="s">
        <v>848</v>
      </c>
      <c r="AJ169" s="540"/>
      <c r="AK169" s="540"/>
      <c r="AL169" s="540"/>
      <c r="AM169" s="564"/>
      <c r="AN169" s="565"/>
      <c r="AO169" s="565"/>
      <c r="AP169" s="565"/>
      <c r="AQ169" s="748"/>
      <c r="AT169" s="540" t="s">
        <v>849</v>
      </c>
      <c r="AU169" s="540"/>
      <c r="AV169" s="540"/>
      <c r="AW169" s="540"/>
      <c r="AX169" s="540"/>
      <c r="AY169" s="583"/>
      <c r="AZ169" s="584"/>
      <c r="BA169" s="584"/>
      <c r="BB169" s="584" t="s">
        <v>773</v>
      </c>
      <c r="BC169" s="578"/>
      <c r="BE169" s="8" t="s">
        <v>850</v>
      </c>
      <c r="BF169" s="10"/>
      <c r="BH169" s="10"/>
      <c r="BK169" s="499"/>
    </row>
    <row r="170" spans="3:90" ht="12" customHeight="1">
      <c r="C170" s="497"/>
      <c r="D170" s="498"/>
      <c r="E170" s="498"/>
      <c r="F170" s="498"/>
      <c r="G170" s="498"/>
      <c r="H170" s="498"/>
      <c r="I170" s="498"/>
      <c r="J170" s="891"/>
      <c r="K170" s="891"/>
      <c r="L170" s="891"/>
      <c r="M170" s="891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  <c r="AA170" s="498"/>
      <c r="AB170" s="498"/>
      <c r="AC170" s="498"/>
      <c r="AD170" s="498"/>
      <c r="AE170" s="498"/>
      <c r="AF170" s="498"/>
      <c r="AG170" s="498"/>
      <c r="AH170" s="498"/>
      <c r="AN170" s="498"/>
      <c r="AO170" s="498"/>
      <c r="AP170" s="498"/>
      <c r="AQ170" s="498"/>
      <c r="AR170" s="498"/>
      <c r="AS170" s="498"/>
      <c r="AT170" s="498"/>
      <c r="AU170" s="498"/>
      <c r="AV170" s="498"/>
      <c r="AW170" s="498"/>
      <c r="AX170" s="498"/>
      <c r="AY170" s="498"/>
      <c r="AZ170" s="498"/>
      <c r="BA170" s="498"/>
      <c r="BI170" s="498"/>
      <c r="BK170" s="499"/>
    </row>
    <row r="171" spans="3:90" ht="12" customHeight="1">
      <c r="C171" s="497"/>
      <c r="D171" s="566" t="s">
        <v>851</v>
      </c>
      <c r="E171" s="515"/>
      <c r="F171" s="515"/>
      <c r="G171" s="515"/>
      <c r="H171" s="515"/>
      <c r="I171" s="515"/>
      <c r="Q171" s="8"/>
      <c r="BF171" s="10"/>
      <c r="BH171" s="10"/>
      <c r="BK171" s="499"/>
    </row>
    <row r="172" spans="3:90" ht="12" customHeight="1">
      <c r="C172" s="497"/>
      <c r="D172" s="540" t="s">
        <v>852</v>
      </c>
      <c r="E172" s="540"/>
      <c r="F172" s="540"/>
      <c r="G172" s="540"/>
      <c r="H172" s="540"/>
      <c r="I172" s="540"/>
      <c r="J172" s="580"/>
      <c r="K172" s="562"/>
      <c r="L172" s="562"/>
      <c r="M172" s="562"/>
      <c r="N172" s="562"/>
      <c r="O172" s="542"/>
      <c r="P172" s="543"/>
      <c r="Q172" s="543"/>
      <c r="R172" s="543"/>
      <c r="S172" s="543"/>
      <c r="T172" s="543"/>
      <c r="U172" s="543"/>
      <c r="V172" s="569"/>
      <c r="W172" s="569"/>
      <c r="X172" s="569"/>
      <c r="Y172" s="575"/>
      <c r="Z172" s="540" t="s">
        <v>854</v>
      </c>
      <c r="AA172" s="540"/>
      <c r="AB172" s="540"/>
      <c r="AC172" s="540"/>
      <c r="AD172" s="581"/>
      <c r="AE172" s="581"/>
      <c r="AF172" s="581"/>
      <c r="AG172" s="574"/>
      <c r="AH172" s="498"/>
      <c r="AI172" s="540" t="s">
        <v>855</v>
      </c>
      <c r="AJ172" s="540"/>
      <c r="AK172" s="540"/>
      <c r="AL172" s="540"/>
      <c r="AM172" s="564"/>
      <c r="AN172" s="565"/>
      <c r="AO172" s="565"/>
      <c r="AP172" s="565"/>
      <c r="AQ172" s="748"/>
      <c r="AT172" s="540" t="s">
        <v>849</v>
      </c>
      <c r="AU172" s="540"/>
      <c r="AV172" s="540"/>
      <c r="AW172" s="540"/>
      <c r="AX172" s="540"/>
      <c r="AY172" s="583"/>
      <c r="AZ172" s="584"/>
      <c r="BA172" s="584"/>
      <c r="BB172" s="584"/>
      <c r="BC172" s="578"/>
      <c r="BK172" s="499"/>
      <c r="CL172" s="500" t="s">
        <v>857</v>
      </c>
    </row>
    <row r="173" spans="3:90" ht="12" customHeight="1">
      <c r="C173" s="497"/>
      <c r="D173" s="498"/>
      <c r="E173" s="498"/>
      <c r="F173" s="498"/>
      <c r="G173" s="498"/>
      <c r="H173" s="498"/>
      <c r="I173" s="498"/>
      <c r="J173" s="891"/>
      <c r="K173" s="891"/>
      <c r="L173" s="891"/>
      <c r="M173" s="891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  <c r="AA173" s="498"/>
      <c r="AB173" s="498"/>
      <c r="AC173" s="498"/>
      <c r="AD173" s="498"/>
      <c r="AE173" s="498"/>
      <c r="AF173" s="498"/>
      <c r="AG173" s="498"/>
      <c r="AH173" s="498"/>
      <c r="AN173" s="498"/>
      <c r="AO173" s="498"/>
      <c r="AP173" s="498"/>
      <c r="AQ173" s="498"/>
      <c r="AR173" s="498"/>
      <c r="AS173" s="498"/>
      <c r="AT173" s="498"/>
      <c r="AU173" s="498"/>
      <c r="AV173" s="498"/>
      <c r="AW173" s="498"/>
      <c r="AX173" s="498"/>
      <c r="AY173" s="498"/>
      <c r="AZ173" s="498"/>
      <c r="BA173" s="498"/>
      <c r="BI173" s="498"/>
      <c r="BK173" s="499"/>
    </row>
    <row r="174" spans="3:90" ht="12" customHeight="1">
      <c r="C174" s="497"/>
      <c r="D174" s="566" t="s">
        <v>858</v>
      </c>
      <c r="E174" s="515"/>
      <c r="F174" s="515"/>
      <c r="G174" s="515"/>
      <c r="H174" s="515"/>
      <c r="I174" s="515"/>
      <c r="BB174" s="498"/>
      <c r="BC174" s="498"/>
      <c r="BD174" s="498"/>
      <c r="BE174" s="498"/>
      <c r="BF174" s="498"/>
      <c r="BG174" s="498"/>
      <c r="BH174" s="498"/>
      <c r="BI174" s="498"/>
      <c r="BK174" s="499"/>
    </row>
    <row r="175" spans="3:90" ht="12" customHeight="1">
      <c r="C175" s="497"/>
      <c r="D175" s="540" t="s">
        <v>859</v>
      </c>
      <c r="E175" s="540"/>
      <c r="F175" s="540"/>
      <c r="G175" s="540"/>
      <c r="H175" s="540"/>
      <c r="I175" s="540"/>
      <c r="J175" s="511"/>
      <c r="K175" s="503"/>
      <c r="L175" s="503"/>
      <c r="M175" s="503"/>
      <c r="N175" s="503"/>
      <c r="O175" s="503"/>
      <c r="P175" s="503"/>
      <c r="Q175" s="503"/>
      <c r="R175" s="503"/>
      <c r="S175" s="503"/>
      <c r="T175" s="503"/>
      <c r="U175" s="503"/>
      <c r="V175" s="503"/>
      <c r="W175" s="503"/>
      <c r="X175" s="503"/>
      <c r="Y175" s="503"/>
      <c r="Z175" s="503"/>
      <c r="AA175" s="504"/>
      <c r="AD175" s="540" t="s">
        <v>861</v>
      </c>
      <c r="AE175" s="540"/>
      <c r="AF175" s="540"/>
      <c r="AG175" s="540"/>
      <c r="AH175" s="540"/>
      <c r="AI175" s="540"/>
      <c r="AJ175" s="511"/>
      <c r="AK175" s="503"/>
      <c r="AL175" s="503"/>
      <c r="AM175" s="503"/>
      <c r="AN175" s="503"/>
      <c r="AO175" s="503"/>
      <c r="AP175" s="503"/>
      <c r="AQ175" s="503"/>
      <c r="AR175" s="503"/>
      <c r="AS175" s="503"/>
      <c r="AT175" s="503"/>
      <c r="AU175" s="503"/>
      <c r="AV175" s="503"/>
      <c r="AW175" s="503"/>
      <c r="AX175" s="503"/>
      <c r="AY175" s="503"/>
      <c r="AZ175" s="503"/>
      <c r="BA175" s="504"/>
      <c r="BB175" s="498"/>
      <c r="BC175" s="498"/>
      <c r="BD175" s="498"/>
      <c r="BE175" s="498"/>
      <c r="BF175" s="498"/>
      <c r="BG175" s="498"/>
      <c r="BH175" s="498"/>
      <c r="BI175" s="498"/>
      <c r="BK175" s="499"/>
    </row>
    <row r="176" spans="3:90" ht="12" customHeight="1">
      <c r="C176" s="497"/>
      <c r="D176" s="540" t="s">
        <v>863</v>
      </c>
      <c r="E176" s="540"/>
      <c r="F176" s="540"/>
      <c r="G176" s="540"/>
      <c r="H176" s="540"/>
      <c r="I176" s="540"/>
      <c r="J176" s="511"/>
      <c r="K176" s="503"/>
      <c r="L176" s="503"/>
      <c r="M176" s="503"/>
      <c r="N176" s="503"/>
      <c r="O176" s="503"/>
      <c r="P176" s="503"/>
      <c r="Q176" s="503"/>
      <c r="R176" s="503"/>
      <c r="S176" s="503"/>
      <c r="T176" s="503"/>
      <c r="U176" s="503"/>
      <c r="V176" s="503"/>
      <c r="W176" s="503"/>
      <c r="X176" s="503"/>
      <c r="Y176" s="503"/>
      <c r="Z176" s="503"/>
      <c r="AA176" s="504"/>
      <c r="AD176" s="540" t="s">
        <v>864</v>
      </c>
      <c r="AE176" s="540"/>
      <c r="AF176" s="540"/>
      <c r="AG176" s="540"/>
      <c r="AH176" s="540"/>
      <c r="AI176" s="540"/>
      <c r="AJ176" s="511"/>
      <c r="AK176" s="503"/>
      <c r="AL176" s="503"/>
      <c r="AM176" s="503"/>
      <c r="AN176" s="503"/>
      <c r="AO176" s="503"/>
      <c r="AP176" s="503"/>
      <c r="AQ176" s="503"/>
      <c r="AR176" s="503"/>
      <c r="AS176" s="503"/>
      <c r="AT176" s="503"/>
      <c r="AU176" s="503"/>
      <c r="AV176" s="503"/>
      <c r="AW176" s="503"/>
      <c r="AX176" s="503"/>
      <c r="AY176" s="503"/>
      <c r="AZ176" s="503"/>
      <c r="BA176" s="504"/>
      <c r="BB176" s="498"/>
      <c r="BC176" s="498"/>
      <c r="BD176" s="498"/>
      <c r="BE176" s="498"/>
      <c r="BF176" s="498"/>
      <c r="BG176" s="498"/>
      <c r="BH176" s="498"/>
      <c r="BI176" s="498"/>
      <c r="BK176" s="499"/>
    </row>
    <row r="177" spans="3:63" ht="12" customHeight="1">
      <c r="C177" s="497"/>
      <c r="D177" s="540" t="s">
        <v>865</v>
      </c>
      <c r="E177" s="540"/>
      <c r="F177" s="540"/>
      <c r="G177" s="540"/>
      <c r="H177" s="540"/>
      <c r="I177" s="540"/>
      <c r="J177" s="511"/>
      <c r="K177" s="503"/>
      <c r="L177" s="503"/>
      <c r="M177" s="503"/>
      <c r="N177" s="503"/>
      <c r="O177" s="503"/>
      <c r="P177" s="503"/>
      <c r="Q177" s="503"/>
      <c r="R177" s="503"/>
      <c r="S177" s="503"/>
      <c r="T177" s="503"/>
      <c r="U177" s="503"/>
      <c r="V177" s="503"/>
      <c r="W177" s="503"/>
      <c r="X177" s="503"/>
      <c r="Y177" s="503"/>
      <c r="Z177" s="503"/>
      <c r="AA177" s="504"/>
      <c r="AD177" s="540" t="s">
        <v>867</v>
      </c>
      <c r="AE177" s="540"/>
      <c r="AF177" s="540"/>
      <c r="AG177" s="540"/>
      <c r="AH177" s="540"/>
      <c r="AI177" s="540"/>
      <c r="AJ177" s="511"/>
      <c r="AK177" s="503"/>
      <c r="AL177" s="503"/>
      <c r="AM177" s="503"/>
      <c r="AN177" s="503"/>
      <c r="AO177" s="503"/>
      <c r="AP177" s="503"/>
      <c r="AQ177" s="503"/>
      <c r="AR177" s="503"/>
      <c r="AS177" s="503"/>
      <c r="AT177" s="503"/>
      <c r="AU177" s="503"/>
      <c r="AV177" s="503"/>
      <c r="AW177" s="503"/>
      <c r="AX177" s="503"/>
      <c r="AY177" s="503"/>
      <c r="AZ177" s="503"/>
      <c r="BA177" s="504"/>
      <c r="BB177" s="498"/>
      <c r="BC177" s="498"/>
      <c r="BD177" s="498"/>
      <c r="BE177" s="498"/>
      <c r="BF177" s="498"/>
      <c r="BG177" s="498"/>
      <c r="BH177" s="498"/>
      <c r="BI177" s="498"/>
      <c r="BK177" s="499"/>
    </row>
    <row r="178" spans="3:63" ht="12" customHeight="1">
      <c r="C178" s="497"/>
      <c r="D178" s="540" t="s">
        <v>869</v>
      </c>
      <c r="E178" s="540"/>
      <c r="F178" s="540"/>
      <c r="G178" s="540"/>
      <c r="H178" s="540"/>
      <c r="I178" s="540"/>
      <c r="J178" s="511"/>
      <c r="K178" s="503"/>
      <c r="L178" s="503"/>
      <c r="M178" s="503"/>
      <c r="N178" s="503"/>
      <c r="O178" s="503"/>
      <c r="P178" s="503"/>
      <c r="Q178" s="503"/>
      <c r="R178" s="503"/>
      <c r="S178" s="503"/>
      <c r="T178" s="503"/>
      <c r="U178" s="503"/>
      <c r="V178" s="503"/>
      <c r="W178" s="503"/>
      <c r="X178" s="503"/>
      <c r="Y178" s="503"/>
      <c r="Z178" s="585" t="s">
        <v>870</v>
      </c>
      <c r="AA178" s="504"/>
      <c r="AD178" s="498"/>
      <c r="AE178" s="498"/>
      <c r="AF178" s="498"/>
      <c r="AG178" s="498"/>
      <c r="AH178" s="498"/>
      <c r="AI178" s="498"/>
      <c r="AJ178" s="586"/>
      <c r="AK178" s="586"/>
      <c r="AL178" s="586"/>
      <c r="AM178" s="586"/>
      <c r="AN178" s="586"/>
      <c r="AO178" s="586"/>
      <c r="AP178" s="586"/>
      <c r="AQ178" s="586"/>
      <c r="AR178" s="586"/>
      <c r="AS178" s="586"/>
      <c r="AT178" s="586"/>
      <c r="AU178" s="586"/>
      <c r="AV178" s="586"/>
      <c r="AW178" s="586"/>
      <c r="AX178" s="586"/>
      <c r="AY178" s="586"/>
      <c r="AZ178" s="587"/>
      <c r="BA178" s="586"/>
      <c r="BB178" s="498"/>
      <c r="BC178" s="498"/>
      <c r="BD178" s="498"/>
      <c r="BE178" s="498"/>
      <c r="BF178" s="498"/>
      <c r="BG178" s="498"/>
      <c r="BH178" s="498"/>
      <c r="BI178" s="498"/>
      <c r="BK178" s="499"/>
    </row>
    <row r="179" spans="3:63" ht="12" customHeight="1">
      <c r="C179" s="497"/>
      <c r="D179" s="498"/>
      <c r="E179" s="498"/>
      <c r="F179" s="498"/>
      <c r="G179" s="498"/>
      <c r="H179" s="498"/>
      <c r="I179" s="498"/>
      <c r="J179" s="498"/>
      <c r="K179" s="498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  <c r="AA179" s="498"/>
      <c r="AB179" s="498"/>
      <c r="AC179" s="498"/>
      <c r="AD179" s="498"/>
      <c r="AE179" s="498"/>
      <c r="AF179" s="498"/>
      <c r="AG179" s="498"/>
      <c r="AH179" s="498"/>
      <c r="AI179" s="498"/>
      <c r="AJ179" s="498"/>
      <c r="AK179" s="498"/>
      <c r="AL179" s="498"/>
      <c r="AM179" s="498"/>
      <c r="AN179" s="498"/>
      <c r="AO179" s="498"/>
      <c r="AP179" s="498"/>
      <c r="AQ179" s="498"/>
      <c r="AR179" s="498"/>
      <c r="AS179" s="498"/>
      <c r="AT179" s="498"/>
      <c r="AU179" s="498"/>
      <c r="AV179" s="498"/>
      <c r="AW179" s="498"/>
      <c r="AX179" s="498"/>
      <c r="AY179" s="498"/>
      <c r="AZ179" s="498"/>
      <c r="BA179" s="498"/>
      <c r="BB179" s="498"/>
      <c r="BC179" s="498"/>
      <c r="BD179" s="498"/>
      <c r="BE179" s="498"/>
      <c r="BF179" s="498"/>
      <c r="BG179" s="498"/>
      <c r="BH179" s="498"/>
      <c r="BI179" s="498"/>
      <c r="BK179" s="499"/>
    </row>
    <row r="180" spans="3:63" ht="12" customHeight="1">
      <c r="C180" s="497"/>
      <c r="BK180" s="499"/>
    </row>
    <row r="181" spans="3:63" ht="12" customHeight="1">
      <c r="C181" s="50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09"/>
    </row>
    <row r="182" spans="3:63" ht="12" customHeight="1" thickBot="1">
      <c r="C182" s="531"/>
      <c r="D182" s="532"/>
      <c r="E182" s="532"/>
      <c r="F182" s="532"/>
      <c r="G182" s="532"/>
      <c r="H182" s="532"/>
      <c r="I182" s="532"/>
      <c r="J182" s="532"/>
      <c r="K182" s="532"/>
      <c r="L182" s="532"/>
      <c r="M182" s="532"/>
      <c r="N182" s="532"/>
      <c r="O182" s="532"/>
      <c r="P182" s="532"/>
      <c r="Q182" s="533"/>
      <c r="R182" s="532"/>
      <c r="S182" s="532"/>
      <c r="T182" s="532"/>
      <c r="U182" s="532"/>
      <c r="V182" s="532"/>
      <c r="W182" s="532"/>
      <c r="X182" s="532"/>
      <c r="Y182" s="532"/>
      <c r="Z182" s="532"/>
      <c r="AA182" s="532"/>
      <c r="AB182" s="532"/>
      <c r="AC182" s="532"/>
      <c r="AD182" s="532"/>
      <c r="AE182" s="532"/>
      <c r="AF182" s="532"/>
      <c r="AG182" s="532"/>
      <c r="AH182" s="532"/>
      <c r="AI182" s="532"/>
      <c r="AJ182" s="532"/>
      <c r="AK182" s="532"/>
      <c r="AL182" s="532"/>
      <c r="AM182" s="532"/>
      <c r="AN182" s="532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  <c r="BC182" s="532"/>
      <c r="BD182" s="532"/>
      <c r="BE182" s="532"/>
      <c r="BF182" s="532"/>
      <c r="BG182" s="532"/>
      <c r="BH182" s="532"/>
      <c r="BI182" s="532"/>
      <c r="BJ182" s="532"/>
      <c r="BK182" s="534"/>
    </row>
  </sheetData>
  <mergeCells count="269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C38:EE38"/>
    <mergeCell ref="EF38:EH38"/>
    <mergeCell ref="EI38:EK38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EI39:EK39"/>
    <mergeCell ref="EL39:EN39"/>
    <mergeCell ref="EO39:EQ39"/>
    <mergeCell ref="ER39:ET39"/>
    <mergeCell ref="DK39:DM39"/>
    <mergeCell ref="DN39:DP39"/>
    <mergeCell ref="DQ39:DS39"/>
    <mergeCell ref="DT39:DV39"/>
    <mergeCell ref="DW39:DY39"/>
    <mergeCell ref="DZ39:EB39"/>
    <mergeCell ref="DH40:DJ40"/>
    <mergeCell ref="CA40:CC40"/>
    <mergeCell ref="CD40:CF40"/>
    <mergeCell ref="CG40:CI40"/>
    <mergeCell ref="CJ40:CL40"/>
    <mergeCell ref="CM40:CO40"/>
    <mergeCell ref="CP40:CR40"/>
    <mergeCell ref="EC39:EE39"/>
    <mergeCell ref="EF39:EH39"/>
    <mergeCell ref="CS39:CU39"/>
    <mergeCell ref="CV39:CX39"/>
    <mergeCell ref="CY39:DA39"/>
    <mergeCell ref="DB39:DD39"/>
    <mergeCell ref="DE39:DG39"/>
    <mergeCell ref="DH39:DJ39"/>
    <mergeCell ref="CA39:CC39"/>
    <mergeCell ref="CD39:CF39"/>
    <mergeCell ref="CG39:CI39"/>
    <mergeCell ref="CJ39:CL39"/>
    <mergeCell ref="CM39:CO39"/>
    <mergeCell ref="CP39:CR39"/>
    <mergeCell ref="BZ41:DP42"/>
    <mergeCell ref="EL41:EN41"/>
    <mergeCell ref="EO41:EQ41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H95:K95"/>
    <mergeCell ref="J98:K98"/>
    <mergeCell ref="J99:M99"/>
    <mergeCell ref="Z99:AC99"/>
    <mergeCell ref="AI99:AL99"/>
    <mergeCell ref="AT99:AW99"/>
    <mergeCell ref="AC64:AF64"/>
    <mergeCell ref="AH64:AK64"/>
    <mergeCell ref="AE83:AG83"/>
    <mergeCell ref="AM83:AP83"/>
    <mergeCell ref="AR83:AU83"/>
    <mergeCell ref="AB87:AE87"/>
    <mergeCell ref="AH104:AJ104"/>
    <mergeCell ref="R105:T105"/>
    <mergeCell ref="J100:M100"/>
    <mergeCell ref="Z100:AC100"/>
    <mergeCell ref="AI100:AL100"/>
    <mergeCell ref="AT100:AW100"/>
    <mergeCell ref="J101:M101"/>
    <mergeCell ref="Z101:AC101"/>
    <mergeCell ref="AI101:AL101"/>
    <mergeCell ref="AT101:AW101"/>
    <mergeCell ref="J107:N107"/>
    <mergeCell ref="J108:N108"/>
    <mergeCell ref="AF108:AG108"/>
    <mergeCell ref="J109:M109"/>
    <mergeCell ref="J112:M112"/>
    <mergeCell ref="AE144:AG144"/>
    <mergeCell ref="J103:M103"/>
    <mergeCell ref="L104:N104"/>
    <mergeCell ref="R104:T104"/>
    <mergeCell ref="AB104:AD104"/>
    <mergeCell ref="AM144:AP144"/>
    <mergeCell ref="AR144:AU144"/>
    <mergeCell ref="AB148:AE148"/>
    <mergeCell ref="H156:K156"/>
    <mergeCell ref="J159:K159"/>
    <mergeCell ref="J160:M160"/>
    <mergeCell ref="Z160:AC160"/>
    <mergeCell ref="AI160:AL160"/>
    <mergeCell ref="AT160:AW160"/>
    <mergeCell ref="AH165:AJ165"/>
    <mergeCell ref="R166:T166"/>
    <mergeCell ref="J161:M161"/>
    <mergeCell ref="Z161:AC161"/>
    <mergeCell ref="AI161:AL161"/>
    <mergeCell ref="AT161:AW161"/>
    <mergeCell ref="J162:M162"/>
    <mergeCell ref="Z162:AC162"/>
    <mergeCell ref="AI162:AL162"/>
    <mergeCell ref="AT162:AW162"/>
    <mergeCell ref="J168:N168"/>
    <mergeCell ref="J169:N169"/>
    <mergeCell ref="AD169:AG169"/>
    <mergeCell ref="J170:M170"/>
    <mergeCell ref="J173:M173"/>
    <mergeCell ref="J164:M164"/>
    <mergeCell ref="L165:N165"/>
    <mergeCell ref="R165:T165"/>
    <mergeCell ref="AB165:AD165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3" manualBreakCount="3">
    <brk id="50" max="87" man="1"/>
    <brk id="74" max="87" man="1"/>
    <brk id="137" max="87" man="1"/>
  </rowBreak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7837-9E58-4645-9781-274773F310AB}">
  <sheetPr>
    <tabColor theme="9" tint="-0.249977111117893"/>
    <pageSetUpPr fitToPage="1"/>
  </sheetPr>
  <dimension ref="A2:HY182"/>
  <sheetViews>
    <sheetView showGridLines="0" showZeros="0" view="pageBreakPreview" topLeftCell="A106" zoomScaleNormal="100" zoomScaleSheetLayoutView="100" workbookViewId="0">
      <selection activeCell="BO166" sqref="BO166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1206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1190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1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8" spans="2:76" ht="28.5">
      <c r="B78" s="488" t="s">
        <v>779</v>
      </c>
    </row>
    <row r="79" spans="2:76" ht="12" customHeight="1">
      <c r="C79" s="489" t="s">
        <v>1151</v>
      </c>
    </row>
    <row r="80" spans="2:76" ht="12" customHeight="1" thickBot="1">
      <c r="C80" s="489" t="s">
        <v>781</v>
      </c>
    </row>
    <row r="81" spans="3:63" ht="12" customHeight="1">
      <c r="C81" s="535"/>
      <c r="D81" s="536" t="s">
        <v>783</v>
      </c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8"/>
      <c r="R81" s="537"/>
      <c r="S81" s="537"/>
      <c r="T81" s="537"/>
      <c r="U81" s="537"/>
      <c r="V81" s="537"/>
      <c r="W81" s="537"/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7"/>
      <c r="AK81" s="537"/>
      <c r="AL81" s="537"/>
      <c r="AM81" s="537"/>
      <c r="AN81" s="537"/>
      <c r="AO81" s="537"/>
      <c r="AP81" s="537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493"/>
    </row>
    <row r="82" spans="3:63" ht="12" customHeight="1">
      <c r="C82" s="497"/>
      <c r="Q82" s="8"/>
      <c r="BK82" s="499"/>
    </row>
    <row r="83" spans="3:63" ht="12" customHeight="1">
      <c r="C83" s="539"/>
      <c r="D83" s="540" t="s">
        <v>245</v>
      </c>
      <c r="E83" s="540"/>
      <c r="F83" s="541"/>
      <c r="G83" s="540"/>
      <c r="H83" s="542" t="s">
        <v>761</v>
      </c>
      <c r="I83" s="543"/>
      <c r="J83" s="543"/>
      <c r="K83" s="543"/>
      <c r="L83" s="543"/>
      <c r="M83" s="544"/>
      <c r="N83" s="498"/>
      <c r="O83" s="540" t="s">
        <v>244</v>
      </c>
      <c r="P83" s="540"/>
      <c r="Q83" s="541"/>
      <c r="R83" s="540"/>
      <c r="S83" s="498"/>
      <c r="T83" s="542" t="s">
        <v>774</v>
      </c>
      <c r="U83" s="543"/>
      <c r="V83" s="543"/>
      <c r="W83" s="543"/>
      <c r="X83" s="544"/>
      <c r="AA83" s="540" t="s">
        <v>784</v>
      </c>
      <c r="AB83" s="545"/>
      <c r="AC83" s="540"/>
      <c r="AE83" s="1163"/>
      <c r="AF83" s="1164"/>
      <c r="AG83" s="1165"/>
      <c r="AJ83" s="546" t="s">
        <v>732</v>
      </c>
      <c r="AK83" s="546"/>
      <c r="AL83" s="546"/>
      <c r="AM83" s="1166">
        <v>44627</v>
      </c>
      <c r="AN83" s="1167"/>
      <c r="AO83" s="1167"/>
      <c r="AP83" s="1167"/>
      <c r="AR83" s="1168">
        <v>0.5</v>
      </c>
      <c r="AS83" s="1169"/>
      <c r="AT83" s="1169"/>
      <c r="AU83" s="1170"/>
      <c r="AV83" s="512"/>
      <c r="BK83" s="499"/>
    </row>
    <row r="84" spans="3:63" ht="12" customHeight="1">
      <c r="C84" s="539"/>
      <c r="Q84" s="8"/>
      <c r="BK84" s="499"/>
    </row>
    <row r="85" spans="3:63" ht="12" customHeight="1">
      <c r="C85" s="539"/>
      <c r="D85" s="547" t="s">
        <v>785</v>
      </c>
      <c r="E85" s="540"/>
      <c r="F85" s="547"/>
      <c r="G85" s="540"/>
      <c r="H85" s="548" t="s">
        <v>786</v>
      </c>
      <c r="I85" s="482"/>
      <c r="J85" s="482"/>
      <c r="K85" s="483"/>
      <c r="O85" s="540" t="s">
        <v>235</v>
      </c>
      <c r="P85" s="547"/>
      <c r="Q85" s="540"/>
      <c r="R85" s="547"/>
      <c r="S85" s="540"/>
      <c r="T85" s="549" t="s">
        <v>1190</v>
      </c>
      <c r="U85" s="482"/>
      <c r="V85" s="482"/>
      <c r="W85" s="482"/>
      <c r="X85" s="482"/>
      <c r="Y85" s="483"/>
      <c r="AA85" s="540"/>
      <c r="AB85" s="540"/>
      <c r="AC85" s="541" t="s">
        <v>787</v>
      </c>
      <c r="AD85" s="540"/>
      <c r="AE85" s="540" t="s">
        <v>788</v>
      </c>
      <c r="AF85" s="550"/>
      <c r="AG85" s="482"/>
      <c r="AH85" s="482"/>
      <c r="AI85" s="482"/>
      <c r="AJ85" s="483"/>
      <c r="AL85" s="540" t="s">
        <v>790</v>
      </c>
      <c r="AM85" s="548"/>
      <c r="AN85" s="482"/>
      <c r="AO85" s="482"/>
      <c r="AP85" s="482"/>
      <c r="AQ85" s="483"/>
      <c r="AS85" s="540" t="s">
        <v>791</v>
      </c>
      <c r="AT85" s="548"/>
      <c r="AU85" s="482"/>
      <c r="AV85" s="482"/>
      <c r="AW85" s="482"/>
      <c r="AX85" s="483"/>
      <c r="BK85" s="499"/>
    </row>
    <row r="86" spans="3:63" ht="12" customHeight="1">
      <c r="C86" s="539"/>
      <c r="D86" s="547" t="s">
        <v>715</v>
      </c>
      <c r="E86" s="540"/>
      <c r="F86" s="547"/>
      <c r="G86" s="540"/>
      <c r="H86" s="548"/>
      <c r="I86" s="482"/>
      <c r="J86" s="482"/>
      <c r="K86" s="482"/>
      <c r="L86" s="551"/>
      <c r="M86" s="483"/>
      <c r="N86" s="552"/>
      <c r="O86" s="553" t="s">
        <v>792</v>
      </c>
      <c r="P86" s="553"/>
      <c r="Q86" s="554"/>
      <c r="R86" s="553"/>
      <c r="S86" s="555"/>
      <c r="T86" s="542" t="s">
        <v>793</v>
      </c>
      <c r="U86" s="543"/>
      <c r="V86" s="543"/>
      <c r="W86" s="543"/>
      <c r="X86" s="544"/>
      <c r="BK86" s="499"/>
    </row>
    <row r="87" spans="3:63" ht="12" customHeight="1">
      <c r="C87" s="539"/>
      <c r="D87" s="547" t="s">
        <v>697</v>
      </c>
      <c r="E87" s="540"/>
      <c r="F87" s="547"/>
      <c r="G87" s="540"/>
      <c r="H87" s="548" t="s">
        <v>794</v>
      </c>
      <c r="I87" s="482"/>
      <c r="J87" s="482"/>
      <c r="K87" s="482"/>
      <c r="L87" s="482"/>
      <c r="M87" s="483"/>
      <c r="N87" s="556"/>
      <c r="O87" s="543" t="s">
        <v>762</v>
      </c>
      <c r="P87" s="543"/>
      <c r="Q87" s="543"/>
      <c r="R87" s="543"/>
      <c r="S87" s="543"/>
      <c r="T87" s="543"/>
      <c r="U87" s="543"/>
      <c r="V87" s="544"/>
      <c r="X87" s="540" t="s">
        <v>243</v>
      </c>
      <c r="Y87" s="540"/>
      <c r="Z87" s="540"/>
      <c r="AA87" s="540"/>
      <c r="AB87" s="1166">
        <v>44628</v>
      </c>
      <c r="AC87" s="1167"/>
      <c r="AD87" s="1167"/>
      <c r="AE87" s="1167"/>
      <c r="AF87" s="483"/>
      <c r="AK87" s="510"/>
      <c r="AM87" s="557"/>
      <c r="AN87" s="557"/>
      <c r="AO87" s="557"/>
      <c r="AP87" s="557"/>
      <c r="AQ87" s="557"/>
      <c r="AR87" s="557"/>
      <c r="AS87" s="557"/>
      <c r="AT87" s="557"/>
      <c r="AU87" s="557"/>
      <c r="BK87" s="499"/>
    </row>
    <row r="88" spans="3:63" ht="12" customHeight="1">
      <c r="C88" s="539"/>
      <c r="D88" s="558" t="s">
        <v>742</v>
      </c>
      <c r="E88" s="540"/>
      <c r="F88" s="547"/>
      <c r="G88" s="540"/>
      <c r="H88" s="548" t="s">
        <v>761</v>
      </c>
      <c r="I88" s="482"/>
      <c r="J88" s="482"/>
      <c r="K88" s="482"/>
      <c r="L88" s="482"/>
      <c r="M88" s="483"/>
      <c r="O88" s="540" t="s">
        <v>796</v>
      </c>
      <c r="P88" s="540"/>
      <c r="Q88" s="540"/>
      <c r="R88" s="540"/>
      <c r="S88" s="506"/>
      <c r="T88" s="559"/>
      <c r="U88" s="559"/>
      <c r="V88" s="559"/>
      <c r="W88" s="559"/>
      <c r="X88" s="559"/>
      <c r="Y88" s="559"/>
      <c r="Z88" s="559"/>
      <c r="AA88" s="559"/>
      <c r="AB88" s="503"/>
      <c r="AC88" s="503"/>
      <c r="AD88" s="503"/>
      <c r="AE88" s="503"/>
      <c r="AF88" s="504"/>
      <c r="AI88" s="540" t="s">
        <v>798</v>
      </c>
      <c r="AJ88" s="540"/>
      <c r="AK88" s="540"/>
      <c r="AL88" s="540"/>
      <c r="AM88" s="506"/>
      <c r="AN88" s="559"/>
      <c r="AO88" s="559"/>
      <c r="AP88" s="559"/>
      <c r="AQ88" s="559"/>
      <c r="AR88" s="559"/>
      <c r="AS88" s="559"/>
      <c r="AT88" s="559"/>
      <c r="AU88" s="559"/>
      <c r="AV88" s="503"/>
      <c r="AW88" s="503"/>
      <c r="AX88" s="503"/>
      <c r="AY88" s="503"/>
      <c r="AZ88" s="504"/>
      <c r="BK88" s="499"/>
    </row>
    <row r="89" spans="3:63" ht="12" customHeight="1">
      <c r="C89" s="539"/>
      <c r="D89" s="547" t="s">
        <v>799</v>
      </c>
      <c r="E89" s="540"/>
      <c r="F89" s="547"/>
      <c r="G89" s="540"/>
      <c r="H89" s="548"/>
      <c r="I89" s="482"/>
      <c r="J89" s="482"/>
      <c r="K89" s="482"/>
      <c r="L89" s="482"/>
      <c r="M89" s="483"/>
      <c r="O89" s="540" t="s">
        <v>743</v>
      </c>
      <c r="P89" s="540"/>
      <c r="Q89" s="540"/>
      <c r="R89" s="540"/>
      <c r="S89" s="506"/>
      <c r="T89" s="559"/>
      <c r="U89" s="559"/>
      <c r="V89" s="559"/>
      <c r="W89" s="559"/>
      <c r="X89" s="559"/>
      <c r="Y89" s="559"/>
      <c r="Z89" s="559"/>
      <c r="AA89" s="559"/>
      <c r="AB89" s="503"/>
      <c r="AC89" s="503"/>
      <c r="AD89" s="503"/>
      <c r="AE89" s="503"/>
      <c r="AF89" s="504"/>
      <c r="AI89" s="540" t="s">
        <v>801</v>
      </c>
      <c r="AJ89" s="540"/>
      <c r="AK89" s="540"/>
      <c r="AL89" s="540"/>
      <c r="AM89" s="506"/>
      <c r="AN89" s="559"/>
      <c r="AO89" s="559"/>
      <c r="AP89" s="559"/>
      <c r="AQ89" s="559"/>
      <c r="AR89" s="559"/>
      <c r="AS89" s="559"/>
      <c r="AT89" s="559"/>
      <c r="AU89" s="559"/>
      <c r="AV89" s="503"/>
      <c r="AW89" s="503"/>
      <c r="AX89" s="503"/>
      <c r="AY89" s="503"/>
      <c r="AZ89" s="504"/>
      <c r="BK89" s="499"/>
    </row>
    <row r="90" spans="3:63" ht="12" customHeight="1">
      <c r="C90" s="539"/>
      <c r="D90" s="547" t="s">
        <v>802</v>
      </c>
      <c r="E90" s="540"/>
      <c r="F90" s="547"/>
      <c r="G90" s="540"/>
      <c r="H90" s="511" t="s">
        <v>763</v>
      </c>
      <c r="I90" s="503"/>
      <c r="J90" s="503"/>
      <c r="K90" s="503"/>
      <c r="L90" s="503"/>
      <c r="M90" s="504"/>
      <c r="O90" s="540" t="s">
        <v>803</v>
      </c>
      <c r="P90" s="540"/>
      <c r="Q90" s="540"/>
      <c r="R90" s="540"/>
      <c r="S90" s="506"/>
      <c r="T90" s="503"/>
      <c r="U90" s="503"/>
      <c r="V90" s="503"/>
      <c r="W90" s="503"/>
      <c r="X90" s="504"/>
      <c r="BK90" s="499"/>
    </row>
    <row r="91" spans="3:63" ht="12" customHeight="1">
      <c r="C91" s="539"/>
      <c r="D91" s="560" t="s">
        <v>804</v>
      </c>
      <c r="E91" s="540"/>
      <c r="F91" s="547"/>
      <c r="G91" s="540"/>
      <c r="H91" s="548"/>
      <c r="I91" s="482"/>
      <c r="J91" s="482"/>
      <c r="K91" s="482"/>
      <c r="L91" s="482"/>
      <c r="M91" s="483"/>
      <c r="O91" s="540" t="s">
        <v>805</v>
      </c>
      <c r="P91" s="540"/>
      <c r="Q91" s="545"/>
      <c r="R91" s="540"/>
      <c r="S91" s="548"/>
      <c r="T91" s="482"/>
      <c r="U91" s="482"/>
      <c r="V91" s="482"/>
      <c r="W91" s="482"/>
      <c r="X91" s="483"/>
      <c r="BK91" s="499"/>
    </row>
    <row r="92" spans="3:63" ht="12" customHeight="1">
      <c r="C92" s="539"/>
      <c r="BK92" s="499"/>
    </row>
    <row r="93" spans="3:63" ht="12" customHeight="1">
      <c r="C93" s="539"/>
      <c r="D93" s="540" t="s">
        <v>806</v>
      </c>
      <c r="E93" s="540"/>
      <c r="H93" s="547" t="s">
        <v>287</v>
      </c>
      <c r="I93" s="540"/>
      <c r="J93" s="540"/>
      <c r="K93" s="561"/>
      <c r="L93" s="562"/>
      <c r="M93" s="563"/>
      <c r="O93" s="540" t="s">
        <v>807</v>
      </c>
      <c r="P93" s="540"/>
      <c r="Q93" s="540"/>
      <c r="R93" s="540"/>
      <c r="S93" s="561"/>
      <c r="T93" s="562"/>
      <c r="U93" s="563"/>
      <c r="Z93" s="540" t="s">
        <v>808</v>
      </c>
      <c r="AA93" s="540"/>
      <c r="AB93" s="540"/>
      <c r="AC93" s="561"/>
      <c r="AD93" s="562"/>
      <c r="AE93" s="562"/>
      <c r="AF93" s="563"/>
      <c r="AI93" s="540"/>
      <c r="AJ93" s="540"/>
      <c r="AK93" s="540"/>
      <c r="AL93" s="540"/>
      <c r="AM93" s="541" t="s">
        <v>809</v>
      </c>
      <c r="AN93" s="561"/>
      <c r="AO93" s="562"/>
      <c r="AP93" s="562"/>
      <c r="AQ93" s="563"/>
      <c r="AR93" s="556"/>
      <c r="BK93" s="499"/>
    </row>
    <row r="94" spans="3:63" ht="12" customHeight="1">
      <c r="C94" s="539"/>
      <c r="BK94" s="499"/>
    </row>
    <row r="95" spans="3:63" ht="12" customHeight="1">
      <c r="C95" s="539"/>
      <c r="D95" s="540" t="s">
        <v>810</v>
      </c>
      <c r="E95" s="540"/>
      <c r="F95" s="540"/>
      <c r="G95" s="540"/>
      <c r="H95" s="1171" t="s">
        <v>811</v>
      </c>
      <c r="I95" s="1172"/>
      <c r="J95" s="1172"/>
      <c r="K95" s="1172"/>
      <c r="L95" s="563"/>
      <c r="BK95" s="499"/>
    </row>
    <row r="96" spans="3:63" ht="12" customHeight="1">
      <c r="C96" s="539"/>
      <c r="Q96" s="8"/>
      <c r="BK96" s="499"/>
    </row>
    <row r="97" spans="3:90" ht="12" customHeight="1">
      <c r="C97" s="497"/>
      <c r="D97" s="566" t="s">
        <v>812</v>
      </c>
      <c r="E97" s="515"/>
      <c r="F97" s="515"/>
      <c r="G97" s="515"/>
      <c r="H97" s="515"/>
      <c r="I97" s="515"/>
      <c r="Q97" s="8"/>
      <c r="BK97" s="499"/>
    </row>
    <row r="98" spans="3:90" ht="12" customHeight="1">
      <c r="C98" s="497"/>
      <c r="D98" s="540" t="s">
        <v>813</v>
      </c>
      <c r="E98" s="540"/>
      <c r="F98" s="540"/>
      <c r="G98" s="540"/>
      <c r="H98" s="540"/>
      <c r="I98" s="540"/>
      <c r="J98" s="1173"/>
      <c r="K98" s="1174"/>
      <c r="O98" s="540" t="s">
        <v>815</v>
      </c>
      <c r="P98" s="540"/>
      <c r="Q98" s="545"/>
      <c r="R98" s="540"/>
      <c r="S98" s="540"/>
      <c r="T98" s="540"/>
      <c r="U98" s="540"/>
      <c r="V98" s="540"/>
      <c r="W98" s="540"/>
      <c r="X98" s="540"/>
      <c r="Z98" s="540" t="s">
        <v>816</v>
      </c>
      <c r="AA98" s="540"/>
      <c r="AB98" s="540"/>
      <c r="AC98" s="540"/>
      <c r="AD98" s="540"/>
      <c r="AE98" s="540"/>
      <c r="AF98" s="540"/>
      <c r="AG98" s="540"/>
      <c r="AI98" s="540" t="s">
        <v>817</v>
      </c>
      <c r="AJ98" s="540"/>
      <c r="AK98" s="540"/>
      <c r="AL98" s="540"/>
      <c r="AM98" s="540"/>
      <c r="AN98" s="540"/>
      <c r="AO98" s="540"/>
      <c r="AP98" s="540"/>
      <c r="AQ98" s="540"/>
      <c r="AR98" s="540"/>
      <c r="AT98" s="540" t="s">
        <v>818</v>
      </c>
      <c r="AU98" s="540"/>
      <c r="AV98" s="540"/>
      <c r="AW98" s="540"/>
      <c r="AX98" s="540"/>
      <c r="AY98" s="540"/>
      <c r="AZ98" s="540"/>
      <c r="BA98" s="540"/>
      <c r="BB98" s="540"/>
      <c r="BC98" s="540"/>
      <c r="BK98" s="499"/>
    </row>
    <row r="99" spans="3:90" ht="12" customHeight="1">
      <c r="C99" s="497"/>
      <c r="D99" s="540"/>
      <c r="E99" s="540"/>
      <c r="F99" s="540" t="s">
        <v>819</v>
      </c>
      <c r="G99" s="540"/>
      <c r="H99" s="540"/>
      <c r="I99" s="540"/>
      <c r="J99" s="1301"/>
      <c r="K99" s="1302"/>
      <c r="L99" s="1296"/>
      <c r="M99" s="1297"/>
      <c r="N99" s="556"/>
      <c r="O99" s="562"/>
      <c r="P99" s="562"/>
      <c r="Q99" s="562"/>
      <c r="R99" s="562"/>
      <c r="S99" s="562"/>
      <c r="T99" s="562"/>
      <c r="U99" s="562"/>
      <c r="V99" s="562"/>
      <c r="W99" s="562"/>
      <c r="X99" s="563"/>
      <c r="Y99" s="498"/>
      <c r="Z99" s="1298"/>
      <c r="AA99" s="1299"/>
      <c r="AB99" s="1299"/>
      <c r="AC99" s="1300"/>
      <c r="AD99" s="556"/>
      <c r="AE99" s="562"/>
      <c r="AF99" s="562"/>
      <c r="AG99" s="563"/>
      <c r="AH99" s="498"/>
      <c r="AI99" s="1298"/>
      <c r="AJ99" s="1296"/>
      <c r="AK99" s="1296"/>
      <c r="AL99" s="1297"/>
      <c r="AM99" s="747"/>
      <c r="AN99" s="562"/>
      <c r="AO99" s="562"/>
      <c r="AP99" s="562"/>
      <c r="AQ99" s="562"/>
      <c r="AR99" s="563"/>
      <c r="AT99" s="1298"/>
      <c r="AU99" s="1296"/>
      <c r="AV99" s="1296"/>
      <c r="AW99" s="1297"/>
      <c r="AX99" s="747"/>
      <c r="AY99" s="562"/>
      <c r="AZ99" s="562"/>
      <c r="BA99" s="562"/>
      <c r="BB99" s="562"/>
      <c r="BC99" s="563"/>
      <c r="BK99" s="499"/>
    </row>
    <row r="100" spans="3:90" ht="12" customHeight="1">
      <c r="C100" s="497"/>
      <c r="D100" s="540"/>
      <c r="E100" s="540"/>
      <c r="F100" s="540" t="s">
        <v>824</v>
      </c>
      <c r="G100" s="540"/>
      <c r="H100" s="540"/>
      <c r="I100" s="540"/>
      <c r="J100" s="1295"/>
      <c r="K100" s="1296"/>
      <c r="L100" s="1296"/>
      <c r="M100" s="1297"/>
      <c r="N100" s="556"/>
      <c r="O100" s="562"/>
      <c r="P100" s="562"/>
      <c r="Q100" s="562"/>
      <c r="R100" s="562"/>
      <c r="S100" s="562"/>
      <c r="T100" s="562"/>
      <c r="U100" s="562"/>
      <c r="V100" s="562"/>
      <c r="W100" s="562"/>
      <c r="X100" s="563"/>
      <c r="Y100" s="498"/>
      <c r="Z100" s="1298"/>
      <c r="AA100" s="1299"/>
      <c r="AB100" s="1299"/>
      <c r="AC100" s="1300"/>
      <c r="AD100" s="556"/>
      <c r="AE100" s="562"/>
      <c r="AF100" s="562"/>
      <c r="AG100" s="563"/>
      <c r="AH100" s="498"/>
      <c r="AI100" s="1298"/>
      <c r="AJ100" s="1296"/>
      <c r="AK100" s="1296"/>
      <c r="AL100" s="1297"/>
      <c r="AM100" s="747"/>
      <c r="AN100" s="562"/>
      <c r="AO100" s="562"/>
      <c r="AP100" s="562"/>
      <c r="AQ100" s="562"/>
      <c r="AR100" s="563"/>
      <c r="AT100" s="1298"/>
      <c r="AU100" s="1296"/>
      <c r="AV100" s="1296"/>
      <c r="AW100" s="1297"/>
      <c r="AX100" s="747"/>
      <c r="AY100" s="562"/>
      <c r="AZ100" s="562"/>
      <c r="BA100" s="562"/>
      <c r="BB100" s="562"/>
      <c r="BC100" s="563"/>
      <c r="BK100" s="499"/>
    </row>
    <row r="101" spans="3:90" ht="12" customHeight="1">
      <c r="C101" s="497"/>
      <c r="D101" s="540"/>
      <c r="E101" s="540"/>
      <c r="F101" s="540" t="s">
        <v>827</v>
      </c>
      <c r="G101" s="540"/>
      <c r="H101" s="540"/>
      <c r="I101" s="540"/>
      <c r="J101" s="1295"/>
      <c r="K101" s="1296"/>
      <c r="L101" s="1296"/>
      <c r="M101" s="1296"/>
      <c r="N101" s="556"/>
      <c r="O101" s="562"/>
      <c r="P101" s="562"/>
      <c r="Q101" s="562"/>
      <c r="R101" s="562"/>
      <c r="S101" s="562"/>
      <c r="T101" s="562"/>
      <c r="U101" s="562"/>
      <c r="V101" s="562"/>
      <c r="W101" s="562"/>
      <c r="X101" s="563"/>
      <c r="Y101" s="498"/>
      <c r="Z101" s="1298"/>
      <c r="AA101" s="1299"/>
      <c r="AB101" s="1299"/>
      <c r="AC101" s="1300"/>
      <c r="AD101" s="556"/>
      <c r="AE101" s="562"/>
      <c r="AF101" s="562"/>
      <c r="AG101" s="563"/>
      <c r="AH101" s="498"/>
      <c r="AI101" s="1298"/>
      <c r="AJ101" s="1296"/>
      <c r="AK101" s="1296"/>
      <c r="AL101" s="1296"/>
      <c r="AM101" s="747"/>
      <c r="AN101" s="562"/>
      <c r="AO101" s="562"/>
      <c r="AP101" s="562"/>
      <c r="AQ101" s="562"/>
      <c r="AR101" s="563"/>
      <c r="AT101" s="1298"/>
      <c r="AU101" s="1296"/>
      <c r="AV101" s="1296"/>
      <c r="AW101" s="1296"/>
      <c r="AX101" s="747"/>
      <c r="AY101" s="562"/>
      <c r="AZ101" s="562"/>
      <c r="BA101" s="562"/>
      <c r="BB101" s="562"/>
      <c r="BC101" s="563"/>
      <c r="BK101" s="499"/>
    </row>
    <row r="102" spans="3:90" ht="12" customHeight="1">
      <c r="C102" s="497"/>
      <c r="D102" s="540" t="s">
        <v>831</v>
      </c>
      <c r="E102" s="540"/>
      <c r="F102" s="540"/>
      <c r="G102" s="540"/>
      <c r="H102" s="540"/>
      <c r="I102" s="540"/>
      <c r="J102" s="561"/>
      <c r="K102" s="562"/>
      <c r="L102" s="562"/>
      <c r="M102" s="562"/>
      <c r="N102" s="563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V102" s="567"/>
      <c r="AW102" s="567"/>
      <c r="AX102" s="567"/>
      <c r="AY102" s="567"/>
      <c r="AZ102" s="567"/>
      <c r="BK102" s="499"/>
    </row>
    <row r="103" spans="3:90" ht="12" customHeight="1">
      <c r="C103" s="497"/>
      <c r="D103" s="540" t="s">
        <v>832</v>
      </c>
      <c r="E103" s="540"/>
      <c r="F103" s="540"/>
      <c r="G103" s="540"/>
      <c r="H103" s="540"/>
      <c r="I103" s="540"/>
      <c r="J103" s="1171"/>
      <c r="K103" s="1172"/>
      <c r="L103" s="1172"/>
      <c r="M103" s="1285"/>
      <c r="N103" s="498"/>
      <c r="Q103" s="8"/>
      <c r="BK103" s="499"/>
    </row>
    <row r="104" spans="3:90" ht="12" customHeight="1">
      <c r="C104" s="497"/>
      <c r="D104" s="540" t="s">
        <v>834</v>
      </c>
      <c r="E104" s="540"/>
      <c r="F104" s="540"/>
      <c r="G104" s="540"/>
      <c r="H104" s="540"/>
      <c r="I104" s="540"/>
      <c r="J104" s="498" t="s">
        <v>835</v>
      </c>
      <c r="K104" s="498"/>
      <c r="L104" s="1286"/>
      <c r="M104" s="1287"/>
      <c r="N104" s="1288"/>
      <c r="P104" s="8" t="s">
        <v>836</v>
      </c>
      <c r="Q104" s="8"/>
      <c r="R104" s="1286"/>
      <c r="S104" s="1287"/>
      <c r="T104" s="1288"/>
      <c r="V104" s="540" t="s">
        <v>837</v>
      </c>
      <c r="W104" s="540"/>
      <c r="X104" s="540"/>
      <c r="Z104" s="8" t="s">
        <v>838</v>
      </c>
      <c r="AB104" s="1289"/>
      <c r="AC104" s="1290"/>
      <c r="AD104" s="1291"/>
      <c r="AF104" s="8" t="s">
        <v>839</v>
      </c>
      <c r="AH104" s="1286"/>
      <c r="AI104" s="1287"/>
      <c r="AJ104" s="1288"/>
      <c r="BK104" s="499"/>
    </row>
    <row r="105" spans="3:90" ht="12" customHeight="1">
      <c r="C105" s="497"/>
      <c r="D105" s="540" t="s">
        <v>840</v>
      </c>
      <c r="E105" s="540"/>
      <c r="F105" s="540"/>
      <c r="G105" s="540"/>
      <c r="H105" s="540"/>
      <c r="I105" s="540"/>
      <c r="J105" s="498" t="s">
        <v>835</v>
      </c>
      <c r="K105" s="498"/>
      <c r="L105" s="751"/>
      <c r="M105" s="562"/>
      <c r="N105" s="563"/>
      <c r="P105" s="8" t="s">
        <v>836</v>
      </c>
      <c r="Q105" s="8"/>
      <c r="R105" s="1292"/>
      <c r="S105" s="1293"/>
      <c r="T105" s="1294"/>
      <c r="U105" s="8" t="s">
        <v>842</v>
      </c>
      <c r="BK105" s="499"/>
    </row>
    <row r="106" spans="3:90" ht="12" customHeight="1">
      <c r="C106" s="497"/>
      <c r="D106" s="540" t="s">
        <v>843</v>
      </c>
      <c r="E106" s="540"/>
      <c r="F106" s="540"/>
      <c r="G106" s="540"/>
      <c r="H106" s="540"/>
      <c r="I106" s="540"/>
      <c r="J106" s="498" t="s">
        <v>835</v>
      </c>
      <c r="K106" s="498"/>
      <c r="L106" s="751"/>
      <c r="M106" s="562"/>
      <c r="N106" s="563"/>
      <c r="Q106" s="8"/>
      <c r="R106" s="498"/>
      <c r="S106" s="498"/>
      <c r="T106" s="498"/>
      <c r="BK106" s="499"/>
    </row>
    <row r="107" spans="3:90" ht="12" customHeight="1">
      <c r="C107" s="497"/>
      <c r="D107" s="540" t="s">
        <v>844</v>
      </c>
      <c r="E107" s="540"/>
      <c r="F107" s="540"/>
      <c r="G107" s="540"/>
      <c r="H107" s="540"/>
      <c r="I107" s="540"/>
      <c r="J107" s="1171"/>
      <c r="K107" s="1172"/>
      <c r="L107" s="1172"/>
      <c r="M107" s="1172"/>
      <c r="N107" s="1285"/>
      <c r="BK107" s="499"/>
    </row>
    <row r="108" spans="3:90" ht="12" customHeight="1">
      <c r="C108" s="497"/>
      <c r="D108" s="540" t="s">
        <v>722</v>
      </c>
      <c r="E108" s="540"/>
      <c r="F108" s="540"/>
      <c r="G108" s="540"/>
      <c r="H108" s="540"/>
      <c r="I108" s="540"/>
      <c r="J108" s="1146"/>
      <c r="K108" s="1147"/>
      <c r="L108" s="1147"/>
      <c r="M108" s="1147"/>
      <c r="N108" s="1148"/>
      <c r="P108" s="540" t="s">
        <v>845</v>
      </c>
      <c r="Q108" s="540"/>
      <c r="R108" s="540"/>
      <c r="S108" s="540"/>
      <c r="T108" s="564"/>
      <c r="U108" s="565"/>
      <c r="V108" s="565"/>
      <c r="W108" s="565"/>
      <c r="X108" s="574"/>
      <c r="Z108" s="540" t="s">
        <v>847</v>
      </c>
      <c r="AA108" s="540"/>
      <c r="AB108" s="540"/>
      <c r="AC108" s="540"/>
      <c r="AD108" s="564"/>
      <c r="AE108" s="565"/>
      <c r="AF108" s="1172"/>
      <c r="AG108" s="1285"/>
      <c r="AH108" s="575"/>
      <c r="AI108" s="540" t="s">
        <v>848</v>
      </c>
      <c r="AJ108" s="540"/>
      <c r="AK108" s="540"/>
      <c r="AL108" s="540"/>
      <c r="AM108" s="564"/>
      <c r="AN108" s="565"/>
      <c r="AO108" s="565"/>
      <c r="AP108" s="565"/>
      <c r="AQ108" s="748"/>
      <c r="AT108" s="540" t="s">
        <v>849</v>
      </c>
      <c r="AU108" s="540"/>
      <c r="AV108" s="540"/>
      <c r="AW108" s="540"/>
      <c r="AX108" s="540"/>
      <c r="AY108" s="583"/>
      <c r="AZ108" s="584"/>
      <c r="BA108" s="584"/>
      <c r="BB108" s="584"/>
      <c r="BC108" s="578"/>
      <c r="BE108" s="8" t="s">
        <v>850</v>
      </c>
      <c r="BF108" s="10"/>
      <c r="BH108" s="10"/>
      <c r="BK108" s="499"/>
    </row>
    <row r="109" spans="3:90" ht="12" customHeight="1">
      <c r="C109" s="497"/>
      <c r="D109" s="498"/>
      <c r="E109" s="498"/>
      <c r="F109" s="498"/>
      <c r="G109" s="498"/>
      <c r="H109" s="498"/>
      <c r="I109" s="498"/>
      <c r="J109" s="891"/>
      <c r="K109" s="891"/>
      <c r="L109" s="891"/>
      <c r="M109" s="891"/>
      <c r="N109" s="498"/>
      <c r="O109" s="498"/>
      <c r="P109" s="498"/>
      <c r="Q109" s="498"/>
      <c r="R109" s="498"/>
      <c r="S109" s="498"/>
      <c r="T109" s="498"/>
      <c r="U109" s="498"/>
      <c r="V109" s="498"/>
      <c r="W109" s="498"/>
      <c r="X109" s="498"/>
      <c r="Y109" s="498"/>
      <c r="Z109" s="498"/>
      <c r="AA109" s="498"/>
      <c r="AB109" s="498"/>
      <c r="AC109" s="498"/>
      <c r="AD109" s="498"/>
      <c r="AE109" s="498"/>
      <c r="AF109" s="498"/>
      <c r="AG109" s="498"/>
      <c r="AH109" s="498"/>
      <c r="AN109" s="498"/>
      <c r="AO109" s="498"/>
      <c r="AP109" s="498"/>
      <c r="AQ109" s="498"/>
      <c r="AR109" s="498"/>
      <c r="AS109" s="498"/>
      <c r="AT109" s="498"/>
      <c r="AU109" s="498"/>
      <c r="AV109" s="498"/>
      <c r="AW109" s="498"/>
      <c r="AX109" s="498"/>
      <c r="AY109" s="498"/>
      <c r="AZ109" s="498"/>
      <c r="BA109" s="498"/>
      <c r="BI109" s="498"/>
      <c r="BK109" s="499"/>
    </row>
    <row r="110" spans="3:90" ht="12" customHeight="1">
      <c r="C110" s="497"/>
      <c r="D110" s="566" t="s">
        <v>851</v>
      </c>
      <c r="E110" s="515"/>
      <c r="F110" s="515"/>
      <c r="G110" s="515"/>
      <c r="H110" s="515"/>
      <c r="I110" s="515"/>
      <c r="Q110" s="8"/>
      <c r="BF110" s="10"/>
      <c r="BH110" s="10"/>
      <c r="BK110" s="499"/>
    </row>
    <row r="111" spans="3:90" ht="12" customHeight="1">
      <c r="C111" s="497"/>
      <c r="D111" s="540" t="s">
        <v>852</v>
      </c>
      <c r="E111" s="540"/>
      <c r="F111" s="540"/>
      <c r="G111" s="540"/>
      <c r="H111" s="540"/>
      <c r="I111" s="540"/>
      <c r="J111" s="580"/>
      <c r="K111" s="562"/>
      <c r="L111" s="562"/>
      <c r="M111" s="562"/>
      <c r="N111" s="562"/>
      <c r="O111" s="542"/>
      <c r="P111" s="543"/>
      <c r="Q111" s="543"/>
      <c r="R111" s="543"/>
      <c r="S111" s="543"/>
      <c r="T111" s="543"/>
      <c r="U111" s="543"/>
      <c r="V111" s="569"/>
      <c r="W111" s="569"/>
      <c r="X111" s="569"/>
      <c r="Y111" s="575"/>
      <c r="Z111" s="540" t="s">
        <v>854</v>
      </c>
      <c r="AA111" s="540"/>
      <c r="AB111" s="540"/>
      <c r="AC111" s="540"/>
      <c r="AD111" s="581"/>
      <c r="AE111" s="581"/>
      <c r="AF111" s="581"/>
      <c r="AG111" s="574"/>
      <c r="AH111" s="498"/>
      <c r="AI111" s="540" t="s">
        <v>855</v>
      </c>
      <c r="AJ111" s="540"/>
      <c r="AK111" s="540"/>
      <c r="AL111" s="540"/>
      <c r="AM111" s="564"/>
      <c r="AN111" s="565"/>
      <c r="AO111" s="565"/>
      <c r="AP111" s="565"/>
      <c r="AQ111" s="748"/>
      <c r="AT111" s="540" t="s">
        <v>849</v>
      </c>
      <c r="AU111" s="540"/>
      <c r="AV111" s="540"/>
      <c r="AW111" s="540"/>
      <c r="AX111" s="540"/>
      <c r="AY111" s="583"/>
      <c r="AZ111" s="584"/>
      <c r="BA111" s="584"/>
      <c r="BB111" s="584"/>
      <c r="BC111" s="578"/>
      <c r="BK111" s="499"/>
      <c r="CL111" s="500" t="s">
        <v>857</v>
      </c>
    </row>
    <row r="112" spans="3:90" ht="12" customHeight="1">
      <c r="C112" s="497"/>
      <c r="D112" s="498"/>
      <c r="E112" s="498"/>
      <c r="F112" s="498"/>
      <c r="G112" s="498"/>
      <c r="H112" s="498"/>
      <c r="I112" s="498"/>
      <c r="J112" s="891"/>
      <c r="K112" s="891"/>
      <c r="L112" s="891"/>
      <c r="M112" s="891"/>
      <c r="N112" s="498"/>
      <c r="O112" s="498"/>
      <c r="P112" s="498"/>
      <c r="Q112" s="498"/>
      <c r="R112" s="498"/>
      <c r="S112" s="498"/>
      <c r="T112" s="498"/>
      <c r="U112" s="498"/>
      <c r="V112" s="498"/>
      <c r="W112" s="498"/>
      <c r="X112" s="498"/>
      <c r="Y112" s="498"/>
      <c r="Z112" s="498"/>
      <c r="AA112" s="498"/>
      <c r="AB112" s="498"/>
      <c r="AC112" s="498"/>
      <c r="AD112" s="498"/>
      <c r="AE112" s="498"/>
      <c r="AF112" s="498"/>
      <c r="AG112" s="498"/>
      <c r="AH112" s="498"/>
      <c r="AN112" s="498"/>
      <c r="AO112" s="498"/>
      <c r="AP112" s="498"/>
      <c r="AQ112" s="498"/>
      <c r="AR112" s="498"/>
      <c r="AS112" s="498"/>
      <c r="AT112" s="498"/>
      <c r="AU112" s="498"/>
      <c r="AV112" s="498"/>
      <c r="AW112" s="498"/>
      <c r="AX112" s="498"/>
      <c r="AY112" s="498"/>
      <c r="AZ112" s="498"/>
      <c r="BA112" s="498"/>
      <c r="BI112" s="498"/>
      <c r="BK112" s="499"/>
    </row>
    <row r="113" spans="3:63" ht="12" customHeight="1">
      <c r="C113" s="497"/>
      <c r="D113" s="566" t="s">
        <v>858</v>
      </c>
      <c r="E113" s="515"/>
      <c r="F113" s="515"/>
      <c r="G113" s="515"/>
      <c r="H113" s="515"/>
      <c r="I113" s="515"/>
      <c r="BB113" s="498"/>
      <c r="BC113" s="498"/>
      <c r="BD113" s="498"/>
      <c r="BE113" s="498"/>
      <c r="BF113" s="498"/>
      <c r="BG113" s="498"/>
      <c r="BH113" s="498"/>
      <c r="BI113" s="498"/>
      <c r="BK113" s="499"/>
    </row>
    <row r="114" spans="3:63" ht="12" customHeight="1">
      <c r="C114" s="497"/>
      <c r="D114" s="540" t="s">
        <v>859</v>
      </c>
      <c r="E114" s="540"/>
      <c r="F114" s="540"/>
      <c r="G114" s="540"/>
      <c r="H114" s="540"/>
      <c r="I114" s="540"/>
      <c r="J114" s="511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4"/>
      <c r="AD114" s="540" t="s">
        <v>861</v>
      </c>
      <c r="AE114" s="540"/>
      <c r="AF114" s="540"/>
      <c r="AG114" s="540"/>
      <c r="AH114" s="540"/>
      <c r="AI114" s="540"/>
      <c r="AJ114" s="511"/>
      <c r="AK114" s="503"/>
      <c r="AL114" s="503"/>
      <c r="AM114" s="503"/>
      <c r="AN114" s="503"/>
      <c r="AO114" s="503"/>
      <c r="AP114" s="503"/>
      <c r="AQ114" s="503"/>
      <c r="AR114" s="503"/>
      <c r="AS114" s="503"/>
      <c r="AT114" s="503"/>
      <c r="AU114" s="503"/>
      <c r="AV114" s="503"/>
      <c r="AW114" s="503"/>
      <c r="AX114" s="503"/>
      <c r="AY114" s="503"/>
      <c r="AZ114" s="503"/>
      <c r="BA114" s="504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863</v>
      </c>
      <c r="E115" s="540"/>
      <c r="F115" s="540"/>
      <c r="G115" s="540"/>
      <c r="H115" s="540"/>
      <c r="I115" s="540"/>
      <c r="J115" s="511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03"/>
      <c r="AA115" s="504"/>
      <c r="AD115" s="540" t="s">
        <v>864</v>
      </c>
      <c r="AE115" s="540"/>
      <c r="AF115" s="540"/>
      <c r="AG115" s="540"/>
      <c r="AH115" s="540"/>
      <c r="AI115" s="540"/>
      <c r="AJ115" s="511"/>
      <c r="AK115" s="503"/>
      <c r="AL115" s="503"/>
      <c r="AM115" s="503"/>
      <c r="AN115" s="503"/>
      <c r="AO115" s="503"/>
      <c r="AP115" s="503"/>
      <c r="AQ115" s="503"/>
      <c r="AR115" s="503"/>
      <c r="AS115" s="503"/>
      <c r="AT115" s="503"/>
      <c r="AU115" s="503"/>
      <c r="AV115" s="503"/>
      <c r="AW115" s="503"/>
      <c r="AX115" s="503"/>
      <c r="AY115" s="503"/>
      <c r="AZ115" s="503"/>
      <c r="BA115" s="504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540" t="s">
        <v>865</v>
      </c>
      <c r="E116" s="540"/>
      <c r="F116" s="540"/>
      <c r="G116" s="540"/>
      <c r="H116" s="540"/>
      <c r="I116" s="540"/>
      <c r="J116" s="511"/>
      <c r="K116" s="503"/>
      <c r="L116" s="503"/>
      <c r="M116" s="503"/>
      <c r="N116" s="503"/>
      <c r="O116" s="503"/>
      <c r="P116" s="503"/>
      <c r="Q116" s="503"/>
      <c r="R116" s="503"/>
      <c r="S116" s="503"/>
      <c r="T116" s="503"/>
      <c r="U116" s="503"/>
      <c r="V116" s="503"/>
      <c r="W116" s="503"/>
      <c r="X116" s="503"/>
      <c r="Y116" s="503"/>
      <c r="Z116" s="503"/>
      <c r="AA116" s="504"/>
      <c r="AD116" s="540" t="s">
        <v>867</v>
      </c>
      <c r="AE116" s="540"/>
      <c r="AF116" s="540"/>
      <c r="AG116" s="540"/>
      <c r="AH116" s="540"/>
      <c r="AI116" s="540"/>
      <c r="AJ116" s="511"/>
      <c r="AK116" s="503"/>
      <c r="AL116" s="503"/>
      <c r="AM116" s="503"/>
      <c r="AN116" s="503"/>
      <c r="AO116" s="503"/>
      <c r="AP116" s="503"/>
      <c r="AQ116" s="503"/>
      <c r="AR116" s="503"/>
      <c r="AS116" s="503"/>
      <c r="AT116" s="503"/>
      <c r="AU116" s="503"/>
      <c r="AV116" s="503"/>
      <c r="AW116" s="503"/>
      <c r="AX116" s="503"/>
      <c r="AY116" s="503"/>
      <c r="AZ116" s="503"/>
      <c r="BA116" s="504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D117" s="540" t="s">
        <v>869</v>
      </c>
      <c r="E117" s="540"/>
      <c r="F117" s="540"/>
      <c r="G117" s="540"/>
      <c r="H117" s="540"/>
      <c r="I117" s="540"/>
      <c r="J117" s="511"/>
      <c r="K117" s="503"/>
      <c r="L117" s="503"/>
      <c r="M117" s="503"/>
      <c r="N117" s="503"/>
      <c r="O117" s="503"/>
      <c r="P117" s="503"/>
      <c r="Q117" s="503"/>
      <c r="R117" s="503"/>
      <c r="S117" s="503"/>
      <c r="T117" s="503"/>
      <c r="U117" s="503"/>
      <c r="V117" s="503"/>
      <c r="W117" s="503"/>
      <c r="X117" s="503"/>
      <c r="Y117" s="503"/>
      <c r="Z117" s="585"/>
      <c r="AA117" s="504"/>
      <c r="AD117" s="498"/>
      <c r="AE117" s="498"/>
      <c r="AF117" s="498"/>
      <c r="AG117" s="498"/>
      <c r="AH117" s="498"/>
      <c r="AI117" s="498"/>
      <c r="AJ117" s="586"/>
      <c r="AK117" s="586"/>
      <c r="AL117" s="586"/>
      <c r="AM117" s="586"/>
      <c r="AN117" s="586"/>
      <c r="AO117" s="586"/>
      <c r="AP117" s="586"/>
      <c r="AQ117" s="586"/>
      <c r="AR117" s="586"/>
      <c r="AS117" s="586"/>
      <c r="AT117" s="586"/>
      <c r="AU117" s="586"/>
      <c r="AV117" s="586"/>
      <c r="AW117" s="586"/>
      <c r="AX117" s="586"/>
      <c r="AY117" s="586"/>
      <c r="AZ117" s="587"/>
      <c r="BA117" s="586"/>
      <c r="BB117" s="498"/>
      <c r="BC117" s="498"/>
      <c r="BD117" s="498"/>
      <c r="BE117" s="498"/>
      <c r="BF117" s="498"/>
      <c r="BG117" s="498"/>
      <c r="BH117" s="498"/>
      <c r="BI117" s="498"/>
      <c r="BK117" s="499"/>
    </row>
    <row r="118" spans="3:63" ht="12" customHeight="1">
      <c r="C118" s="497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  <c r="AD118" s="498"/>
      <c r="AE118" s="498"/>
      <c r="AF118" s="498"/>
      <c r="AG118" s="498"/>
      <c r="AH118" s="498"/>
      <c r="AI118" s="498"/>
      <c r="AJ118" s="498"/>
      <c r="AK118" s="498"/>
      <c r="AL118" s="498"/>
      <c r="AM118" s="498"/>
      <c r="AN118" s="498"/>
      <c r="AO118" s="498"/>
      <c r="AP118" s="498"/>
      <c r="AQ118" s="498"/>
      <c r="AR118" s="498"/>
      <c r="AS118" s="498"/>
      <c r="AT118" s="498"/>
      <c r="AU118" s="498"/>
      <c r="AV118" s="498"/>
      <c r="AW118" s="498"/>
      <c r="AX118" s="498"/>
      <c r="AY118" s="498"/>
      <c r="AZ118" s="498"/>
      <c r="BA118" s="498"/>
      <c r="BB118" s="498"/>
      <c r="BC118" s="498"/>
      <c r="BD118" s="498"/>
      <c r="BE118" s="498"/>
      <c r="BF118" s="498"/>
      <c r="BG118" s="498"/>
      <c r="BH118" s="498"/>
      <c r="BI118" s="498"/>
      <c r="BK118" s="499"/>
    </row>
    <row r="119" spans="3:63" ht="12" customHeight="1">
      <c r="C119" s="497"/>
      <c r="BK119" s="499"/>
    </row>
    <row r="120" spans="3:63" ht="12" customHeight="1">
      <c r="C120" s="50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7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09"/>
    </row>
    <row r="121" spans="3:63" ht="12" customHeight="1" thickBot="1">
      <c r="C121" s="531"/>
      <c r="D121" s="532"/>
      <c r="E121" s="532"/>
      <c r="F121" s="532"/>
      <c r="G121" s="532"/>
      <c r="H121" s="532"/>
      <c r="I121" s="532"/>
      <c r="J121" s="532"/>
      <c r="K121" s="532"/>
      <c r="L121" s="532"/>
      <c r="M121" s="532"/>
      <c r="N121" s="532"/>
      <c r="O121" s="532"/>
      <c r="P121" s="532"/>
      <c r="Q121" s="533"/>
      <c r="R121" s="532"/>
      <c r="S121" s="532"/>
      <c r="T121" s="532"/>
      <c r="U121" s="532"/>
      <c r="V121" s="532"/>
      <c r="W121" s="532"/>
      <c r="X121" s="532"/>
      <c r="Y121" s="532"/>
      <c r="Z121" s="532"/>
      <c r="AA121" s="532"/>
      <c r="AB121" s="532"/>
      <c r="AC121" s="532"/>
      <c r="AD121" s="532"/>
      <c r="AE121" s="532"/>
      <c r="AF121" s="532"/>
      <c r="AG121" s="532"/>
      <c r="AH121" s="532"/>
      <c r="AI121" s="532"/>
      <c r="AJ121" s="532"/>
      <c r="AK121" s="532"/>
      <c r="AL121" s="532"/>
      <c r="AM121" s="532"/>
      <c r="AN121" s="532"/>
      <c r="AO121" s="532"/>
      <c r="AP121" s="532"/>
      <c r="AQ121" s="532"/>
      <c r="AR121" s="532"/>
      <c r="AS121" s="532"/>
      <c r="AT121" s="532"/>
      <c r="AU121" s="532"/>
      <c r="AV121" s="532"/>
      <c r="AW121" s="532"/>
      <c r="AX121" s="532"/>
      <c r="AY121" s="532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32"/>
      <c r="BK121" s="534"/>
    </row>
    <row r="139" spans="2:63" ht="28.5">
      <c r="B139" s="488" t="s">
        <v>1153</v>
      </c>
    </row>
    <row r="140" spans="2:63" ht="12" customHeight="1">
      <c r="C140" s="489" t="s">
        <v>1151</v>
      </c>
    </row>
    <row r="141" spans="2:63" ht="12" customHeight="1" thickBot="1">
      <c r="C141" s="489" t="s">
        <v>781</v>
      </c>
    </row>
    <row r="142" spans="2:63" ht="12" customHeight="1">
      <c r="C142" s="535"/>
      <c r="D142" s="536" t="s">
        <v>783</v>
      </c>
      <c r="E142" s="537"/>
      <c r="F142" s="537"/>
      <c r="G142" s="537"/>
      <c r="H142" s="537"/>
      <c r="I142" s="537"/>
      <c r="J142" s="537"/>
      <c r="K142" s="537"/>
      <c r="L142" s="537"/>
      <c r="M142" s="537"/>
      <c r="N142" s="537"/>
      <c r="O142" s="537"/>
      <c r="P142" s="537"/>
      <c r="Q142" s="538"/>
      <c r="R142" s="537"/>
      <c r="S142" s="537"/>
      <c r="T142" s="537"/>
      <c r="U142" s="537"/>
      <c r="V142" s="537"/>
      <c r="W142" s="537"/>
      <c r="X142" s="537"/>
      <c r="Y142" s="537"/>
      <c r="Z142" s="537"/>
      <c r="AA142" s="537"/>
      <c r="AB142" s="537"/>
      <c r="AC142" s="537"/>
      <c r="AD142" s="537"/>
      <c r="AE142" s="537"/>
      <c r="AF142" s="537"/>
      <c r="AG142" s="537"/>
      <c r="AH142" s="537"/>
      <c r="AI142" s="537"/>
      <c r="AJ142" s="537"/>
      <c r="AK142" s="537"/>
      <c r="AL142" s="537"/>
      <c r="AM142" s="537"/>
      <c r="AN142" s="537"/>
      <c r="AO142" s="537"/>
      <c r="AP142" s="537"/>
      <c r="AQ142" s="537"/>
      <c r="AR142" s="537"/>
      <c r="AS142" s="537"/>
      <c r="AT142" s="537"/>
      <c r="AU142" s="537"/>
      <c r="AV142" s="537"/>
      <c r="AW142" s="537"/>
      <c r="AX142" s="537"/>
      <c r="AY142" s="537"/>
      <c r="AZ142" s="537"/>
      <c r="BA142" s="537"/>
      <c r="BB142" s="537"/>
      <c r="BC142" s="537"/>
      <c r="BD142" s="537"/>
      <c r="BE142" s="537"/>
      <c r="BF142" s="537"/>
      <c r="BG142" s="537"/>
      <c r="BH142" s="537"/>
      <c r="BI142" s="537"/>
      <c r="BJ142" s="537"/>
      <c r="BK142" s="493"/>
    </row>
    <row r="143" spans="2:63" ht="12" customHeight="1">
      <c r="C143" s="497"/>
      <c r="Q143" s="8"/>
      <c r="BK143" s="499"/>
    </row>
    <row r="144" spans="2:63" ht="12" customHeight="1">
      <c r="C144" s="539"/>
      <c r="D144" s="540" t="s">
        <v>245</v>
      </c>
      <c r="E144" s="540"/>
      <c r="F144" s="541"/>
      <c r="G144" s="540"/>
      <c r="H144" s="542" t="s">
        <v>761</v>
      </c>
      <c r="I144" s="543"/>
      <c r="J144" s="543"/>
      <c r="K144" s="543"/>
      <c r="L144" s="543"/>
      <c r="M144" s="544"/>
      <c r="N144" s="498"/>
      <c r="O144" s="540" t="s">
        <v>244</v>
      </c>
      <c r="P144" s="540"/>
      <c r="Q144" s="541"/>
      <c r="R144" s="540"/>
      <c r="S144" s="498"/>
      <c r="T144" s="542" t="s">
        <v>1203</v>
      </c>
      <c r="U144" s="543"/>
      <c r="V144" s="543"/>
      <c r="W144" s="543"/>
      <c r="X144" s="544"/>
      <c r="AA144" s="540" t="s">
        <v>784</v>
      </c>
      <c r="AB144" s="545"/>
      <c r="AC144" s="540"/>
      <c r="AE144" s="1163"/>
      <c r="AF144" s="1164"/>
      <c r="AG144" s="1165"/>
      <c r="AJ144" s="546" t="s">
        <v>732</v>
      </c>
      <c r="AK144" s="546"/>
      <c r="AL144" s="546"/>
      <c r="AM144" s="1166">
        <v>44627</v>
      </c>
      <c r="AN144" s="1167"/>
      <c r="AO144" s="1167"/>
      <c r="AP144" s="1167"/>
      <c r="AR144" s="1168">
        <v>0.5</v>
      </c>
      <c r="AS144" s="1169"/>
      <c r="AT144" s="1169"/>
      <c r="AU144" s="1170"/>
      <c r="AV144" s="512"/>
      <c r="BK144" s="499"/>
    </row>
    <row r="145" spans="3:63" ht="12" customHeight="1">
      <c r="C145" s="539"/>
      <c r="Q145" s="8"/>
      <c r="BK145" s="499"/>
    </row>
    <row r="146" spans="3:63" ht="12" customHeight="1">
      <c r="C146" s="539"/>
      <c r="D146" s="547" t="s">
        <v>785</v>
      </c>
      <c r="E146" s="540"/>
      <c r="F146" s="547"/>
      <c r="G146" s="540"/>
      <c r="H146" s="548" t="s">
        <v>786</v>
      </c>
      <c r="I146" s="482"/>
      <c r="J146" s="482"/>
      <c r="K146" s="483"/>
      <c r="O146" s="540" t="s">
        <v>235</v>
      </c>
      <c r="P146" s="547"/>
      <c r="Q146" s="540"/>
      <c r="R146" s="547"/>
      <c r="S146" s="540"/>
      <c r="T146" s="549" t="s">
        <v>1198</v>
      </c>
      <c r="U146" s="482"/>
      <c r="V146" s="482"/>
      <c r="W146" s="482"/>
      <c r="X146" s="482"/>
      <c r="Y146" s="483"/>
      <c r="AA146" s="540"/>
      <c r="AB146" s="540"/>
      <c r="AC146" s="541" t="s">
        <v>787</v>
      </c>
      <c r="AD146" s="540"/>
      <c r="AE146" s="540" t="s">
        <v>788</v>
      </c>
      <c r="AF146" s="809" t="s">
        <v>1204</v>
      </c>
      <c r="AG146" s="503"/>
      <c r="AH146" s="503"/>
      <c r="AI146" s="503"/>
      <c r="AJ146" s="504"/>
      <c r="AL146" s="540" t="s">
        <v>790</v>
      </c>
      <c r="AM146" s="548"/>
      <c r="AN146" s="482"/>
      <c r="AO146" s="482"/>
      <c r="AP146" s="482"/>
      <c r="AQ146" s="483"/>
      <c r="AS146" s="540" t="s">
        <v>791</v>
      </c>
      <c r="AT146" s="548"/>
      <c r="AU146" s="482"/>
      <c r="AV146" s="482"/>
      <c r="AW146" s="482"/>
      <c r="AX146" s="483"/>
      <c r="BK146" s="499"/>
    </row>
    <row r="147" spans="3:63" ht="12" customHeight="1">
      <c r="C147" s="539"/>
      <c r="D147" s="547" t="s">
        <v>715</v>
      </c>
      <c r="E147" s="540"/>
      <c r="F147" s="547"/>
      <c r="G147" s="540"/>
      <c r="H147" s="548"/>
      <c r="I147" s="482"/>
      <c r="J147" s="482"/>
      <c r="K147" s="482"/>
      <c r="L147" s="551"/>
      <c r="M147" s="483"/>
      <c r="N147" s="552"/>
      <c r="O147" s="553" t="s">
        <v>792</v>
      </c>
      <c r="P147" s="553"/>
      <c r="Q147" s="554"/>
      <c r="R147" s="553"/>
      <c r="S147" s="555"/>
      <c r="T147" s="542" t="s">
        <v>793</v>
      </c>
      <c r="U147" s="543"/>
      <c r="V147" s="543"/>
      <c r="W147" s="543"/>
      <c r="X147" s="544"/>
      <c r="BK147" s="499"/>
    </row>
    <row r="148" spans="3:63" ht="12" customHeight="1">
      <c r="C148" s="539"/>
      <c r="D148" s="547" t="s">
        <v>697</v>
      </c>
      <c r="E148" s="540"/>
      <c r="F148" s="547"/>
      <c r="G148" s="540"/>
      <c r="H148" s="548" t="s">
        <v>794</v>
      </c>
      <c r="I148" s="482"/>
      <c r="J148" s="482"/>
      <c r="K148" s="482"/>
      <c r="L148" s="482"/>
      <c r="M148" s="483"/>
      <c r="N148" s="556"/>
      <c r="O148" s="543" t="s">
        <v>762</v>
      </c>
      <c r="P148" s="543"/>
      <c r="Q148" s="543"/>
      <c r="R148" s="543"/>
      <c r="S148" s="543"/>
      <c r="T148" s="543"/>
      <c r="U148" s="543"/>
      <c r="V148" s="544"/>
      <c r="X148" s="540" t="s">
        <v>243</v>
      </c>
      <c r="Y148" s="540"/>
      <c r="Z148" s="540"/>
      <c r="AA148" s="540"/>
      <c r="AB148" s="1166">
        <v>44628</v>
      </c>
      <c r="AC148" s="1167"/>
      <c r="AD148" s="1167"/>
      <c r="AE148" s="1167"/>
      <c r="AF148" s="483"/>
      <c r="AK148" s="510"/>
      <c r="AM148" s="557"/>
      <c r="AN148" s="557"/>
      <c r="AO148" s="557"/>
      <c r="AP148" s="557"/>
      <c r="AQ148" s="557"/>
      <c r="AR148" s="557"/>
      <c r="AS148" s="557"/>
      <c r="AT148" s="557"/>
      <c r="AU148" s="557"/>
      <c r="BK148" s="499"/>
    </row>
    <row r="149" spans="3:63" ht="12" customHeight="1">
      <c r="C149" s="539"/>
      <c r="D149" s="558" t="s">
        <v>742</v>
      </c>
      <c r="E149" s="540"/>
      <c r="F149" s="547"/>
      <c r="G149" s="540"/>
      <c r="H149" s="506" t="s">
        <v>1205</v>
      </c>
      <c r="I149" s="503"/>
      <c r="J149" s="503"/>
      <c r="K149" s="503"/>
      <c r="L149" s="503"/>
      <c r="M149" s="504"/>
      <c r="O149" s="540" t="s">
        <v>796</v>
      </c>
      <c r="P149" s="540"/>
      <c r="Q149" s="540"/>
      <c r="R149" s="540"/>
      <c r="S149" s="506" t="s">
        <v>797</v>
      </c>
      <c r="T149" s="559"/>
      <c r="U149" s="559"/>
      <c r="V149" s="559"/>
      <c r="W149" s="559"/>
      <c r="X149" s="559"/>
      <c r="Y149" s="559"/>
      <c r="Z149" s="559"/>
      <c r="AA149" s="559"/>
      <c r="AB149" s="503"/>
      <c r="AC149" s="503"/>
      <c r="AD149" s="503"/>
      <c r="AE149" s="503"/>
      <c r="AF149" s="504"/>
      <c r="AI149" s="540" t="s">
        <v>798</v>
      </c>
      <c r="AJ149" s="540"/>
      <c r="AK149" s="540"/>
      <c r="AL149" s="540"/>
      <c r="AM149" s="506" t="s">
        <v>772</v>
      </c>
      <c r="AN149" s="559"/>
      <c r="AO149" s="559"/>
      <c r="AP149" s="559"/>
      <c r="AQ149" s="559"/>
      <c r="AR149" s="559"/>
      <c r="AS149" s="559"/>
      <c r="AT149" s="559"/>
      <c r="AU149" s="559"/>
      <c r="AV149" s="503"/>
      <c r="AW149" s="503"/>
      <c r="AX149" s="503"/>
      <c r="AY149" s="503"/>
      <c r="AZ149" s="504"/>
      <c r="BK149" s="499"/>
    </row>
    <row r="150" spans="3:63" ht="12" customHeight="1">
      <c r="C150" s="539"/>
      <c r="D150" s="547" t="s">
        <v>799</v>
      </c>
      <c r="E150" s="540"/>
      <c r="F150" s="547"/>
      <c r="G150" s="540"/>
      <c r="H150" s="542"/>
      <c r="I150" s="543"/>
      <c r="J150" s="543"/>
      <c r="K150" s="543"/>
      <c r="L150" s="543"/>
      <c r="M150" s="544"/>
      <c r="O150" s="540" t="s">
        <v>743</v>
      </c>
      <c r="P150" s="540"/>
      <c r="Q150" s="540"/>
      <c r="R150" s="540"/>
      <c r="S150" s="506" t="s">
        <v>800</v>
      </c>
      <c r="T150" s="559"/>
      <c r="U150" s="559"/>
      <c r="V150" s="559"/>
      <c r="W150" s="559"/>
      <c r="X150" s="559"/>
      <c r="Y150" s="559"/>
      <c r="Z150" s="559"/>
      <c r="AA150" s="559"/>
      <c r="AB150" s="503"/>
      <c r="AC150" s="503"/>
      <c r="AD150" s="503"/>
      <c r="AE150" s="503"/>
      <c r="AF150" s="504"/>
      <c r="AI150" s="540" t="s">
        <v>801</v>
      </c>
      <c r="AJ150" s="540"/>
      <c r="AK150" s="540"/>
      <c r="AL150" s="540"/>
      <c r="AM150" s="506" t="s">
        <v>772</v>
      </c>
      <c r="AN150" s="559"/>
      <c r="AO150" s="559"/>
      <c r="AP150" s="559"/>
      <c r="AQ150" s="559"/>
      <c r="AR150" s="559"/>
      <c r="AS150" s="559"/>
      <c r="AT150" s="559"/>
      <c r="AU150" s="559"/>
      <c r="AV150" s="503"/>
      <c r="AW150" s="503"/>
      <c r="AX150" s="503"/>
      <c r="AY150" s="503"/>
      <c r="AZ150" s="504"/>
      <c r="BK150" s="499"/>
    </row>
    <row r="151" spans="3:63" ht="12" customHeight="1">
      <c r="C151" s="539"/>
      <c r="D151" s="547" t="s">
        <v>802</v>
      </c>
      <c r="E151" s="540"/>
      <c r="F151" s="547"/>
      <c r="G151" s="540"/>
      <c r="H151" s="511" t="s">
        <v>763</v>
      </c>
      <c r="I151" s="503"/>
      <c r="J151" s="503"/>
      <c r="K151" s="503"/>
      <c r="L151" s="503"/>
      <c r="M151" s="504"/>
      <c r="O151" s="540" t="s">
        <v>803</v>
      </c>
      <c r="P151" s="540"/>
      <c r="Q151" s="540"/>
      <c r="R151" s="540"/>
      <c r="S151" s="506"/>
      <c r="T151" s="503"/>
      <c r="U151" s="503"/>
      <c r="V151" s="503"/>
      <c r="W151" s="503"/>
      <c r="X151" s="504"/>
      <c r="BK151" s="499"/>
    </row>
    <row r="152" spans="3:63" ht="12" customHeight="1">
      <c r="C152" s="539"/>
      <c r="D152" s="560" t="s">
        <v>804</v>
      </c>
      <c r="E152" s="540"/>
      <c r="F152" s="547"/>
      <c r="G152" s="540"/>
      <c r="H152" s="548"/>
      <c r="I152" s="482"/>
      <c r="J152" s="482"/>
      <c r="K152" s="482"/>
      <c r="L152" s="482"/>
      <c r="M152" s="483"/>
      <c r="O152" s="540" t="s">
        <v>805</v>
      </c>
      <c r="P152" s="540"/>
      <c r="Q152" s="545"/>
      <c r="R152" s="540"/>
      <c r="S152" s="548"/>
      <c r="T152" s="482"/>
      <c r="U152" s="482"/>
      <c r="V152" s="482"/>
      <c r="W152" s="482"/>
      <c r="X152" s="483"/>
      <c r="BK152" s="499"/>
    </row>
    <row r="153" spans="3:63" ht="12" customHeight="1">
      <c r="C153" s="539"/>
      <c r="BK153" s="499"/>
    </row>
    <row r="154" spans="3:63" ht="12" customHeight="1">
      <c r="C154" s="539"/>
      <c r="D154" s="540" t="s">
        <v>806</v>
      </c>
      <c r="E154" s="540"/>
      <c r="H154" s="547" t="s">
        <v>287</v>
      </c>
      <c r="I154" s="540"/>
      <c r="J154" s="540"/>
      <c r="K154" s="561"/>
      <c r="L154" s="562"/>
      <c r="M154" s="563"/>
      <c r="O154" s="540" t="s">
        <v>807</v>
      </c>
      <c r="P154" s="540"/>
      <c r="Q154" s="540"/>
      <c r="R154" s="540"/>
      <c r="S154" s="561"/>
      <c r="T154" s="562"/>
      <c r="U154" s="563"/>
      <c r="Z154" s="540" t="s">
        <v>808</v>
      </c>
      <c r="AA154" s="540"/>
      <c r="AB154" s="540"/>
      <c r="AC154" s="561"/>
      <c r="AD154" s="562"/>
      <c r="AE154" s="562"/>
      <c r="AF154" s="563"/>
      <c r="AI154" s="540"/>
      <c r="AJ154" s="540"/>
      <c r="AK154" s="540"/>
      <c r="AL154" s="540"/>
      <c r="AM154" s="541" t="s">
        <v>809</v>
      </c>
      <c r="AN154" s="561"/>
      <c r="AO154" s="562"/>
      <c r="AP154" s="562"/>
      <c r="AQ154" s="563"/>
      <c r="AR154" s="556"/>
      <c r="BK154" s="499"/>
    </row>
    <row r="155" spans="3:63" ht="12" customHeight="1">
      <c r="C155" s="539"/>
      <c r="BK155" s="499"/>
    </row>
    <row r="156" spans="3:63" ht="12" customHeight="1">
      <c r="C156" s="539"/>
      <c r="D156" s="540" t="s">
        <v>810</v>
      </c>
      <c r="E156" s="540"/>
      <c r="F156" s="540"/>
      <c r="G156" s="540"/>
      <c r="H156" s="1171" t="s">
        <v>811</v>
      </c>
      <c r="I156" s="1172"/>
      <c r="J156" s="1172"/>
      <c r="K156" s="1172"/>
      <c r="L156" s="563"/>
      <c r="BK156" s="499"/>
    </row>
    <row r="157" spans="3:63" ht="12" customHeight="1">
      <c r="C157" s="539"/>
      <c r="Q157" s="8"/>
      <c r="BK157" s="499"/>
    </row>
    <row r="158" spans="3:63" ht="12" customHeight="1">
      <c r="C158" s="497"/>
      <c r="D158" s="566" t="s">
        <v>812</v>
      </c>
      <c r="E158" s="515"/>
      <c r="F158" s="515"/>
      <c r="G158" s="515"/>
      <c r="H158" s="515"/>
      <c r="I158" s="515"/>
      <c r="Q158" s="8"/>
      <c r="BK158" s="499"/>
    </row>
    <row r="159" spans="3:63" ht="12" customHeight="1">
      <c r="C159" s="497"/>
      <c r="D159" s="540" t="s">
        <v>813</v>
      </c>
      <c r="E159" s="540"/>
      <c r="F159" s="540"/>
      <c r="G159" s="540"/>
      <c r="H159" s="540"/>
      <c r="I159" s="540"/>
      <c r="J159" s="972"/>
      <c r="K159" s="974"/>
      <c r="O159" s="540" t="s">
        <v>815</v>
      </c>
      <c r="P159" s="540"/>
      <c r="Q159" s="545"/>
      <c r="R159" s="540"/>
      <c r="S159" s="540"/>
      <c r="T159" s="540"/>
      <c r="U159" s="540"/>
      <c r="V159" s="540"/>
      <c r="W159" s="540"/>
      <c r="X159" s="540"/>
      <c r="Z159" s="540" t="s">
        <v>816</v>
      </c>
      <c r="AA159" s="540"/>
      <c r="AB159" s="540"/>
      <c r="AC159" s="540"/>
      <c r="AD159" s="540"/>
      <c r="AE159" s="540"/>
      <c r="AF159" s="540"/>
      <c r="AG159" s="540"/>
      <c r="AI159" s="540" t="s">
        <v>817</v>
      </c>
      <c r="AJ159" s="540"/>
      <c r="AK159" s="540"/>
      <c r="AL159" s="540"/>
      <c r="AM159" s="540"/>
      <c r="AN159" s="540"/>
      <c r="AO159" s="540"/>
      <c r="AP159" s="540"/>
      <c r="AQ159" s="540"/>
      <c r="AR159" s="540"/>
      <c r="AT159" s="540" t="s">
        <v>818</v>
      </c>
      <c r="AU159" s="540"/>
      <c r="AV159" s="540"/>
      <c r="AW159" s="540"/>
      <c r="AX159" s="540"/>
      <c r="AY159" s="540"/>
      <c r="AZ159" s="540"/>
      <c r="BA159" s="540"/>
      <c r="BB159" s="540"/>
      <c r="BC159" s="540"/>
      <c r="BK159" s="499"/>
    </row>
    <row r="160" spans="3:63" ht="12" customHeight="1">
      <c r="C160" s="497"/>
      <c r="D160" s="540"/>
      <c r="E160" s="540"/>
      <c r="F160" s="540" t="s">
        <v>819</v>
      </c>
      <c r="G160" s="540"/>
      <c r="H160" s="540"/>
      <c r="I160" s="540"/>
      <c r="J160" s="1160"/>
      <c r="K160" s="1161"/>
      <c r="L160" s="1150"/>
      <c r="M160" s="1162"/>
      <c r="N160" s="556"/>
      <c r="O160" s="543"/>
      <c r="P160" s="543"/>
      <c r="Q160" s="543"/>
      <c r="R160" s="543"/>
      <c r="S160" s="543"/>
      <c r="T160" s="543"/>
      <c r="U160" s="543"/>
      <c r="V160" s="543"/>
      <c r="W160" s="543"/>
      <c r="X160" s="544"/>
      <c r="Y160" s="498"/>
      <c r="Z160" s="1151"/>
      <c r="AA160" s="1152"/>
      <c r="AB160" s="1152"/>
      <c r="AC160" s="1153"/>
      <c r="AD160" s="556"/>
      <c r="AE160" s="543"/>
      <c r="AF160" s="543"/>
      <c r="AG160" s="544"/>
      <c r="AH160" s="498"/>
      <c r="AI160" s="1151"/>
      <c r="AJ160" s="1150"/>
      <c r="AK160" s="1150"/>
      <c r="AL160" s="1162"/>
      <c r="AM160" s="556"/>
      <c r="AN160" s="543"/>
      <c r="AO160" s="543"/>
      <c r="AP160" s="543"/>
      <c r="AQ160" s="543"/>
      <c r="AR160" s="544"/>
      <c r="AS160" s="498"/>
      <c r="AT160" s="1151"/>
      <c r="AU160" s="1150"/>
      <c r="AV160" s="1150"/>
      <c r="AW160" s="1162"/>
      <c r="AX160" s="556"/>
      <c r="AY160" s="543"/>
      <c r="AZ160" s="543"/>
      <c r="BA160" s="543"/>
      <c r="BB160" s="543"/>
      <c r="BC160" s="544"/>
      <c r="BK160" s="499"/>
    </row>
    <row r="161" spans="3:90" ht="12" customHeight="1">
      <c r="C161" s="497"/>
      <c r="D161" s="540"/>
      <c r="E161" s="540"/>
      <c r="F161" s="540" t="s">
        <v>824</v>
      </c>
      <c r="G161" s="540"/>
      <c r="H161" s="540"/>
      <c r="I161" s="540"/>
      <c r="J161" s="1149"/>
      <c r="K161" s="1150"/>
      <c r="L161" s="1150"/>
      <c r="M161" s="1162"/>
      <c r="N161" s="556"/>
      <c r="O161" s="543"/>
      <c r="P161" s="543"/>
      <c r="Q161" s="543"/>
      <c r="R161" s="543"/>
      <c r="S161" s="543"/>
      <c r="T161" s="543"/>
      <c r="U161" s="543"/>
      <c r="V161" s="543"/>
      <c r="W161" s="543"/>
      <c r="X161" s="544"/>
      <c r="Y161" s="498"/>
      <c r="Z161" s="1151"/>
      <c r="AA161" s="1152"/>
      <c r="AB161" s="1152"/>
      <c r="AC161" s="1153"/>
      <c r="AD161" s="556"/>
      <c r="AE161" s="543"/>
      <c r="AF161" s="543"/>
      <c r="AG161" s="544"/>
      <c r="AH161" s="498"/>
      <c r="AI161" s="1151"/>
      <c r="AJ161" s="1150"/>
      <c r="AK161" s="1150"/>
      <c r="AL161" s="1162"/>
      <c r="AM161" s="556"/>
      <c r="AN161" s="543"/>
      <c r="AO161" s="543"/>
      <c r="AP161" s="543"/>
      <c r="AQ161" s="543"/>
      <c r="AR161" s="544"/>
      <c r="AS161" s="498"/>
      <c r="AT161" s="1151"/>
      <c r="AU161" s="1150"/>
      <c r="AV161" s="1150"/>
      <c r="AW161" s="1162"/>
      <c r="AX161" s="556"/>
      <c r="AY161" s="543"/>
      <c r="AZ161" s="543"/>
      <c r="BA161" s="543"/>
      <c r="BB161" s="543"/>
      <c r="BC161" s="544"/>
      <c r="BK161" s="499"/>
    </row>
    <row r="162" spans="3:90" ht="12" customHeight="1">
      <c r="C162" s="497"/>
      <c r="D162" s="540"/>
      <c r="E162" s="540"/>
      <c r="F162" s="540" t="s">
        <v>827</v>
      </c>
      <c r="G162" s="540"/>
      <c r="H162" s="540"/>
      <c r="I162" s="540"/>
      <c r="J162" s="1149"/>
      <c r="K162" s="1150"/>
      <c r="L162" s="1150"/>
      <c r="M162" s="1150"/>
      <c r="N162" s="556"/>
      <c r="O162" s="543"/>
      <c r="P162" s="543"/>
      <c r="Q162" s="543"/>
      <c r="R162" s="543"/>
      <c r="S162" s="543"/>
      <c r="T162" s="543"/>
      <c r="U162" s="543"/>
      <c r="V162" s="543"/>
      <c r="W162" s="543"/>
      <c r="X162" s="544"/>
      <c r="Y162" s="498"/>
      <c r="Z162" s="1151"/>
      <c r="AA162" s="1152"/>
      <c r="AB162" s="1152"/>
      <c r="AC162" s="1153"/>
      <c r="AD162" s="556"/>
      <c r="AE162" s="543"/>
      <c r="AF162" s="543"/>
      <c r="AG162" s="544"/>
      <c r="AH162" s="498"/>
      <c r="AI162" s="1151"/>
      <c r="AJ162" s="1150"/>
      <c r="AK162" s="1150"/>
      <c r="AL162" s="1150"/>
      <c r="AM162" s="556"/>
      <c r="AN162" s="543"/>
      <c r="AO162" s="543"/>
      <c r="AP162" s="543"/>
      <c r="AQ162" s="543"/>
      <c r="AR162" s="544"/>
      <c r="AS162" s="498"/>
      <c r="AT162" s="1151"/>
      <c r="AU162" s="1150"/>
      <c r="AV162" s="1150"/>
      <c r="AW162" s="1150"/>
      <c r="AX162" s="556"/>
      <c r="AY162" s="543"/>
      <c r="AZ162" s="543"/>
      <c r="BA162" s="543"/>
      <c r="BB162" s="543"/>
      <c r="BC162" s="544"/>
      <c r="BK162" s="499"/>
    </row>
    <row r="163" spans="3:90" ht="12" customHeight="1">
      <c r="C163" s="497"/>
      <c r="D163" s="540" t="s">
        <v>831</v>
      </c>
      <c r="E163" s="540"/>
      <c r="F163" s="540"/>
      <c r="G163" s="540"/>
      <c r="H163" s="540"/>
      <c r="I163" s="540"/>
      <c r="J163" s="549"/>
      <c r="K163" s="543"/>
      <c r="L163" s="543"/>
      <c r="M163" s="543"/>
      <c r="N163" s="544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  <c r="AA163" s="567"/>
      <c r="AB163" s="567"/>
      <c r="AC163" s="567"/>
      <c r="AD163" s="567"/>
      <c r="AE163" s="567"/>
      <c r="AF163" s="567"/>
      <c r="AG163" s="567"/>
      <c r="AH163" s="567"/>
      <c r="AI163" s="567"/>
      <c r="AJ163" s="567"/>
      <c r="AK163" s="567"/>
      <c r="AL163" s="567"/>
      <c r="AM163" s="567"/>
      <c r="AN163" s="567"/>
      <c r="AO163" s="567"/>
      <c r="AP163" s="567"/>
      <c r="AQ163" s="567"/>
      <c r="AR163" s="567"/>
      <c r="AS163" s="567"/>
      <c r="AT163" s="567"/>
      <c r="AV163" s="567"/>
      <c r="AW163" s="567"/>
      <c r="AX163" s="567"/>
      <c r="AY163" s="567"/>
      <c r="AZ163" s="567"/>
      <c r="BK163" s="499"/>
    </row>
    <row r="164" spans="3:90" ht="12" customHeight="1">
      <c r="C164" s="497"/>
      <c r="D164" s="540" t="s">
        <v>832</v>
      </c>
      <c r="E164" s="540"/>
      <c r="F164" s="540"/>
      <c r="G164" s="540"/>
      <c r="H164" s="540"/>
      <c r="I164" s="540"/>
      <c r="J164" s="1143"/>
      <c r="K164" s="1144"/>
      <c r="L164" s="1144"/>
      <c r="M164" s="1145"/>
      <c r="N164" s="498"/>
      <c r="O164" s="498"/>
      <c r="P164" s="498"/>
      <c r="Q164" s="498"/>
      <c r="R164" s="498"/>
      <c r="S164" s="498"/>
      <c r="T164" s="498"/>
      <c r="U164" s="498"/>
      <c r="V164" s="498"/>
      <c r="W164" s="498"/>
      <c r="X164" s="498"/>
      <c r="Y164" s="498"/>
      <c r="Z164" s="498"/>
      <c r="AA164" s="498"/>
      <c r="AB164" s="498"/>
      <c r="AC164" s="498"/>
      <c r="AD164" s="498"/>
      <c r="AE164" s="498"/>
      <c r="AF164" s="498"/>
      <c r="AG164" s="498"/>
      <c r="AH164" s="498"/>
      <c r="AI164" s="498"/>
      <c r="AJ164" s="498"/>
      <c r="AK164" s="498"/>
      <c r="AL164" s="498"/>
      <c r="AM164" s="498"/>
      <c r="AN164" s="498"/>
      <c r="AO164" s="498"/>
      <c r="AP164" s="498"/>
      <c r="AQ164" s="498"/>
      <c r="AR164" s="498"/>
      <c r="AS164" s="498"/>
      <c r="AT164" s="498"/>
      <c r="AU164" s="498"/>
      <c r="AV164" s="498"/>
      <c r="AW164" s="498"/>
      <c r="AX164" s="498"/>
      <c r="AY164" s="498"/>
      <c r="AZ164" s="498"/>
      <c r="BA164" s="498"/>
      <c r="BB164" s="498"/>
      <c r="BC164" s="498"/>
      <c r="BD164" s="498"/>
      <c r="BE164" s="498"/>
      <c r="BF164" s="498"/>
      <c r="BG164" s="498"/>
      <c r="BK164" s="499"/>
    </row>
    <row r="165" spans="3:90" ht="12" customHeight="1">
      <c r="C165" s="497"/>
      <c r="D165" s="540" t="s">
        <v>834</v>
      </c>
      <c r="E165" s="540"/>
      <c r="F165" s="540"/>
      <c r="G165" s="540"/>
      <c r="H165" s="540"/>
      <c r="I165" s="540"/>
      <c r="J165" s="498" t="s">
        <v>835</v>
      </c>
      <c r="K165" s="498"/>
      <c r="L165" s="1154"/>
      <c r="M165" s="1155"/>
      <c r="N165" s="1156"/>
      <c r="O165" s="498"/>
      <c r="P165" s="498" t="s">
        <v>836</v>
      </c>
      <c r="Q165" s="498"/>
      <c r="R165" s="1154"/>
      <c r="S165" s="1155"/>
      <c r="T165" s="1156"/>
      <c r="U165" s="498"/>
      <c r="V165" s="498" t="s">
        <v>837</v>
      </c>
      <c r="W165" s="498"/>
      <c r="X165" s="498"/>
      <c r="Y165" s="498"/>
      <c r="Z165" s="498" t="s">
        <v>838</v>
      </c>
      <c r="AA165" s="498"/>
      <c r="AB165" s="1157"/>
      <c r="AC165" s="1158"/>
      <c r="AD165" s="1159"/>
      <c r="AE165" s="498"/>
      <c r="AF165" s="498" t="s">
        <v>839</v>
      </c>
      <c r="AG165" s="498"/>
      <c r="AH165" s="1154"/>
      <c r="AI165" s="1155"/>
      <c r="AJ165" s="1156"/>
      <c r="AK165" s="498"/>
      <c r="AL165" s="498"/>
      <c r="AM165" s="498"/>
      <c r="AN165" s="498"/>
      <c r="AO165" s="498"/>
      <c r="AP165" s="498"/>
      <c r="AQ165" s="498"/>
      <c r="AR165" s="498"/>
      <c r="AS165" s="498"/>
      <c r="AT165" s="498"/>
      <c r="AU165" s="498"/>
      <c r="AV165" s="498"/>
      <c r="AW165" s="498"/>
      <c r="AX165" s="498"/>
      <c r="AY165" s="498"/>
      <c r="AZ165" s="498"/>
      <c r="BA165" s="498"/>
      <c r="BB165" s="498"/>
      <c r="BC165" s="498"/>
      <c r="BD165" s="498"/>
      <c r="BE165" s="498"/>
      <c r="BF165" s="498"/>
      <c r="BG165" s="498"/>
      <c r="BK165" s="499"/>
    </row>
    <row r="166" spans="3:90" ht="12" customHeight="1">
      <c r="C166" s="497"/>
      <c r="D166" s="540" t="s">
        <v>840</v>
      </c>
      <c r="E166" s="540"/>
      <c r="F166" s="540"/>
      <c r="G166" s="540"/>
      <c r="H166" s="540"/>
      <c r="I166" s="540"/>
      <c r="J166" s="498" t="s">
        <v>835</v>
      </c>
      <c r="K166" s="498"/>
      <c r="L166" s="573"/>
      <c r="M166" s="543"/>
      <c r="N166" s="544"/>
      <c r="O166" s="498"/>
      <c r="P166" s="498" t="s">
        <v>836</v>
      </c>
      <c r="Q166" s="498"/>
      <c r="R166" s="1140"/>
      <c r="S166" s="1141"/>
      <c r="T166" s="1142"/>
      <c r="U166" s="498" t="s">
        <v>842</v>
      </c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I166" s="498"/>
      <c r="AJ166" s="498"/>
      <c r="AK166" s="498"/>
      <c r="AL166" s="498"/>
      <c r="AM166" s="498"/>
      <c r="AN166" s="498"/>
      <c r="AO166" s="498"/>
      <c r="AP166" s="498"/>
      <c r="AQ166" s="498"/>
      <c r="AR166" s="498"/>
      <c r="AS166" s="498"/>
      <c r="AT166" s="498"/>
      <c r="AU166" s="498"/>
      <c r="AV166" s="498"/>
      <c r="AW166" s="498"/>
      <c r="AX166" s="498"/>
      <c r="AY166" s="498"/>
      <c r="AZ166" s="498"/>
      <c r="BA166" s="498"/>
      <c r="BB166" s="498"/>
      <c r="BC166" s="498"/>
      <c r="BD166" s="498"/>
      <c r="BE166" s="498"/>
      <c r="BF166" s="498"/>
      <c r="BG166" s="498"/>
      <c r="BK166" s="499"/>
    </row>
    <row r="167" spans="3:90" ht="12" customHeight="1">
      <c r="C167" s="497"/>
      <c r="D167" s="540" t="s">
        <v>843</v>
      </c>
      <c r="E167" s="540"/>
      <c r="F167" s="540"/>
      <c r="G167" s="540"/>
      <c r="H167" s="540"/>
      <c r="I167" s="540"/>
      <c r="J167" s="498" t="s">
        <v>835</v>
      </c>
      <c r="K167" s="498"/>
      <c r="L167" s="573"/>
      <c r="M167" s="543"/>
      <c r="N167" s="544"/>
      <c r="O167" s="498"/>
      <c r="P167" s="498"/>
      <c r="Q167" s="498"/>
      <c r="R167" s="498"/>
      <c r="S167" s="498"/>
      <c r="T167" s="498"/>
      <c r="U167" s="498"/>
      <c r="V167" s="498"/>
      <c r="W167" s="498"/>
      <c r="X167" s="498"/>
      <c r="Y167" s="498"/>
      <c r="Z167" s="498"/>
      <c r="AA167" s="498"/>
      <c r="AB167" s="498"/>
      <c r="AC167" s="498"/>
      <c r="AD167" s="498"/>
      <c r="AE167" s="498"/>
      <c r="AF167" s="498"/>
      <c r="AG167" s="498"/>
      <c r="AH167" s="498"/>
      <c r="AI167" s="498"/>
      <c r="AJ167" s="498"/>
      <c r="AK167" s="498"/>
      <c r="AL167" s="498"/>
      <c r="AM167" s="498"/>
      <c r="AN167" s="498"/>
      <c r="AO167" s="498"/>
      <c r="AP167" s="498"/>
      <c r="AQ167" s="498"/>
      <c r="AR167" s="498"/>
      <c r="AS167" s="498"/>
      <c r="AT167" s="498"/>
      <c r="AU167" s="498"/>
      <c r="AV167" s="498"/>
      <c r="AW167" s="498"/>
      <c r="AX167" s="498"/>
      <c r="AY167" s="498"/>
      <c r="AZ167" s="498"/>
      <c r="BA167" s="498"/>
      <c r="BB167" s="498"/>
      <c r="BC167" s="498"/>
      <c r="BD167" s="498"/>
      <c r="BE167" s="498"/>
      <c r="BF167" s="498"/>
      <c r="BG167" s="498"/>
      <c r="BK167" s="499"/>
    </row>
    <row r="168" spans="3:90" ht="12" customHeight="1">
      <c r="C168" s="497"/>
      <c r="D168" s="540" t="s">
        <v>844</v>
      </c>
      <c r="E168" s="540"/>
      <c r="F168" s="540"/>
      <c r="G168" s="540"/>
      <c r="H168" s="540"/>
      <c r="I168" s="540"/>
      <c r="J168" s="1143"/>
      <c r="K168" s="1144"/>
      <c r="L168" s="1144"/>
      <c r="M168" s="1144"/>
      <c r="N168" s="1145"/>
      <c r="O168" s="498"/>
      <c r="P168" s="498"/>
      <c r="Q168" s="647"/>
      <c r="R168" s="498"/>
      <c r="S168" s="498"/>
      <c r="T168" s="498"/>
      <c r="U168" s="498"/>
      <c r="V168" s="498"/>
      <c r="W168" s="498"/>
      <c r="X168" s="498"/>
      <c r="Y168" s="498"/>
      <c r="Z168" s="498"/>
      <c r="AA168" s="498"/>
      <c r="AB168" s="498"/>
      <c r="AC168" s="498"/>
      <c r="AD168" s="498"/>
      <c r="AE168" s="498"/>
      <c r="AF168" s="498"/>
      <c r="AG168" s="498"/>
      <c r="AH168" s="498"/>
      <c r="AI168" s="498"/>
      <c r="AJ168" s="498"/>
      <c r="AK168" s="498"/>
      <c r="AL168" s="498"/>
      <c r="AM168" s="498"/>
      <c r="AN168" s="498"/>
      <c r="AO168" s="498"/>
      <c r="AP168" s="498"/>
      <c r="AQ168" s="498"/>
      <c r="AR168" s="498"/>
      <c r="AS168" s="498"/>
      <c r="AT168" s="498"/>
      <c r="AU168" s="498"/>
      <c r="AV168" s="498"/>
      <c r="AW168" s="498"/>
      <c r="AX168" s="498"/>
      <c r="AY168" s="498"/>
      <c r="AZ168" s="498"/>
      <c r="BA168" s="498"/>
      <c r="BB168" s="498"/>
      <c r="BC168" s="498"/>
      <c r="BD168" s="498"/>
      <c r="BE168" s="498"/>
      <c r="BF168" s="498"/>
      <c r="BG168" s="498"/>
      <c r="BK168" s="499"/>
    </row>
    <row r="169" spans="3:90" ht="12" customHeight="1">
      <c r="C169" s="497"/>
      <c r="D169" s="540" t="s">
        <v>722</v>
      </c>
      <c r="E169" s="540"/>
      <c r="F169" s="540"/>
      <c r="G169" s="540"/>
      <c r="H169" s="540"/>
      <c r="I169" s="540"/>
      <c r="J169" s="1146">
        <v>1</v>
      </c>
      <c r="K169" s="1147"/>
      <c r="L169" s="1147"/>
      <c r="M169" s="1147"/>
      <c r="N169" s="1148"/>
      <c r="P169" s="540" t="s">
        <v>845</v>
      </c>
      <c r="Q169" s="540"/>
      <c r="R169" s="540"/>
      <c r="S169" s="540"/>
      <c r="T169" s="564"/>
      <c r="U169" s="565"/>
      <c r="V169" s="565"/>
      <c r="W169" s="565" t="s">
        <v>773</v>
      </c>
      <c r="X169" s="574"/>
      <c r="Z169" s="540" t="s">
        <v>847</v>
      </c>
      <c r="AA169" s="540"/>
      <c r="AB169" s="540"/>
      <c r="AC169" s="540"/>
      <c r="AD169" s="1314">
        <v>50000</v>
      </c>
      <c r="AE169" s="1315"/>
      <c r="AF169" s="1315"/>
      <c r="AG169" s="1316"/>
      <c r="AH169" s="575"/>
      <c r="AI169" s="540" t="s">
        <v>848</v>
      </c>
      <c r="AJ169" s="540"/>
      <c r="AK169" s="540"/>
      <c r="AL169" s="540"/>
      <c r="AM169" s="564"/>
      <c r="AN169" s="565"/>
      <c r="AO169" s="565"/>
      <c r="AP169" s="565"/>
      <c r="AQ169" s="748"/>
      <c r="AT169" s="540" t="s">
        <v>849</v>
      </c>
      <c r="AU169" s="540"/>
      <c r="AV169" s="540"/>
      <c r="AW169" s="540"/>
      <c r="AX169" s="540"/>
      <c r="AY169" s="583"/>
      <c r="AZ169" s="584"/>
      <c r="BA169" s="584"/>
      <c r="BB169" s="584" t="s">
        <v>773</v>
      </c>
      <c r="BC169" s="578"/>
      <c r="BE169" s="8" t="s">
        <v>850</v>
      </c>
      <c r="BF169" s="10"/>
      <c r="BH169" s="10"/>
      <c r="BK169" s="499"/>
    </row>
    <row r="170" spans="3:90" ht="12" customHeight="1">
      <c r="C170" s="497"/>
      <c r="D170" s="498"/>
      <c r="E170" s="498"/>
      <c r="F170" s="498"/>
      <c r="G170" s="498"/>
      <c r="H170" s="498"/>
      <c r="I170" s="498"/>
      <c r="J170" s="891"/>
      <c r="K170" s="891"/>
      <c r="L170" s="891"/>
      <c r="M170" s="891"/>
      <c r="N170" s="498"/>
      <c r="O170" s="498"/>
      <c r="P170" s="498"/>
      <c r="Q170" s="498"/>
      <c r="R170" s="498"/>
      <c r="S170" s="498"/>
      <c r="T170" s="498"/>
      <c r="U170" s="498"/>
      <c r="V170" s="498"/>
      <c r="W170" s="498"/>
      <c r="X170" s="498"/>
      <c r="Y170" s="498"/>
      <c r="Z170" s="498"/>
      <c r="AA170" s="498"/>
      <c r="AB170" s="498"/>
      <c r="AC170" s="498"/>
      <c r="AD170" s="498"/>
      <c r="AE170" s="498"/>
      <c r="AF170" s="498"/>
      <c r="AG170" s="498"/>
      <c r="AH170" s="498"/>
      <c r="AN170" s="498"/>
      <c r="AO170" s="498"/>
      <c r="AP170" s="498"/>
      <c r="AQ170" s="498"/>
      <c r="AR170" s="498"/>
      <c r="AS170" s="498"/>
      <c r="AT170" s="498"/>
      <c r="AU170" s="498"/>
      <c r="AV170" s="498"/>
      <c r="AW170" s="498"/>
      <c r="AX170" s="498"/>
      <c r="AY170" s="498"/>
      <c r="AZ170" s="498"/>
      <c r="BA170" s="498"/>
      <c r="BI170" s="498"/>
      <c r="BK170" s="499"/>
    </row>
    <row r="171" spans="3:90" ht="12" customHeight="1">
      <c r="C171" s="497"/>
      <c r="D171" s="566" t="s">
        <v>851</v>
      </c>
      <c r="E171" s="515"/>
      <c r="F171" s="515"/>
      <c r="G171" s="515"/>
      <c r="H171" s="515"/>
      <c r="I171" s="515"/>
      <c r="Q171" s="8"/>
      <c r="BF171" s="10"/>
      <c r="BH171" s="10"/>
      <c r="BK171" s="499"/>
    </row>
    <row r="172" spans="3:90" ht="12" customHeight="1">
      <c r="C172" s="497"/>
      <c r="D172" s="540" t="s">
        <v>852</v>
      </c>
      <c r="E172" s="540"/>
      <c r="F172" s="540"/>
      <c r="G172" s="540"/>
      <c r="H172" s="540"/>
      <c r="I172" s="540"/>
      <c r="J172" s="580"/>
      <c r="K172" s="562"/>
      <c r="L172" s="562"/>
      <c r="M172" s="562"/>
      <c r="N172" s="562"/>
      <c r="O172" s="542"/>
      <c r="P172" s="543"/>
      <c r="Q172" s="543"/>
      <c r="R172" s="543"/>
      <c r="S172" s="543"/>
      <c r="T172" s="543"/>
      <c r="U172" s="543"/>
      <c r="V172" s="569"/>
      <c r="W172" s="569"/>
      <c r="X172" s="569"/>
      <c r="Y172" s="575"/>
      <c r="Z172" s="540" t="s">
        <v>854</v>
      </c>
      <c r="AA172" s="540"/>
      <c r="AB172" s="540"/>
      <c r="AC172" s="540"/>
      <c r="AD172" s="581"/>
      <c r="AE172" s="581"/>
      <c r="AF172" s="581"/>
      <c r="AG172" s="574"/>
      <c r="AH172" s="498"/>
      <c r="AI172" s="540" t="s">
        <v>855</v>
      </c>
      <c r="AJ172" s="540"/>
      <c r="AK172" s="540"/>
      <c r="AL172" s="540"/>
      <c r="AM172" s="564"/>
      <c r="AN172" s="565"/>
      <c r="AO172" s="565"/>
      <c r="AP172" s="565"/>
      <c r="AQ172" s="748"/>
      <c r="AT172" s="540" t="s">
        <v>849</v>
      </c>
      <c r="AU172" s="540"/>
      <c r="AV172" s="540"/>
      <c r="AW172" s="540"/>
      <c r="AX172" s="540"/>
      <c r="AY172" s="583"/>
      <c r="AZ172" s="584"/>
      <c r="BA172" s="584"/>
      <c r="BB172" s="584"/>
      <c r="BC172" s="578"/>
      <c r="BK172" s="499"/>
      <c r="CL172" s="500" t="s">
        <v>1207</v>
      </c>
    </row>
    <row r="173" spans="3:90" ht="12" customHeight="1">
      <c r="C173" s="497"/>
      <c r="D173" s="498"/>
      <c r="E173" s="498"/>
      <c r="F173" s="498"/>
      <c r="G173" s="498"/>
      <c r="H173" s="498"/>
      <c r="I173" s="498"/>
      <c r="J173" s="891"/>
      <c r="K173" s="891"/>
      <c r="L173" s="891"/>
      <c r="M173" s="891"/>
      <c r="N173" s="498"/>
      <c r="O173" s="498"/>
      <c r="P173" s="498"/>
      <c r="Q173" s="498"/>
      <c r="R173" s="498"/>
      <c r="S173" s="498"/>
      <c r="T173" s="498"/>
      <c r="U173" s="498"/>
      <c r="V173" s="498"/>
      <c r="W173" s="498"/>
      <c r="X173" s="498"/>
      <c r="Y173" s="498"/>
      <c r="Z173" s="498"/>
      <c r="AA173" s="498"/>
      <c r="AB173" s="498"/>
      <c r="AC173" s="498"/>
      <c r="AD173" s="498"/>
      <c r="AE173" s="498"/>
      <c r="AF173" s="498"/>
      <c r="AG173" s="498"/>
      <c r="AH173" s="498"/>
      <c r="AN173" s="498"/>
      <c r="AO173" s="498"/>
      <c r="AP173" s="498"/>
      <c r="AQ173" s="498"/>
      <c r="AR173" s="498"/>
      <c r="AS173" s="498"/>
      <c r="AT173" s="498"/>
      <c r="AU173" s="498"/>
      <c r="AV173" s="498"/>
      <c r="AW173" s="498"/>
      <c r="AX173" s="498"/>
      <c r="AY173" s="498"/>
      <c r="AZ173" s="498"/>
      <c r="BA173" s="498"/>
      <c r="BI173" s="498"/>
      <c r="BK173" s="499"/>
    </row>
    <row r="174" spans="3:90" ht="12" customHeight="1">
      <c r="C174" s="497"/>
      <c r="D174" s="566" t="s">
        <v>858</v>
      </c>
      <c r="E174" s="515"/>
      <c r="F174" s="515"/>
      <c r="G174" s="515"/>
      <c r="H174" s="515"/>
      <c r="I174" s="515"/>
      <c r="BB174" s="498"/>
      <c r="BC174" s="498"/>
      <c r="BD174" s="498"/>
      <c r="BE174" s="498"/>
      <c r="BF174" s="498"/>
      <c r="BG174" s="498"/>
      <c r="BH174" s="498"/>
      <c r="BI174" s="498"/>
      <c r="BK174" s="499"/>
    </row>
    <row r="175" spans="3:90" ht="12" customHeight="1">
      <c r="C175" s="497"/>
      <c r="D175" s="540" t="s">
        <v>859</v>
      </c>
      <c r="E175" s="540"/>
      <c r="F175" s="540"/>
      <c r="G175" s="540"/>
      <c r="H175" s="540"/>
      <c r="I175" s="540"/>
      <c r="J175" s="511"/>
      <c r="K175" s="503"/>
      <c r="L175" s="503"/>
      <c r="M175" s="503"/>
      <c r="N175" s="503"/>
      <c r="O175" s="503"/>
      <c r="P175" s="503"/>
      <c r="Q175" s="503"/>
      <c r="R175" s="503"/>
      <c r="S175" s="503"/>
      <c r="T175" s="503"/>
      <c r="U175" s="503"/>
      <c r="V175" s="503"/>
      <c r="W175" s="503"/>
      <c r="X175" s="503"/>
      <c r="Y175" s="503"/>
      <c r="Z175" s="503"/>
      <c r="AA175" s="504"/>
      <c r="AD175" s="540" t="s">
        <v>861</v>
      </c>
      <c r="AE175" s="540"/>
      <c r="AF175" s="540"/>
      <c r="AG175" s="540"/>
      <c r="AH175" s="540"/>
      <c r="AI175" s="540"/>
      <c r="AJ175" s="511"/>
      <c r="AK175" s="503"/>
      <c r="AL175" s="503"/>
      <c r="AM175" s="503"/>
      <c r="AN175" s="503"/>
      <c r="AO175" s="503"/>
      <c r="AP175" s="503"/>
      <c r="AQ175" s="503"/>
      <c r="AR175" s="503"/>
      <c r="AS175" s="503"/>
      <c r="AT175" s="503"/>
      <c r="AU175" s="503"/>
      <c r="AV175" s="503"/>
      <c r="AW175" s="503"/>
      <c r="AX175" s="503"/>
      <c r="AY175" s="503"/>
      <c r="AZ175" s="503"/>
      <c r="BA175" s="504"/>
      <c r="BB175" s="498"/>
      <c r="BC175" s="498"/>
      <c r="BD175" s="498"/>
      <c r="BE175" s="498"/>
      <c r="BF175" s="498"/>
      <c r="BG175" s="498"/>
      <c r="BH175" s="498"/>
      <c r="BI175" s="498"/>
      <c r="BK175" s="499"/>
    </row>
    <row r="176" spans="3:90" ht="12" customHeight="1">
      <c r="C176" s="497"/>
      <c r="D176" s="540" t="s">
        <v>863</v>
      </c>
      <c r="E176" s="540"/>
      <c r="F176" s="540"/>
      <c r="G176" s="540"/>
      <c r="H176" s="540"/>
      <c r="I176" s="540"/>
      <c r="J176" s="511"/>
      <c r="K176" s="503"/>
      <c r="L176" s="503"/>
      <c r="M176" s="503"/>
      <c r="N176" s="503"/>
      <c r="O176" s="503"/>
      <c r="P176" s="503"/>
      <c r="Q176" s="503"/>
      <c r="R176" s="503"/>
      <c r="S176" s="503"/>
      <c r="T176" s="503"/>
      <c r="U176" s="503"/>
      <c r="V176" s="503"/>
      <c r="W176" s="503"/>
      <c r="X176" s="503"/>
      <c r="Y176" s="503"/>
      <c r="Z176" s="503"/>
      <c r="AA176" s="504"/>
      <c r="AD176" s="540" t="s">
        <v>864</v>
      </c>
      <c r="AE176" s="540"/>
      <c r="AF176" s="540"/>
      <c r="AG176" s="540"/>
      <c r="AH176" s="540"/>
      <c r="AI176" s="540"/>
      <c r="AJ176" s="511"/>
      <c r="AK176" s="503"/>
      <c r="AL176" s="503"/>
      <c r="AM176" s="503"/>
      <c r="AN176" s="503"/>
      <c r="AO176" s="503"/>
      <c r="AP176" s="503"/>
      <c r="AQ176" s="503"/>
      <c r="AR176" s="503"/>
      <c r="AS176" s="503"/>
      <c r="AT176" s="503"/>
      <c r="AU176" s="503"/>
      <c r="AV176" s="503"/>
      <c r="AW176" s="503"/>
      <c r="AX176" s="503"/>
      <c r="AY176" s="503"/>
      <c r="AZ176" s="503"/>
      <c r="BA176" s="504"/>
      <c r="BB176" s="498"/>
      <c r="BC176" s="498"/>
      <c r="BD176" s="498"/>
      <c r="BE176" s="498"/>
      <c r="BF176" s="498"/>
      <c r="BG176" s="498"/>
      <c r="BH176" s="498"/>
      <c r="BI176" s="498"/>
      <c r="BK176" s="499"/>
    </row>
    <row r="177" spans="3:63" ht="12" customHeight="1">
      <c r="C177" s="497"/>
      <c r="D177" s="540" t="s">
        <v>865</v>
      </c>
      <c r="E177" s="540"/>
      <c r="F177" s="540"/>
      <c r="G177" s="540"/>
      <c r="H177" s="540"/>
      <c r="I177" s="540"/>
      <c r="J177" s="511"/>
      <c r="K177" s="503"/>
      <c r="L177" s="503"/>
      <c r="M177" s="503"/>
      <c r="N177" s="503"/>
      <c r="O177" s="503"/>
      <c r="P177" s="503"/>
      <c r="Q177" s="503"/>
      <c r="R177" s="503"/>
      <c r="S177" s="503"/>
      <c r="T177" s="503"/>
      <c r="U177" s="503"/>
      <c r="V177" s="503"/>
      <c r="W177" s="503"/>
      <c r="X177" s="503"/>
      <c r="Y177" s="503"/>
      <c r="Z177" s="503"/>
      <c r="AA177" s="504"/>
      <c r="AD177" s="540" t="s">
        <v>867</v>
      </c>
      <c r="AE177" s="540"/>
      <c r="AF177" s="540"/>
      <c r="AG177" s="540"/>
      <c r="AH177" s="540"/>
      <c r="AI177" s="540"/>
      <c r="AJ177" s="511"/>
      <c r="AK177" s="503"/>
      <c r="AL177" s="503"/>
      <c r="AM177" s="503"/>
      <c r="AN177" s="503"/>
      <c r="AO177" s="503"/>
      <c r="AP177" s="503"/>
      <c r="AQ177" s="503"/>
      <c r="AR177" s="503"/>
      <c r="AS177" s="503"/>
      <c r="AT177" s="503"/>
      <c r="AU177" s="503"/>
      <c r="AV177" s="503"/>
      <c r="AW177" s="503"/>
      <c r="AX177" s="503"/>
      <c r="AY177" s="503"/>
      <c r="AZ177" s="503"/>
      <c r="BA177" s="504"/>
      <c r="BB177" s="498"/>
      <c r="BC177" s="498"/>
      <c r="BD177" s="498"/>
      <c r="BE177" s="498"/>
      <c r="BF177" s="498"/>
      <c r="BG177" s="498"/>
      <c r="BH177" s="498"/>
      <c r="BI177" s="498"/>
      <c r="BK177" s="499"/>
    </row>
    <row r="178" spans="3:63" ht="12" customHeight="1">
      <c r="C178" s="497"/>
      <c r="D178" s="540" t="s">
        <v>869</v>
      </c>
      <c r="E178" s="540"/>
      <c r="F178" s="540"/>
      <c r="G178" s="540"/>
      <c r="H178" s="540"/>
      <c r="I178" s="540"/>
      <c r="J178" s="511"/>
      <c r="K178" s="503"/>
      <c r="L178" s="503"/>
      <c r="M178" s="503"/>
      <c r="N178" s="503"/>
      <c r="O178" s="503"/>
      <c r="P178" s="503"/>
      <c r="Q178" s="503"/>
      <c r="R178" s="503"/>
      <c r="S178" s="503"/>
      <c r="T178" s="503"/>
      <c r="U178" s="503"/>
      <c r="V178" s="503"/>
      <c r="W178" s="503"/>
      <c r="X178" s="503"/>
      <c r="Y178" s="503"/>
      <c r="Z178" s="585" t="s">
        <v>870</v>
      </c>
      <c r="AA178" s="504"/>
      <c r="AD178" s="498"/>
      <c r="AE178" s="498"/>
      <c r="AF178" s="498"/>
      <c r="AG178" s="498"/>
      <c r="AH178" s="498"/>
      <c r="AI178" s="498"/>
      <c r="AJ178" s="586"/>
      <c r="AK178" s="586"/>
      <c r="AL178" s="586"/>
      <c r="AM178" s="586"/>
      <c r="AN178" s="586"/>
      <c r="AO178" s="586"/>
      <c r="AP178" s="586"/>
      <c r="AQ178" s="586"/>
      <c r="AR178" s="586"/>
      <c r="AS178" s="586"/>
      <c r="AT178" s="586"/>
      <c r="AU178" s="586"/>
      <c r="AV178" s="586"/>
      <c r="AW178" s="586"/>
      <c r="AX178" s="586"/>
      <c r="AY178" s="586"/>
      <c r="AZ178" s="587"/>
      <c r="BA178" s="586"/>
      <c r="BB178" s="498"/>
      <c r="BC178" s="498"/>
      <c r="BD178" s="498"/>
      <c r="BE178" s="498"/>
      <c r="BF178" s="498"/>
      <c r="BG178" s="498"/>
      <c r="BH178" s="498"/>
      <c r="BI178" s="498"/>
      <c r="BK178" s="499"/>
    </row>
    <row r="179" spans="3:63" ht="12" customHeight="1">
      <c r="C179" s="497"/>
      <c r="D179" s="498"/>
      <c r="E179" s="498"/>
      <c r="F179" s="498"/>
      <c r="G179" s="498"/>
      <c r="H179" s="498"/>
      <c r="I179" s="498"/>
      <c r="J179" s="498"/>
      <c r="K179" s="498"/>
      <c r="L179" s="498"/>
      <c r="M179" s="498"/>
      <c r="N179" s="498"/>
      <c r="O179" s="498"/>
      <c r="P179" s="498"/>
      <c r="Q179" s="498"/>
      <c r="R179" s="498"/>
      <c r="S179" s="498"/>
      <c r="T179" s="498"/>
      <c r="U179" s="498"/>
      <c r="V179" s="498"/>
      <c r="W179" s="498"/>
      <c r="X179" s="498"/>
      <c r="Y179" s="498"/>
      <c r="Z179" s="498"/>
      <c r="AA179" s="498"/>
      <c r="AB179" s="498"/>
      <c r="AC179" s="498"/>
      <c r="AD179" s="498"/>
      <c r="AE179" s="498"/>
      <c r="AF179" s="498"/>
      <c r="AG179" s="498"/>
      <c r="AH179" s="498"/>
      <c r="AI179" s="498"/>
      <c r="AJ179" s="498"/>
      <c r="AK179" s="498"/>
      <c r="AL179" s="498"/>
      <c r="AM179" s="498"/>
      <c r="AN179" s="498"/>
      <c r="AO179" s="498"/>
      <c r="AP179" s="498"/>
      <c r="AQ179" s="498"/>
      <c r="AR179" s="498"/>
      <c r="AS179" s="498"/>
      <c r="AT179" s="498"/>
      <c r="AU179" s="498"/>
      <c r="AV179" s="498"/>
      <c r="AW179" s="498"/>
      <c r="AX179" s="498"/>
      <c r="AY179" s="498"/>
      <c r="AZ179" s="498"/>
      <c r="BA179" s="498"/>
      <c r="BB179" s="498"/>
      <c r="BC179" s="498"/>
      <c r="BD179" s="498"/>
      <c r="BE179" s="498"/>
      <c r="BF179" s="498"/>
      <c r="BG179" s="498"/>
      <c r="BH179" s="498"/>
      <c r="BI179" s="498"/>
      <c r="BK179" s="499"/>
    </row>
    <row r="180" spans="3:63" ht="12" customHeight="1">
      <c r="C180" s="497"/>
      <c r="BK180" s="499"/>
    </row>
    <row r="181" spans="3:63" ht="12" customHeight="1">
      <c r="C181" s="50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7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09"/>
    </row>
    <row r="182" spans="3:63" ht="12" customHeight="1" thickBot="1">
      <c r="C182" s="531"/>
      <c r="D182" s="532"/>
      <c r="E182" s="532"/>
      <c r="F182" s="532"/>
      <c r="G182" s="532"/>
      <c r="H182" s="532"/>
      <c r="I182" s="532"/>
      <c r="J182" s="532"/>
      <c r="K182" s="532"/>
      <c r="L182" s="532"/>
      <c r="M182" s="532"/>
      <c r="N182" s="532"/>
      <c r="O182" s="532"/>
      <c r="P182" s="532"/>
      <c r="Q182" s="533"/>
      <c r="R182" s="532"/>
      <c r="S182" s="532"/>
      <c r="T182" s="532"/>
      <c r="U182" s="532"/>
      <c r="V182" s="532"/>
      <c r="W182" s="532"/>
      <c r="X182" s="532"/>
      <c r="Y182" s="532"/>
      <c r="Z182" s="532"/>
      <c r="AA182" s="532"/>
      <c r="AB182" s="532"/>
      <c r="AC182" s="532"/>
      <c r="AD182" s="532"/>
      <c r="AE182" s="532"/>
      <c r="AF182" s="532"/>
      <c r="AG182" s="532"/>
      <c r="AH182" s="532"/>
      <c r="AI182" s="532"/>
      <c r="AJ182" s="532"/>
      <c r="AK182" s="532"/>
      <c r="AL182" s="532"/>
      <c r="AM182" s="532"/>
      <c r="AN182" s="532"/>
      <c r="AO182" s="532"/>
      <c r="AP182" s="532"/>
      <c r="AQ182" s="532"/>
      <c r="AR182" s="532"/>
      <c r="AS182" s="532"/>
      <c r="AT182" s="532"/>
      <c r="AU182" s="532"/>
      <c r="AV182" s="532"/>
      <c r="AW182" s="532"/>
      <c r="AX182" s="532"/>
      <c r="AY182" s="532"/>
      <c r="AZ182" s="532"/>
      <c r="BA182" s="532"/>
      <c r="BB182" s="532"/>
      <c r="BC182" s="532"/>
      <c r="BD182" s="532"/>
      <c r="BE182" s="532"/>
      <c r="BF182" s="532"/>
      <c r="BG182" s="532"/>
      <c r="BH182" s="532"/>
      <c r="BI182" s="532"/>
      <c r="BJ182" s="532"/>
      <c r="BK182" s="534"/>
    </row>
  </sheetData>
  <mergeCells count="269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C38:EE38"/>
    <mergeCell ref="EF38:EH38"/>
    <mergeCell ref="EI38:EK38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EI39:EK39"/>
    <mergeCell ref="EL39:EN39"/>
    <mergeCell ref="EO39:EQ39"/>
    <mergeCell ref="ER39:ET39"/>
    <mergeCell ref="DK39:DM39"/>
    <mergeCell ref="DN39:DP39"/>
    <mergeCell ref="DQ39:DS39"/>
    <mergeCell ref="DT39:DV39"/>
    <mergeCell ref="DW39:DY39"/>
    <mergeCell ref="DZ39:EB39"/>
    <mergeCell ref="DH40:DJ40"/>
    <mergeCell ref="CA40:CC40"/>
    <mergeCell ref="CD40:CF40"/>
    <mergeCell ref="CG40:CI40"/>
    <mergeCell ref="CJ40:CL40"/>
    <mergeCell ref="CM40:CO40"/>
    <mergeCell ref="CP40:CR40"/>
    <mergeCell ref="EC39:EE39"/>
    <mergeCell ref="EF39:EH39"/>
    <mergeCell ref="CS39:CU39"/>
    <mergeCell ref="CV39:CX39"/>
    <mergeCell ref="CY39:DA39"/>
    <mergeCell ref="DB39:DD39"/>
    <mergeCell ref="DE39:DG39"/>
    <mergeCell ref="DH39:DJ39"/>
    <mergeCell ref="CA39:CC39"/>
    <mergeCell ref="CD39:CF39"/>
    <mergeCell ref="CG39:CI39"/>
    <mergeCell ref="CJ39:CL39"/>
    <mergeCell ref="CM39:CO39"/>
    <mergeCell ref="CP39:CR39"/>
    <mergeCell ref="BZ41:DP42"/>
    <mergeCell ref="EL41:EN41"/>
    <mergeCell ref="EO41:EQ41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H95:K95"/>
    <mergeCell ref="J98:K98"/>
    <mergeCell ref="J99:M99"/>
    <mergeCell ref="Z99:AC99"/>
    <mergeCell ref="AI99:AL99"/>
    <mergeCell ref="AT99:AW99"/>
    <mergeCell ref="AC64:AF64"/>
    <mergeCell ref="AH64:AK64"/>
    <mergeCell ref="AE83:AG83"/>
    <mergeCell ref="AM83:AP83"/>
    <mergeCell ref="AR83:AU83"/>
    <mergeCell ref="AB87:AE87"/>
    <mergeCell ref="AH104:AJ104"/>
    <mergeCell ref="R105:T105"/>
    <mergeCell ref="J100:M100"/>
    <mergeCell ref="Z100:AC100"/>
    <mergeCell ref="AI100:AL100"/>
    <mergeCell ref="AT100:AW100"/>
    <mergeCell ref="J101:M101"/>
    <mergeCell ref="Z101:AC101"/>
    <mergeCell ref="AI101:AL101"/>
    <mergeCell ref="AT101:AW101"/>
    <mergeCell ref="J107:N107"/>
    <mergeCell ref="J108:N108"/>
    <mergeCell ref="AF108:AG108"/>
    <mergeCell ref="J109:M109"/>
    <mergeCell ref="J112:M112"/>
    <mergeCell ref="AE144:AG144"/>
    <mergeCell ref="J103:M103"/>
    <mergeCell ref="L104:N104"/>
    <mergeCell ref="R104:T104"/>
    <mergeCell ref="AB104:AD104"/>
    <mergeCell ref="AM144:AP144"/>
    <mergeCell ref="AR144:AU144"/>
    <mergeCell ref="AB148:AE148"/>
    <mergeCell ref="H156:K156"/>
    <mergeCell ref="J159:K159"/>
    <mergeCell ref="J160:M160"/>
    <mergeCell ref="Z160:AC160"/>
    <mergeCell ref="AI160:AL160"/>
    <mergeCell ref="AT160:AW160"/>
    <mergeCell ref="AH165:AJ165"/>
    <mergeCell ref="R166:T166"/>
    <mergeCell ref="J161:M161"/>
    <mergeCell ref="Z161:AC161"/>
    <mergeCell ref="AI161:AL161"/>
    <mergeCell ref="AT161:AW161"/>
    <mergeCell ref="J162:M162"/>
    <mergeCell ref="Z162:AC162"/>
    <mergeCell ref="AI162:AL162"/>
    <mergeCell ref="AT162:AW162"/>
    <mergeCell ref="J168:N168"/>
    <mergeCell ref="J169:N169"/>
    <mergeCell ref="AD169:AG169"/>
    <mergeCell ref="J170:M170"/>
    <mergeCell ref="J173:M173"/>
    <mergeCell ref="J164:M164"/>
    <mergeCell ref="L165:N165"/>
    <mergeCell ref="R165:T165"/>
    <mergeCell ref="AB165:AD165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2" manualBreakCount="2">
    <brk id="50" max="87" man="1"/>
    <brk id="74" max="87" man="1"/>
  </row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8B35-699E-450C-B136-7056B72C70F7}">
  <sheetPr>
    <tabColor rgb="FFFF00FF"/>
    <pageSetUpPr fitToPage="1"/>
  </sheetPr>
  <dimension ref="A2:HY261"/>
  <sheetViews>
    <sheetView showGridLines="0" showZeros="0" view="pageBreakPreview" topLeftCell="A80" zoomScaleNormal="100" zoomScaleSheetLayoutView="100" workbookViewId="0">
      <selection activeCell="H90" sqref="H90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1208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1209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1000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8" spans="2:76" ht="28.5">
      <c r="B78" s="488" t="s">
        <v>779</v>
      </c>
    </row>
    <row r="79" spans="2:76" ht="12" customHeight="1">
      <c r="C79" s="489" t="s">
        <v>1151</v>
      </c>
    </row>
    <row r="80" spans="2:76" ht="12" customHeight="1" thickBot="1">
      <c r="C80" s="489" t="s">
        <v>781</v>
      </c>
    </row>
    <row r="81" spans="3:63" ht="12" customHeight="1">
      <c r="C81" s="535"/>
      <c r="D81" s="536" t="s">
        <v>783</v>
      </c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8"/>
      <c r="R81" s="537"/>
      <c r="S81" s="537"/>
      <c r="T81" s="537"/>
      <c r="U81" s="537"/>
      <c r="V81" s="537"/>
      <c r="W81" s="537"/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7"/>
      <c r="AK81" s="537"/>
      <c r="AL81" s="537"/>
      <c r="AM81" s="537"/>
      <c r="AN81" s="537"/>
      <c r="AO81" s="537"/>
      <c r="AP81" s="537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493"/>
    </row>
    <row r="82" spans="3:63" ht="12" customHeight="1">
      <c r="C82" s="497"/>
      <c r="Q82" s="8"/>
      <c r="BK82" s="499"/>
    </row>
    <row r="83" spans="3:63" ht="12" customHeight="1">
      <c r="C83" s="539"/>
      <c r="D83" s="540" t="s">
        <v>245</v>
      </c>
      <c r="E83" s="540"/>
      <c r="F83" s="541"/>
      <c r="G83" s="540"/>
      <c r="H83" s="542" t="s">
        <v>761</v>
      </c>
      <c r="I83" s="543"/>
      <c r="J83" s="543"/>
      <c r="K83" s="543"/>
      <c r="L83" s="543"/>
      <c r="M83" s="544"/>
      <c r="N83" s="498"/>
      <c r="O83" s="540" t="s">
        <v>244</v>
      </c>
      <c r="P83" s="540"/>
      <c r="Q83" s="541"/>
      <c r="R83" s="540"/>
      <c r="S83" s="498"/>
      <c r="T83" s="542" t="s">
        <v>774</v>
      </c>
      <c r="U83" s="543"/>
      <c r="V83" s="543"/>
      <c r="W83" s="543"/>
      <c r="X83" s="544"/>
      <c r="AA83" s="540" t="s">
        <v>784</v>
      </c>
      <c r="AB83" s="545"/>
      <c r="AC83" s="540"/>
      <c r="AE83" s="1163"/>
      <c r="AF83" s="1164"/>
      <c r="AG83" s="1165"/>
      <c r="AJ83" s="546" t="s">
        <v>732</v>
      </c>
      <c r="AK83" s="546"/>
      <c r="AL83" s="546"/>
      <c r="AM83" s="1166">
        <v>44627</v>
      </c>
      <c r="AN83" s="1167"/>
      <c r="AO83" s="1167"/>
      <c r="AP83" s="1167"/>
      <c r="AR83" s="1168">
        <v>0.5</v>
      </c>
      <c r="AS83" s="1169"/>
      <c r="AT83" s="1169"/>
      <c r="AU83" s="1170"/>
      <c r="AV83" s="512"/>
      <c r="BK83" s="499"/>
    </row>
    <row r="84" spans="3:63" ht="12" customHeight="1">
      <c r="C84" s="539"/>
      <c r="Q84" s="8"/>
      <c r="BK84" s="499"/>
    </row>
    <row r="85" spans="3:63" ht="12" customHeight="1">
      <c r="C85" s="539"/>
      <c r="D85" s="547" t="s">
        <v>785</v>
      </c>
      <c r="E85" s="540"/>
      <c r="F85" s="547"/>
      <c r="G85" s="540"/>
      <c r="H85" s="548" t="s">
        <v>786</v>
      </c>
      <c r="I85" s="482"/>
      <c r="J85" s="482"/>
      <c r="K85" s="483"/>
      <c r="O85" s="540" t="s">
        <v>235</v>
      </c>
      <c r="P85" s="547"/>
      <c r="Q85" s="540"/>
      <c r="R85" s="547"/>
      <c r="S85" s="540"/>
      <c r="T85" s="549" t="s">
        <v>1210</v>
      </c>
      <c r="U85" s="482"/>
      <c r="V85" s="482"/>
      <c r="W85" s="482"/>
      <c r="X85" s="482"/>
      <c r="Y85" s="483"/>
      <c r="AA85" s="540"/>
      <c r="AB85" s="540"/>
      <c r="AC85" s="541" t="s">
        <v>787</v>
      </c>
      <c r="AD85" s="540"/>
      <c r="AE85" s="540" t="s">
        <v>788</v>
      </c>
      <c r="AF85" s="550"/>
      <c r="AG85" s="482"/>
      <c r="AH85" s="482"/>
      <c r="AI85" s="482"/>
      <c r="AJ85" s="483"/>
      <c r="AL85" s="540" t="s">
        <v>790</v>
      </c>
      <c r="AM85" s="548"/>
      <c r="AN85" s="482"/>
      <c r="AO85" s="482"/>
      <c r="AP85" s="482"/>
      <c r="AQ85" s="483"/>
      <c r="AS85" s="540" t="s">
        <v>791</v>
      </c>
      <c r="AT85" s="548"/>
      <c r="AU85" s="482"/>
      <c r="AV85" s="482"/>
      <c r="AW85" s="482"/>
      <c r="AX85" s="483"/>
      <c r="BK85" s="499"/>
    </row>
    <row r="86" spans="3:63" ht="12" customHeight="1">
      <c r="C86" s="539"/>
      <c r="D86" s="547" t="s">
        <v>715</v>
      </c>
      <c r="E86" s="540"/>
      <c r="F86" s="547"/>
      <c r="G86" s="540"/>
      <c r="H86" s="548"/>
      <c r="I86" s="482"/>
      <c r="J86" s="482"/>
      <c r="K86" s="482"/>
      <c r="L86" s="551"/>
      <c r="M86" s="483"/>
      <c r="N86" s="552"/>
      <c r="O86" s="553" t="s">
        <v>792</v>
      </c>
      <c r="P86" s="553"/>
      <c r="Q86" s="554"/>
      <c r="R86" s="553"/>
      <c r="S86" s="555"/>
      <c r="T86" s="542"/>
      <c r="U86" s="543"/>
      <c r="V86" s="543"/>
      <c r="W86" s="543"/>
      <c r="X86" s="544"/>
      <c r="BK86" s="499"/>
    </row>
    <row r="87" spans="3:63" ht="12" customHeight="1">
      <c r="C87" s="539"/>
      <c r="D87" s="547" t="s">
        <v>697</v>
      </c>
      <c r="E87" s="540"/>
      <c r="F87" s="547"/>
      <c r="G87" s="540"/>
      <c r="H87" s="548" t="s">
        <v>794</v>
      </c>
      <c r="I87" s="482"/>
      <c r="J87" s="482"/>
      <c r="K87" s="482"/>
      <c r="L87" s="482"/>
      <c r="M87" s="483"/>
      <c r="N87" s="556"/>
      <c r="O87" s="543" t="s">
        <v>762</v>
      </c>
      <c r="P87" s="543"/>
      <c r="Q87" s="543"/>
      <c r="R87" s="543"/>
      <c r="S87" s="543"/>
      <c r="T87" s="543"/>
      <c r="U87" s="543"/>
      <c r="V87" s="544"/>
      <c r="X87" s="540" t="s">
        <v>243</v>
      </c>
      <c r="Y87" s="540"/>
      <c r="Z87" s="540"/>
      <c r="AA87" s="540"/>
      <c r="AB87" s="1166">
        <v>44628</v>
      </c>
      <c r="AC87" s="1167"/>
      <c r="AD87" s="1167"/>
      <c r="AE87" s="1167"/>
      <c r="AF87" s="483"/>
      <c r="AK87" s="510"/>
      <c r="AM87" s="557"/>
      <c r="AN87" s="557"/>
      <c r="AO87" s="557"/>
      <c r="AP87" s="557"/>
      <c r="AQ87" s="557"/>
      <c r="AR87" s="557"/>
      <c r="AS87" s="557"/>
      <c r="AT87" s="557"/>
      <c r="AU87" s="557"/>
      <c r="BK87" s="499"/>
    </row>
    <row r="88" spans="3:63" ht="12" customHeight="1">
      <c r="C88" s="539"/>
      <c r="D88" s="558" t="s">
        <v>742</v>
      </c>
      <c r="E88" s="540"/>
      <c r="F88" s="547"/>
      <c r="G88" s="540"/>
      <c r="H88" s="548" t="s">
        <v>795</v>
      </c>
      <c r="I88" s="482"/>
      <c r="J88" s="482"/>
      <c r="K88" s="482"/>
      <c r="L88" s="482"/>
      <c r="M88" s="483"/>
      <c r="O88" s="540" t="s">
        <v>796</v>
      </c>
      <c r="P88" s="540"/>
      <c r="Q88" s="540"/>
      <c r="R88" s="540"/>
      <c r="S88" s="506"/>
      <c r="T88" s="559"/>
      <c r="U88" s="559"/>
      <c r="V88" s="559"/>
      <c r="W88" s="559"/>
      <c r="X88" s="559"/>
      <c r="Y88" s="559"/>
      <c r="Z88" s="559"/>
      <c r="AA88" s="559"/>
      <c r="AB88" s="503"/>
      <c r="AC88" s="503"/>
      <c r="AD88" s="503"/>
      <c r="AE88" s="503"/>
      <c r="AF88" s="504"/>
      <c r="AI88" s="540" t="s">
        <v>798</v>
      </c>
      <c r="AJ88" s="540"/>
      <c r="AK88" s="540"/>
      <c r="AL88" s="540"/>
      <c r="AM88" s="506"/>
      <c r="AN88" s="559"/>
      <c r="AO88" s="559"/>
      <c r="AP88" s="559"/>
      <c r="AQ88" s="559"/>
      <c r="AR88" s="559"/>
      <c r="AS88" s="559"/>
      <c r="AT88" s="559"/>
      <c r="AU88" s="559"/>
      <c r="AV88" s="503"/>
      <c r="AW88" s="503"/>
      <c r="AX88" s="503"/>
      <c r="AY88" s="503"/>
      <c r="AZ88" s="504"/>
      <c r="BK88" s="499"/>
    </row>
    <row r="89" spans="3:63" ht="12" customHeight="1">
      <c r="C89" s="539"/>
      <c r="D89" s="547" t="s">
        <v>799</v>
      </c>
      <c r="E89" s="540"/>
      <c r="F89" s="547"/>
      <c r="G89" s="540"/>
      <c r="H89" s="548"/>
      <c r="I89" s="482"/>
      <c r="J89" s="482"/>
      <c r="K89" s="482"/>
      <c r="L89" s="482"/>
      <c r="M89" s="483"/>
      <c r="O89" s="540" t="s">
        <v>743</v>
      </c>
      <c r="P89" s="540"/>
      <c r="Q89" s="540"/>
      <c r="R89" s="540"/>
      <c r="S89" s="506"/>
      <c r="T89" s="559"/>
      <c r="U89" s="559"/>
      <c r="V89" s="559"/>
      <c r="W89" s="559"/>
      <c r="X89" s="559"/>
      <c r="Y89" s="559"/>
      <c r="Z89" s="559"/>
      <c r="AA89" s="559"/>
      <c r="AB89" s="503"/>
      <c r="AC89" s="503"/>
      <c r="AD89" s="503"/>
      <c r="AE89" s="503"/>
      <c r="AF89" s="504"/>
      <c r="AI89" s="540" t="s">
        <v>801</v>
      </c>
      <c r="AJ89" s="540"/>
      <c r="AK89" s="540"/>
      <c r="AL89" s="540"/>
      <c r="AM89" s="506"/>
      <c r="AN89" s="559"/>
      <c r="AO89" s="559"/>
      <c r="AP89" s="559"/>
      <c r="AQ89" s="559"/>
      <c r="AR89" s="559"/>
      <c r="AS89" s="559"/>
      <c r="AT89" s="559"/>
      <c r="AU89" s="559"/>
      <c r="AV89" s="503"/>
      <c r="AW89" s="503"/>
      <c r="AX89" s="503"/>
      <c r="AY89" s="503"/>
      <c r="AZ89" s="504"/>
      <c r="BK89" s="499"/>
    </row>
    <row r="90" spans="3:63" ht="12" customHeight="1">
      <c r="C90" s="539"/>
      <c r="D90" s="547" t="s">
        <v>802</v>
      </c>
      <c r="E90" s="540"/>
      <c r="F90" s="547"/>
      <c r="G90" s="540"/>
      <c r="H90" s="511" t="s">
        <v>763</v>
      </c>
      <c r="I90" s="503"/>
      <c r="J90" s="503"/>
      <c r="K90" s="503"/>
      <c r="L90" s="503"/>
      <c r="M90" s="504"/>
      <c r="O90" s="540" t="s">
        <v>803</v>
      </c>
      <c r="P90" s="540"/>
      <c r="Q90" s="540"/>
      <c r="R90" s="540"/>
      <c r="S90" s="506"/>
      <c r="T90" s="503"/>
      <c r="U90" s="503"/>
      <c r="V90" s="503"/>
      <c r="W90" s="503"/>
      <c r="X90" s="504"/>
      <c r="BK90" s="499"/>
    </row>
    <row r="91" spans="3:63" ht="12" customHeight="1">
      <c r="C91" s="539"/>
      <c r="D91" s="560" t="s">
        <v>804</v>
      </c>
      <c r="E91" s="540"/>
      <c r="F91" s="547"/>
      <c r="G91" s="540"/>
      <c r="H91" s="548"/>
      <c r="I91" s="482"/>
      <c r="J91" s="482"/>
      <c r="K91" s="482"/>
      <c r="L91" s="482"/>
      <c r="M91" s="483"/>
      <c r="O91" s="540" t="s">
        <v>805</v>
      </c>
      <c r="P91" s="540"/>
      <c r="Q91" s="545"/>
      <c r="R91" s="540"/>
      <c r="S91" s="548"/>
      <c r="T91" s="482"/>
      <c r="U91" s="482"/>
      <c r="V91" s="482"/>
      <c r="W91" s="482"/>
      <c r="X91" s="483"/>
      <c r="BK91" s="499"/>
    </row>
    <row r="92" spans="3:63" ht="12" customHeight="1">
      <c r="C92" s="539"/>
      <c r="BK92" s="499"/>
    </row>
    <row r="93" spans="3:63" ht="12" customHeight="1">
      <c r="C93" s="539"/>
      <c r="D93" s="540" t="s">
        <v>806</v>
      </c>
      <c r="E93" s="540"/>
      <c r="H93" s="547" t="s">
        <v>287</v>
      </c>
      <c r="I93" s="540"/>
      <c r="J93" s="540"/>
      <c r="K93" s="561"/>
      <c r="L93" s="562"/>
      <c r="M93" s="563"/>
      <c r="O93" s="540" t="s">
        <v>807</v>
      </c>
      <c r="P93" s="540"/>
      <c r="Q93" s="540"/>
      <c r="R93" s="540"/>
      <c r="S93" s="561"/>
      <c r="T93" s="562"/>
      <c r="U93" s="563"/>
      <c r="Z93" s="540" t="s">
        <v>808</v>
      </c>
      <c r="AA93" s="540"/>
      <c r="AB93" s="540"/>
      <c r="AC93" s="561"/>
      <c r="AD93" s="562"/>
      <c r="AE93" s="562"/>
      <c r="AF93" s="563"/>
      <c r="AI93" s="540"/>
      <c r="AJ93" s="540"/>
      <c r="AK93" s="540"/>
      <c r="AL93" s="540"/>
      <c r="AM93" s="541" t="s">
        <v>809</v>
      </c>
      <c r="AN93" s="561"/>
      <c r="AO93" s="562"/>
      <c r="AP93" s="562"/>
      <c r="AQ93" s="563"/>
      <c r="AR93" s="556"/>
      <c r="BK93" s="499"/>
    </row>
    <row r="94" spans="3:63" ht="12" customHeight="1">
      <c r="C94" s="539"/>
      <c r="BK94" s="499"/>
    </row>
    <row r="95" spans="3:63" ht="12" customHeight="1">
      <c r="C95" s="539"/>
      <c r="D95" s="540" t="s">
        <v>810</v>
      </c>
      <c r="E95" s="540"/>
      <c r="F95" s="540"/>
      <c r="G95" s="540"/>
      <c r="H95" s="1171" t="s">
        <v>811</v>
      </c>
      <c r="I95" s="1172"/>
      <c r="J95" s="1172"/>
      <c r="K95" s="1172"/>
      <c r="L95" s="563"/>
      <c r="BK95" s="499"/>
    </row>
    <row r="96" spans="3:63" ht="12" customHeight="1">
      <c r="C96" s="539"/>
      <c r="Q96" s="8"/>
      <c r="BK96" s="499"/>
    </row>
    <row r="97" spans="3:90" ht="12" customHeight="1">
      <c r="C97" s="497"/>
      <c r="D97" s="566" t="s">
        <v>812</v>
      </c>
      <c r="E97" s="515"/>
      <c r="F97" s="515"/>
      <c r="G97" s="515"/>
      <c r="H97" s="515"/>
      <c r="I97" s="515"/>
      <c r="Q97" s="8"/>
      <c r="BK97" s="499"/>
    </row>
    <row r="98" spans="3:90" ht="12" customHeight="1">
      <c r="C98" s="497"/>
      <c r="D98" s="540" t="s">
        <v>813</v>
      </c>
      <c r="E98" s="540"/>
      <c r="F98" s="540"/>
      <c r="G98" s="540"/>
      <c r="H98" s="540"/>
      <c r="I98" s="540"/>
      <c r="J98" s="1329"/>
      <c r="K98" s="1330"/>
      <c r="O98" s="540" t="s">
        <v>815</v>
      </c>
      <c r="P98" s="540"/>
      <c r="Q98" s="545"/>
      <c r="R98" s="540"/>
      <c r="S98" s="540"/>
      <c r="T98" s="540"/>
      <c r="U98" s="540"/>
      <c r="V98" s="540"/>
      <c r="W98" s="540"/>
      <c r="X98" s="540"/>
      <c r="Z98" s="540" t="s">
        <v>816</v>
      </c>
      <c r="AA98" s="540"/>
      <c r="AB98" s="540"/>
      <c r="AC98" s="540"/>
      <c r="AD98" s="540"/>
      <c r="AE98" s="540"/>
      <c r="AF98" s="540"/>
      <c r="AG98" s="540"/>
      <c r="AI98" s="540" t="s">
        <v>817</v>
      </c>
      <c r="AJ98" s="540"/>
      <c r="AK98" s="540"/>
      <c r="AL98" s="540"/>
      <c r="AM98" s="540"/>
      <c r="AN98" s="540"/>
      <c r="AO98" s="540"/>
      <c r="AP98" s="540"/>
      <c r="AQ98" s="540"/>
      <c r="AR98" s="540"/>
      <c r="AT98" s="540" t="s">
        <v>818</v>
      </c>
      <c r="AU98" s="540"/>
      <c r="AV98" s="540"/>
      <c r="AW98" s="540"/>
      <c r="AX98" s="540"/>
      <c r="AY98" s="540"/>
      <c r="AZ98" s="540"/>
      <c r="BA98" s="540"/>
      <c r="BB98" s="540"/>
      <c r="BC98" s="540"/>
      <c r="BK98" s="499"/>
    </row>
    <row r="99" spans="3:90" ht="12" customHeight="1">
      <c r="C99" s="497"/>
      <c r="D99" s="540"/>
      <c r="E99" s="540"/>
      <c r="F99" s="540" t="s">
        <v>819</v>
      </c>
      <c r="G99" s="540"/>
      <c r="H99" s="540"/>
      <c r="I99" s="540"/>
      <c r="J99" s="1301"/>
      <c r="K99" s="1302"/>
      <c r="L99" s="1296"/>
      <c r="M99" s="1297"/>
      <c r="N99" s="556"/>
      <c r="O99" s="562"/>
      <c r="P99" s="562"/>
      <c r="Q99" s="562"/>
      <c r="R99" s="562"/>
      <c r="S99" s="562"/>
      <c r="T99" s="562"/>
      <c r="U99" s="562"/>
      <c r="V99" s="562"/>
      <c r="W99" s="562"/>
      <c r="X99" s="563"/>
      <c r="Y99" s="498"/>
      <c r="Z99" s="1298"/>
      <c r="AA99" s="1299"/>
      <c r="AB99" s="1299"/>
      <c r="AC99" s="1300"/>
      <c r="AD99" s="556"/>
      <c r="AE99" s="562"/>
      <c r="AF99" s="562"/>
      <c r="AG99" s="563"/>
      <c r="AH99" s="498"/>
      <c r="AI99" s="1298"/>
      <c r="AJ99" s="1296"/>
      <c r="AK99" s="1296"/>
      <c r="AL99" s="1297"/>
      <c r="AM99" s="747"/>
      <c r="AN99" s="562"/>
      <c r="AO99" s="562"/>
      <c r="AP99" s="562"/>
      <c r="AQ99" s="562"/>
      <c r="AR99" s="563"/>
      <c r="AT99" s="1298"/>
      <c r="AU99" s="1296"/>
      <c r="AV99" s="1296"/>
      <c r="AW99" s="1297"/>
      <c r="AX99" s="747"/>
      <c r="AY99" s="562"/>
      <c r="AZ99" s="562"/>
      <c r="BA99" s="562"/>
      <c r="BB99" s="562"/>
      <c r="BC99" s="563"/>
      <c r="BK99" s="499"/>
    </row>
    <row r="100" spans="3:90" ht="12" customHeight="1">
      <c r="C100" s="497"/>
      <c r="D100" s="540"/>
      <c r="E100" s="540"/>
      <c r="F100" s="540" t="s">
        <v>824</v>
      </c>
      <c r="G100" s="540"/>
      <c r="H100" s="540"/>
      <c r="I100" s="540"/>
      <c r="J100" s="1295"/>
      <c r="K100" s="1296"/>
      <c r="L100" s="1296"/>
      <c r="M100" s="1297"/>
      <c r="N100" s="556"/>
      <c r="O100" s="562"/>
      <c r="P100" s="562"/>
      <c r="Q100" s="562"/>
      <c r="R100" s="562"/>
      <c r="S100" s="562"/>
      <c r="T100" s="562"/>
      <c r="U100" s="562"/>
      <c r="V100" s="562"/>
      <c r="W100" s="562"/>
      <c r="X100" s="563"/>
      <c r="Y100" s="498"/>
      <c r="Z100" s="1298"/>
      <c r="AA100" s="1299"/>
      <c r="AB100" s="1299"/>
      <c r="AC100" s="1300"/>
      <c r="AD100" s="556"/>
      <c r="AE100" s="562"/>
      <c r="AF100" s="562"/>
      <c r="AG100" s="563"/>
      <c r="AH100" s="498"/>
      <c r="AI100" s="1298"/>
      <c r="AJ100" s="1296"/>
      <c r="AK100" s="1296"/>
      <c r="AL100" s="1297"/>
      <c r="AM100" s="747"/>
      <c r="AN100" s="562"/>
      <c r="AO100" s="562"/>
      <c r="AP100" s="562"/>
      <c r="AQ100" s="562"/>
      <c r="AR100" s="563"/>
      <c r="AT100" s="1298"/>
      <c r="AU100" s="1296"/>
      <c r="AV100" s="1296"/>
      <c r="AW100" s="1297"/>
      <c r="AX100" s="747"/>
      <c r="AY100" s="562"/>
      <c r="AZ100" s="562"/>
      <c r="BA100" s="562"/>
      <c r="BB100" s="562"/>
      <c r="BC100" s="563"/>
      <c r="BK100" s="499"/>
    </row>
    <row r="101" spans="3:90" ht="12" customHeight="1">
      <c r="C101" s="497"/>
      <c r="D101" s="540"/>
      <c r="E101" s="540"/>
      <c r="F101" s="540" t="s">
        <v>827</v>
      </c>
      <c r="G101" s="540"/>
      <c r="H101" s="540"/>
      <c r="I101" s="540"/>
      <c r="J101" s="1295"/>
      <c r="K101" s="1296"/>
      <c r="L101" s="1296"/>
      <c r="M101" s="1296"/>
      <c r="N101" s="556"/>
      <c r="O101" s="562"/>
      <c r="P101" s="562"/>
      <c r="Q101" s="562"/>
      <c r="R101" s="562"/>
      <c r="S101" s="562"/>
      <c r="T101" s="562"/>
      <c r="U101" s="562"/>
      <c r="V101" s="562"/>
      <c r="W101" s="562"/>
      <c r="X101" s="563"/>
      <c r="Y101" s="498"/>
      <c r="Z101" s="1298"/>
      <c r="AA101" s="1299"/>
      <c r="AB101" s="1299"/>
      <c r="AC101" s="1300"/>
      <c r="AD101" s="556"/>
      <c r="AE101" s="562"/>
      <c r="AF101" s="562"/>
      <c r="AG101" s="563"/>
      <c r="AH101" s="498"/>
      <c r="AI101" s="1298"/>
      <c r="AJ101" s="1296"/>
      <c r="AK101" s="1296"/>
      <c r="AL101" s="1296"/>
      <c r="AM101" s="747"/>
      <c r="AN101" s="562"/>
      <c r="AO101" s="562"/>
      <c r="AP101" s="562"/>
      <c r="AQ101" s="562"/>
      <c r="AR101" s="563"/>
      <c r="AT101" s="1298"/>
      <c r="AU101" s="1296"/>
      <c r="AV101" s="1296"/>
      <c r="AW101" s="1296"/>
      <c r="AX101" s="747"/>
      <c r="AY101" s="562"/>
      <c r="AZ101" s="562"/>
      <c r="BA101" s="562"/>
      <c r="BB101" s="562"/>
      <c r="BC101" s="563"/>
      <c r="BK101" s="499"/>
    </row>
    <row r="102" spans="3:90" ht="12" customHeight="1">
      <c r="C102" s="497"/>
      <c r="D102" s="540" t="s">
        <v>831</v>
      </c>
      <c r="E102" s="540"/>
      <c r="F102" s="540"/>
      <c r="G102" s="540"/>
      <c r="H102" s="540"/>
      <c r="I102" s="540"/>
      <c r="J102" s="561"/>
      <c r="K102" s="562"/>
      <c r="L102" s="562"/>
      <c r="M102" s="562"/>
      <c r="N102" s="563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V102" s="567"/>
      <c r="AW102" s="567"/>
      <c r="AX102" s="567"/>
      <c r="AY102" s="567"/>
      <c r="AZ102" s="567"/>
      <c r="BK102" s="499"/>
    </row>
    <row r="103" spans="3:90" ht="12" customHeight="1">
      <c r="C103" s="497"/>
      <c r="D103" s="540" t="s">
        <v>1211</v>
      </c>
      <c r="E103" s="540"/>
      <c r="F103" s="540"/>
      <c r="G103" s="540"/>
      <c r="H103" s="540"/>
      <c r="I103" s="540"/>
      <c r="J103" s="498" t="s">
        <v>835</v>
      </c>
      <c r="K103" s="498"/>
      <c r="L103" s="1326"/>
      <c r="M103" s="1327"/>
      <c r="N103" s="1328"/>
      <c r="P103" s="8" t="s">
        <v>1212</v>
      </c>
      <c r="Q103" s="8"/>
      <c r="R103" s="1292"/>
      <c r="S103" s="1293"/>
      <c r="T103" s="1294"/>
      <c r="BK103" s="499"/>
      <c r="CL103" s="500" t="s">
        <v>857</v>
      </c>
    </row>
    <row r="104" spans="3:90" ht="12" customHeight="1">
      <c r="C104" s="497"/>
      <c r="D104" s="540" t="s">
        <v>843</v>
      </c>
      <c r="E104" s="540"/>
      <c r="F104" s="540"/>
      <c r="G104" s="540"/>
      <c r="H104" s="540"/>
      <c r="I104" s="540"/>
      <c r="J104" s="498" t="s">
        <v>835</v>
      </c>
      <c r="K104" s="498"/>
      <c r="L104" s="1326"/>
      <c r="M104" s="1327"/>
      <c r="N104" s="1328"/>
      <c r="Q104" s="8"/>
      <c r="R104" s="498"/>
      <c r="S104" s="498"/>
      <c r="T104" s="498"/>
      <c r="BK104" s="499"/>
      <c r="CL104" s="500" t="s">
        <v>857</v>
      </c>
    </row>
    <row r="105" spans="3:90" ht="12" customHeight="1">
      <c r="C105" s="497"/>
      <c r="D105" s="540" t="s">
        <v>844</v>
      </c>
      <c r="E105" s="540"/>
      <c r="F105" s="540"/>
      <c r="G105" s="540"/>
      <c r="H105" s="540"/>
      <c r="I105" s="540"/>
      <c r="J105" s="1171"/>
      <c r="K105" s="1172"/>
      <c r="L105" s="1172"/>
      <c r="M105" s="1172"/>
      <c r="N105" s="1285"/>
      <c r="BK105" s="499"/>
      <c r="CL105" s="500"/>
    </row>
    <row r="106" spans="3:90" ht="12" customHeight="1">
      <c r="C106" s="497"/>
      <c r="D106" s="540" t="s">
        <v>722</v>
      </c>
      <c r="E106" s="540"/>
      <c r="F106" s="540"/>
      <c r="G106" s="540"/>
      <c r="H106" s="540"/>
      <c r="I106" s="540"/>
      <c r="J106" s="1146"/>
      <c r="K106" s="1147"/>
      <c r="L106" s="1147"/>
      <c r="M106" s="1147"/>
      <c r="N106" s="1148"/>
      <c r="P106" s="540" t="s">
        <v>845</v>
      </c>
      <c r="Q106" s="540"/>
      <c r="R106" s="540"/>
      <c r="S106" s="540"/>
      <c r="T106" s="564"/>
      <c r="U106" s="565"/>
      <c r="V106" s="565"/>
      <c r="W106" s="565"/>
      <c r="X106" s="574"/>
      <c r="Z106" s="540" t="s">
        <v>847</v>
      </c>
      <c r="AA106" s="540"/>
      <c r="AB106" s="540"/>
      <c r="AC106" s="540"/>
      <c r="AD106" s="1163"/>
      <c r="AE106" s="1164"/>
      <c r="AF106" s="1164"/>
      <c r="AG106" s="1165"/>
      <c r="AH106" s="575"/>
      <c r="AI106" s="540" t="s">
        <v>848</v>
      </c>
      <c r="AJ106" s="540"/>
      <c r="AK106" s="540"/>
      <c r="AL106" s="540"/>
      <c r="AM106" s="564"/>
      <c r="AN106" s="565"/>
      <c r="AO106" s="565"/>
      <c r="AP106" s="565"/>
      <c r="AQ106" s="748"/>
      <c r="AT106" s="540" t="s">
        <v>849</v>
      </c>
      <c r="AU106" s="540"/>
      <c r="AV106" s="540"/>
      <c r="AW106" s="540"/>
      <c r="AX106" s="540"/>
      <c r="AY106" s="583"/>
      <c r="AZ106" s="584"/>
      <c r="BA106" s="584"/>
      <c r="BB106" s="584"/>
      <c r="BC106" s="578"/>
      <c r="BE106" s="8" t="s">
        <v>850</v>
      </c>
      <c r="BF106" s="10"/>
      <c r="BH106" s="10"/>
      <c r="BK106" s="499"/>
      <c r="CL106" s="500"/>
    </row>
    <row r="107" spans="3:90" ht="12" customHeight="1">
      <c r="C107" s="497"/>
      <c r="D107" s="498"/>
      <c r="E107" s="498"/>
      <c r="F107" s="498"/>
      <c r="G107" s="498"/>
      <c r="H107" s="498"/>
      <c r="I107" s="498"/>
      <c r="J107" s="891"/>
      <c r="K107" s="891"/>
      <c r="L107" s="891"/>
      <c r="M107" s="891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  <c r="AA107" s="498"/>
      <c r="AB107" s="498"/>
      <c r="AC107" s="498"/>
      <c r="AD107" s="498"/>
      <c r="AE107" s="498"/>
      <c r="AF107" s="498"/>
      <c r="AG107" s="498"/>
      <c r="AH107" s="498"/>
      <c r="AN107" s="498"/>
      <c r="AO107" s="498"/>
      <c r="AP107" s="498"/>
      <c r="AQ107" s="498"/>
      <c r="AR107" s="498"/>
      <c r="AS107" s="498"/>
      <c r="AT107" s="498"/>
      <c r="AU107" s="498"/>
      <c r="AV107" s="498"/>
      <c r="AW107" s="498"/>
      <c r="AX107" s="498"/>
      <c r="AY107" s="498"/>
      <c r="AZ107" s="498"/>
      <c r="BA107" s="498"/>
      <c r="BI107" s="498"/>
      <c r="BK107" s="499"/>
      <c r="CL107" s="500"/>
    </row>
    <row r="108" spans="3:90" ht="12" customHeight="1">
      <c r="C108" s="497"/>
      <c r="D108" s="566" t="s">
        <v>851</v>
      </c>
      <c r="E108" s="515"/>
      <c r="F108" s="515"/>
      <c r="G108" s="515"/>
      <c r="H108" s="515"/>
      <c r="I108" s="515"/>
      <c r="Q108" s="8"/>
      <c r="BF108" s="10"/>
      <c r="BH108" s="10"/>
      <c r="BK108" s="499"/>
      <c r="CL108" s="500"/>
    </row>
    <row r="109" spans="3:90" ht="12" customHeight="1">
      <c r="C109" s="497"/>
      <c r="D109" s="540" t="s">
        <v>852</v>
      </c>
      <c r="E109" s="540"/>
      <c r="F109" s="540"/>
      <c r="G109" s="540"/>
      <c r="H109" s="540"/>
      <c r="I109" s="540"/>
      <c r="J109" s="580"/>
      <c r="K109" s="562"/>
      <c r="L109" s="562"/>
      <c r="M109" s="562"/>
      <c r="N109" s="562"/>
      <c r="O109" s="542"/>
      <c r="P109" s="543"/>
      <c r="Q109" s="543"/>
      <c r="R109" s="543"/>
      <c r="S109" s="543"/>
      <c r="T109" s="543"/>
      <c r="U109" s="543"/>
      <c r="V109" s="569"/>
      <c r="W109" s="569"/>
      <c r="X109" s="569"/>
      <c r="Y109" s="575"/>
      <c r="Z109" s="540" t="s">
        <v>854</v>
      </c>
      <c r="AA109" s="540"/>
      <c r="AB109" s="540"/>
      <c r="AC109" s="540"/>
      <c r="AD109" s="581"/>
      <c r="AE109" s="581"/>
      <c r="AF109" s="581"/>
      <c r="AG109" s="574"/>
      <c r="AH109" s="498"/>
      <c r="AI109" s="540" t="s">
        <v>855</v>
      </c>
      <c r="AJ109" s="540"/>
      <c r="AK109" s="540"/>
      <c r="AL109" s="540"/>
      <c r="AM109" s="564"/>
      <c r="AN109" s="565"/>
      <c r="AO109" s="565"/>
      <c r="AP109" s="565"/>
      <c r="AQ109" s="748"/>
      <c r="AT109" s="540" t="s">
        <v>849</v>
      </c>
      <c r="AU109" s="540"/>
      <c r="AV109" s="540"/>
      <c r="AW109" s="540"/>
      <c r="AX109" s="540"/>
      <c r="AY109" s="583"/>
      <c r="AZ109" s="584"/>
      <c r="BA109" s="584"/>
      <c r="BB109" s="584"/>
      <c r="BC109" s="578"/>
      <c r="BK109" s="499"/>
      <c r="CL109" s="500" t="s">
        <v>857</v>
      </c>
    </row>
    <row r="110" spans="3:90" ht="12" customHeight="1">
      <c r="C110" s="497"/>
      <c r="D110" s="498"/>
      <c r="E110" s="498"/>
      <c r="F110" s="498"/>
      <c r="G110" s="498"/>
      <c r="H110" s="498"/>
      <c r="I110" s="498"/>
      <c r="J110" s="891"/>
      <c r="K110" s="891"/>
      <c r="L110" s="891"/>
      <c r="M110" s="891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  <c r="AA110" s="498"/>
      <c r="AB110" s="498"/>
      <c r="AC110" s="498"/>
      <c r="AD110" s="498"/>
      <c r="AE110" s="498"/>
      <c r="AF110" s="498"/>
      <c r="AG110" s="498"/>
      <c r="AH110" s="498"/>
      <c r="AN110" s="498"/>
      <c r="AO110" s="498"/>
      <c r="AP110" s="498"/>
      <c r="AQ110" s="498"/>
      <c r="AR110" s="498"/>
      <c r="AS110" s="498"/>
      <c r="AT110" s="498"/>
      <c r="AU110" s="498"/>
      <c r="AV110" s="498"/>
      <c r="AW110" s="498"/>
      <c r="AX110" s="498"/>
      <c r="AY110" s="498"/>
      <c r="AZ110" s="498"/>
      <c r="BA110" s="498"/>
      <c r="BI110" s="498"/>
      <c r="BK110" s="499"/>
    </row>
    <row r="111" spans="3:90" ht="12" customHeight="1">
      <c r="C111" s="497"/>
      <c r="D111" s="566" t="s">
        <v>858</v>
      </c>
      <c r="E111" s="515"/>
      <c r="F111" s="515"/>
      <c r="G111" s="515"/>
      <c r="H111" s="515"/>
      <c r="I111" s="515"/>
      <c r="BB111" s="498"/>
      <c r="BC111" s="498"/>
      <c r="BD111" s="498"/>
      <c r="BE111" s="498"/>
      <c r="BF111" s="498"/>
      <c r="BG111" s="498"/>
      <c r="BH111" s="498"/>
      <c r="BI111" s="498"/>
      <c r="BK111" s="499"/>
    </row>
    <row r="112" spans="3:90" ht="12" customHeight="1">
      <c r="C112" s="497"/>
      <c r="D112" s="540" t="s">
        <v>859</v>
      </c>
      <c r="E112" s="540"/>
      <c r="F112" s="540"/>
      <c r="G112" s="540"/>
      <c r="H112" s="540"/>
      <c r="I112" s="540"/>
      <c r="J112" s="511"/>
      <c r="K112" s="503"/>
      <c r="L112" s="503"/>
      <c r="M112" s="503"/>
      <c r="N112" s="503"/>
      <c r="O112" s="503"/>
      <c r="P112" s="503"/>
      <c r="Q112" s="503"/>
      <c r="R112" s="503"/>
      <c r="S112" s="503"/>
      <c r="T112" s="503"/>
      <c r="U112" s="503"/>
      <c r="V112" s="503"/>
      <c r="W112" s="503"/>
      <c r="X112" s="503"/>
      <c r="Y112" s="503"/>
      <c r="Z112" s="503"/>
      <c r="AA112" s="504"/>
      <c r="AD112" s="540" t="s">
        <v>861</v>
      </c>
      <c r="AE112" s="540"/>
      <c r="AF112" s="540"/>
      <c r="AG112" s="540"/>
      <c r="AH112" s="540"/>
      <c r="AI112" s="540"/>
      <c r="AJ112" s="511"/>
      <c r="AK112" s="503"/>
      <c r="AL112" s="503"/>
      <c r="AM112" s="503"/>
      <c r="AN112" s="503"/>
      <c r="AO112" s="503"/>
      <c r="AP112" s="503"/>
      <c r="AQ112" s="503"/>
      <c r="AR112" s="503"/>
      <c r="AS112" s="503"/>
      <c r="AT112" s="503"/>
      <c r="AU112" s="503"/>
      <c r="AV112" s="503"/>
      <c r="AW112" s="503"/>
      <c r="AX112" s="503"/>
      <c r="AY112" s="503"/>
      <c r="AZ112" s="503"/>
      <c r="BA112" s="504"/>
      <c r="BB112" s="498"/>
      <c r="BC112" s="498"/>
      <c r="BD112" s="498"/>
      <c r="BE112" s="498"/>
      <c r="BF112" s="498"/>
      <c r="BG112" s="498"/>
      <c r="BH112" s="498"/>
      <c r="BI112" s="498"/>
      <c r="BK112" s="499"/>
    </row>
    <row r="113" spans="3:63" ht="12" customHeight="1">
      <c r="C113" s="497"/>
      <c r="D113" s="540" t="s">
        <v>863</v>
      </c>
      <c r="E113" s="540"/>
      <c r="F113" s="540"/>
      <c r="G113" s="540"/>
      <c r="H113" s="540"/>
      <c r="I113" s="540"/>
      <c r="J113" s="511"/>
      <c r="K113" s="503"/>
      <c r="L113" s="503"/>
      <c r="M113" s="503"/>
      <c r="N113" s="503"/>
      <c r="O113" s="503"/>
      <c r="P113" s="503"/>
      <c r="Q113" s="503"/>
      <c r="R113" s="503"/>
      <c r="S113" s="503"/>
      <c r="T113" s="503"/>
      <c r="U113" s="503"/>
      <c r="V113" s="503"/>
      <c r="W113" s="503"/>
      <c r="X113" s="503"/>
      <c r="Y113" s="503"/>
      <c r="Z113" s="503"/>
      <c r="AA113" s="504"/>
      <c r="AD113" s="540" t="s">
        <v>864</v>
      </c>
      <c r="AE113" s="540"/>
      <c r="AF113" s="540"/>
      <c r="AG113" s="540"/>
      <c r="AH113" s="540"/>
      <c r="AI113" s="540"/>
      <c r="AJ113" s="511"/>
      <c r="AK113" s="503"/>
      <c r="AL113" s="503"/>
      <c r="AM113" s="503"/>
      <c r="AN113" s="503"/>
      <c r="AO113" s="503"/>
      <c r="AP113" s="503"/>
      <c r="AQ113" s="503"/>
      <c r="AR113" s="503"/>
      <c r="AS113" s="503"/>
      <c r="AT113" s="503"/>
      <c r="AU113" s="503"/>
      <c r="AV113" s="503"/>
      <c r="AW113" s="503"/>
      <c r="AX113" s="503"/>
      <c r="AY113" s="503"/>
      <c r="AZ113" s="503"/>
      <c r="BA113" s="504"/>
      <c r="BB113" s="498"/>
      <c r="BC113" s="498"/>
      <c r="BD113" s="498"/>
      <c r="BE113" s="498"/>
      <c r="BF113" s="498"/>
      <c r="BG113" s="498"/>
      <c r="BH113" s="498"/>
      <c r="BI113" s="498"/>
      <c r="BK113" s="499"/>
    </row>
    <row r="114" spans="3:63" ht="12" customHeight="1">
      <c r="C114" s="497"/>
      <c r="D114" s="540" t="s">
        <v>865</v>
      </c>
      <c r="E114" s="540"/>
      <c r="F114" s="540"/>
      <c r="G114" s="540"/>
      <c r="H114" s="540"/>
      <c r="I114" s="540"/>
      <c r="J114" s="511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4"/>
      <c r="AD114" s="540" t="s">
        <v>867</v>
      </c>
      <c r="AE114" s="540"/>
      <c r="AF114" s="540"/>
      <c r="AG114" s="540"/>
      <c r="AH114" s="540"/>
      <c r="AI114" s="540"/>
      <c r="AJ114" s="511"/>
      <c r="AK114" s="503"/>
      <c r="AL114" s="503"/>
      <c r="AM114" s="503"/>
      <c r="AN114" s="503"/>
      <c r="AO114" s="503"/>
      <c r="AP114" s="503"/>
      <c r="AQ114" s="503"/>
      <c r="AR114" s="503"/>
      <c r="AS114" s="503"/>
      <c r="AT114" s="503"/>
      <c r="AU114" s="503"/>
      <c r="AV114" s="503"/>
      <c r="AW114" s="503"/>
      <c r="AX114" s="503"/>
      <c r="AY114" s="503"/>
      <c r="AZ114" s="503"/>
      <c r="BA114" s="504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869</v>
      </c>
      <c r="E115" s="540"/>
      <c r="F115" s="540"/>
      <c r="G115" s="540"/>
      <c r="H115" s="540"/>
      <c r="I115" s="540"/>
      <c r="J115" s="511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85"/>
      <c r="AA115" s="504"/>
      <c r="AD115" s="498"/>
      <c r="AE115" s="498"/>
      <c r="AF115" s="498"/>
      <c r="AG115" s="498"/>
      <c r="AH115" s="498"/>
      <c r="AI115" s="498"/>
      <c r="AJ115" s="586"/>
      <c r="AK115" s="586"/>
      <c r="AL115" s="586"/>
      <c r="AM115" s="586"/>
      <c r="AN115" s="586"/>
      <c r="AO115" s="586"/>
      <c r="AP115" s="586"/>
      <c r="AQ115" s="586"/>
      <c r="AR115" s="586"/>
      <c r="AS115" s="586"/>
      <c r="AT115" s="586"/>
      <c r="AU115" s="586"/>
      <c r="AV115" s="586"/>
      <c r="AW115" s="586"/>
      <c r="AX115" s="586"/>
      <c r="AY115" s="586"/>
      <c r="AZ115" s="587"/>
      <c r="BA115" s="586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498"/>
      <c r="E116" s="498"/>
      <c r="F116" s="498"/>
      <c r="G116" s="498"/>
      <c r="H116" s="498"/>
      <c r="I116" s="498"/>
      <c r="J116" s="498"/>
      <c r="K116" s="498"/>
      <c r="L116" s="498"/>
      <c r="M116" s="498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8"/>
      <c r="AA116" s="498"/>
      <c r="AB116" s="498"/>
      <c r="AC116" s="498"/>
      <c r="AD116" s="498"/>
      <c r="AE116" s="498"/>
      <c r="AF116" s="498"/>
      <c r="AG116" s="498"/>
      <c r="AH116" s="498"/>
      <c r="AI116" s="498"/>
      <c r="AJ116" s="498"/>
      <c r="AK116" s="498"/>
      <c r="AL116" s="498"/>
      <c r="AM116" s="498"/>
      <c r="AN116" s="498"/>
      <c r="AO116" s="498"/>
      <c r="AP116" s="498"/>
      <c r="AQ116" s="498"/>
      <c r="AR116" s="498"/>
      <c r="AS116" s="498"/>
      <c r="AT116" s="498"/>
      <c r="AU116" s="498"/>
      <c r="AV116" s="498"/>
      <c r="AW116" s="498"/>
      <c r="AX116" s="498"/>
      <c r="AY116" s="498"/>
      <c r="AZ116" s="498"/>
      <c r="BA116" s="498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BK117" s="499"/>
    </row>
    <row r="118" spans="3:63" ht="12" customHeight="1">
      <c r="C118" s="50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7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09"/>
    </row>
    <row r="119" spans="3:63" ht="12" customHeight="1" thickBot="1">
      <c r="C119" s="531"/>
      <c r="D119" s="532"/>
      <c r="E119" s="532"/>
      <c r="F119" s="532"/>
      <c r="G119" s="532"/>
      <c r="H119" s="532"/>
      <c r="I119" s="532"/>
      <c r="J119" s="532"/>
      <c r="K119" s="532"/>
      <c r="L119" s="532"/>
      <c r="M119" s="532"/>
      <c r="N119" s="532"/>
      <c r="O119" s="532"/>
      <c r="P119" s="532"/>
      <c r="Q119" s="533"/>
      <c r="R119" s="532"/>
      <c r="S119" s="532"/>
      <c r="T119" s="532"/>
      <c r="U119" s="532"/>
      <c r="V119" s="532"/>
      <c r="W119" s="532"/>
      <c r="X119" s="532"/>
      <c r="Y119" s="532"/>
      <c r="Z119" s="532"/>
      <c r="AA119" s="532"/>
      <c r="AB119" s="532"/>
      <c r="AC119" s="532"/>
      <c r="AD119" s="532"/>
      <c r="AE119" s="532"/>
      <c r="AF119" s="532"/>
      <c r="AG119" s="532"/>
      <c r="AH119" s="532"/>
      <c r="AI119" s="532"/>
      <c r="AJ119" s="532"/>
      <c r="AK119" s="532"/>
      <c r="AL119" s="532"/>
      <c r="AM119" s="532"/>
      <c r="AN119" s="532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32"/>
      <c r="BK119" s="534"/>
    </row>
    <row r="137" spans="2:63" ht="28.5">
      <c r="B137" s="488" t="s">
        <v>1153</v>
      </c>
    </row>
    <row r="138" spans="2:63" ht="12" customHeight="1">
      <c r="C138" s="489"/>
    </row>
    <row r="139" spans="2:63" ht="12" customHeight="1" thickBot="1">
      <c r="C139" s="489" t="s">
        <v>781</v>
      </c>
    </row>
    <row r="140" spans="2:63" ht="12" customHeight="1">
      <c r="C140" s="535"/>
      <c r="D140" s="536" t="s">
        <v>783</v>
      </c>
      <c r="E140" s="537"/>
      <c r="F140" s="537"/>
      <c r="G140" s="537"/>
      <c r="H140" s="537"/>
      <c r="I140" s="537"/>
      <c r="J140" s="537"/>
      <c r="K140" s="537"/>
      <c r="L140" s="537"/>
      <c r="M140" s="537"/>
      <c r="N140" s="537"/>
      <c r="O140" s="537"/>
      <c r="P140" s="537"/>
      <c r="Q140" s="538"/>
      <c r="R140" s="537"/>
      <c r="S140" s="537"/>
      <c r="T140" s="537"/>
      <c r="U140" s="537"/>
      <c r="V140" s="537"/>
      <c r="W140" s="537"/>
      <c r="X140" s="537"/>
      <c r="Y140" s="537"/>
      <c r="Z140" s="537"/>
      <c r="AA140" s="537"/>
      <c r="AB140" s="537"/>
      <c r="AC140" s="537"/>
      <c r="AD140" s="537"/>
      <c r="AE140" s="537"/>
      <c r="AF140" s="537"/>
      <c r="AG140" s="537"/>
      <c r="AH140" s="537"/>
      <c r="AI140" s="537"/>
      <c r="AJ140" s="537"/>
      <c r="AK140" s="537"/>
      <c r="AL140" s="537"/>
      <c r="AM140" s="537"/>
      <c r="AN140" s="537"/>
      <c r="AO140" s="537"/>
      <c r="AP140" s="537"/>
      <c r="AQ140" s="537"/>
      <c r="AR140" s="537"/>
      <c r="AS140" s="537"/>
      <c r="AT140" s="537"/>
      <c r="AU140" s="537"/>
      <c r="AV140" s="537"/>
      <c r="AW140" s="537"/>
      <c r="AX140" s="537"/>
      <c r="AY140" s="537"/>
      <c r="AZ140" s="537"/>
      <c r="BA140" s="537"/>
      <c r="BB140" s="537"/>
      <c r="BC140" s="537"/>
      <c r="BD140" s="537"/>
      <c r="BE140" s="537"/>
      <c r="BF140" s="537"/>
      <c r="BG140" s="537"/>
      <c r="BH140" s="537"/>
      <c r="BI140" s="537"/>
      <c r="BJ140" s="537"/>
      <c r="BK140" s="493"/>
    </row>
    <row r="141" spans="2:63" ht="12" customHeight="1">
      <c r="C141" s="497"/>
      <c r="Q141" s="8"/>
      <c r="BK141" s="499"/>
    </row>
    <row r="142" spans="2:63" ht="12" customHeight="1">
      <c r="C142" s="539"/>
      <c r="D142" s="540" t="s">
        <v>245</v>
      </c>
      <c r="E142" s="540"/>
      <c r="F142" s="541"/>
      <c r="G142" s="540"/>
      <c r="H142" s="542" t="s">
        <v>761</v>
      </c>
      <c r="I142" s="543"/>
      <c r="J142" s="543"/>
      <c r="K142" s="543"/>
      <c r="L142" s="543"/>
      <c r="M142" s="544"/>
      <c r="N142" s="498"/>
      <c r="O142" s="540" t="s">
        <v>244</v>
      </c>
      <c r="P142" s="540"/>
      <c r="Q142" s="541"/>
      <c r="R142" s="540"/>
      <c r="S142" s="498"/>
      <c r="T142" s="542" t="s">
        <v>774</v>
      </c>
      <c r="U142" s="543"/>
      <c r="V142" s="543"/>
      <c r="W142" s="543"/>
      <c r="X142" s="544"/>
      <c r="AA142" s="540" t="s">
        <v>784</v>
      </c>
      <c r="AB142" s="545"/>
      <c r="AC142" s="540"/>
      <c r="AE142" s="1163">
        <v>3000</v>
      </c>
      <c r="AF142" s="1164"/>
      <c r="AG142" s="1165"/>
      <c r="AJ142" s="546" t="s">
        <v>732</v>
      </c>
      <c r="AK142" s="546"/>
      <c r="AL142" s="546"/>
      <c r="AM142" s="1166">
        <v>44627</v>
      </c>
      <c r="AN142" s="1167"/>
      <c r="AO142" s="1167"/>
      <c r="AP142" s="1167"/>
      <c r="AR142" s="1168">
        <v>0.5</v>
      </c>
      <c r="AS142" s="1169"/>
      <c r="AT142" s="1169"/>
      <c r="AU142" s="1170"/>
      <c r="AV142" s="512"/>
      <c r="BK142" s="499"/>
    </row>
    <row r="143" spans="2:63" ht="12" customHeight="1">
      <c r="C143" s="539"/>
      <c r="Q143" s="8"/>
      <c r="BK143" s="499"/>
    </row>
    <row r="144" spans="2:63" ht="12" customHeight="1">
      <c r="C144" s="539"/>
      <c r="D144" s="547" t="s">
        <v>785</v>
      </c>
      <c r="E144" s="540"/>
      <c r="F144" s="547"/>
      <c r="G144" s="540"/>
      <c r="H144" s="548" t="s">
        <v>786</v>
      </c>
      <c r="I144" s="482"/>
      <c r="J144" s="482"/>
      <c r="K144" s="483"/>
      <c r="O144" s="540" t="s">
        <v>235</v>
      </c>
      <c r="P144" s="547"/>
      <c r="Q144" s="540"/>
      <c r="R144" s="547"/>
      <c r="S144" s="540"/>
      <c r="T144" s="549" t="s">
        <v>1210</v>
      </c>
      <c r="U144" s="482"/>
      <c r="V144" s="482"/>
      <c r="W144" s="482"/>
      <c r="X144" s="482"/>
      <c r="Y144" s="483"/>
      <c r="AA144" s="540"/>
      <c r="AB144" s="540"/>
      <c r="AC144" s="541" t="s">
        <v>787</v>
      </c>
      <c r="AD144" s="540"/>
      <c r="AE144" s="540" t="s">
        <v>788</v>
      </c>
      <c r="AF144" s="810"/>
      <c r="AG144" s="482"/>
      <c r="AH144" s="482"/>
      <c r="AI144" s="482"/>
      <c r="AJ144" s="483"/>
      <c r="AL144" s="540" t="s">
        <v>790</v>
      </c>
      <c r="AM144" s="548"/>
      <c r="AN144" s="482"/>
      <c r="AO144" s="482"/>
      <c r="AP144" s="482"/>
      <c r="AQ144" s="483"/>
      <c r="AS144" s="540" t="s">
        <v>791</v>
      </c>
      <c r="AT144" s="548"/>
      <c r="AU144" s="482"/>
      <c r="AV144" s="482"/>
      <c r="AW144" s="482"/>
      <c r="AX144" s="483"/>
      <c r="BK144" s="499"/>
    </row>
    <row r="145" spans="3:63" ht="12" customHeight="1">
      <c r="C145" s="539"/>
      <c r="D145" s="547" t="s">
        <v>715</v>
      </c>
      <c r="E145" s="540"/>
      <c r="F145" s="547"/>
      <c r="G145" s="540"/>
      <c r="H145" s="548"/>
      <c r="I145" s="482"/>
      <c r="J145" s="482"/>
      <c r="K145" s="482"/>
      <c r="L145" s="551"/>
      <c r="M145" s="483"/>
      <c r="N145" s="552"/>
      <c r="O145" s="553" t="s">
        <v>792</v>
      </c>
      <c r="P145" s="553"/>
      <c r="Q145" s="554"/>
      <c r="R145" s="553"/>
      <c r="S145" s="555"/>
      <c r="T145" s="542"/>
      <c r="U145" s="543"/>
      <c r="V145" s="543"/>
      <c r="W145" s="543"/>
      <c r="X145" s="544"/>
      <c r="BK145" s="499"/>
    </row>
    <row r="146" spans="3:63" ht="12" customHeight="1">
      <c r="C146" s="539"/>
      <c r="D146" s="547" t="s">
        <v>697</v>
      </c>
      <c r="E146" s="540"/>
      <c r="F146" s="547"/>
      <c r="G146" s="540"/>
      <c r="H146" s="548" t="s">
        <v>794</v>
      </c>
      <c r="I146" s="482"/>
      <c r="J146" s="482"/>
      <c r="K146" s="482"/>
      <c r="L146" s="482"/>
      <c r="M146" s="483"/>
      <c r="N146" s="556"/>
      <c r="O146" s="543" t="s">
        <v>762</v>
      </c>
      <c r="P146" s="543"/>
      <c r="Q146" s="543"/>
      <c r="R146" s="543"/>
      <c r="S146" s="543"/>
      <c r="T146" s="543"/>
      <c r="U146" s="543"/>
      <c r="V146" s="544"/>
      <c r="X146" s="540" t="s">
        <v>243</v>
      </c>
      <c r="Y146" s="540"/>
      <c r="Z146" s="540"/>
      <c r="AA146" s="540"/>
      <c r="AB146" s="1166">
        <v>44628</v>
      </c>
      <c r="AC146" s="1167"/>
      <c r="AD146" s="1167"/>
      <c r="AE146" s="1167"/>
      <c r="AF146" s="483"/>
      <c r="AK146" s="510"/>
      <c r="AM146" s="557"/>
      <c r="AN146" s="557"/>
      <c r="AO146" s="557"/>
      <c r="AP146" s="557"/>
      <c r="AQ146" s="557"/>
      <c r="AR146" s="557"/>
      <c r="AS146" s="557"/>
      <c r="AT146" s="557"/>
      <c r="AU146" s="557"/>
      <c r="BK146" s="499"/>
    </row>
    <row r="147" spans="3:63" ht="12" customHeight="1">
      <c r="C147" s="539"/>
      <c r="D147" s="558" t="s">
        <v>742</v>
      </c>
      <c r="E147" s="540"/>
      <c r="F147" s="547"/>
      <c r="G147" s="540"/>
      <c r="H147" s="511"/>
      <c r="I147" s="503"/>
      <c r="J147" s="503"/>
      <c r="K147" s="503"/>
      <c r="L147" s="503"/>
      <c r="M147" s="504"/>
      <c r="O147" s="540" t="s">
        <v>796</v>
      </c>
      <c r="P147" s="540"/>
      <c r="Q147" s="540"/>
      <c r="R147" s="540"/>
      <c r="S147" s="506" t="s">
        <v>797</v>
      </c>
      <c r="T147" s="559"/>
      <c r="U147" s="559"/>
      <c r="V147" s="559"/>
      <c r="W147" s="559"/>
      <c r="X147" s="559"/>
      <c r="Y147" s="559"/>
      <c r="Z147" s="559"/>
      <c r="AA147" s="559"/>
      <c r="AB147" s="503"/>
      <c r="AC147" s="503"/>
      <c r="AD147" s="503"/>
      <c r="AE147" s="503"/>
      <c r="AF147" s="504"/>
      <c r="AI147" s="540" t="s">
        <v>798</v>
      </c>
      <c r="AJ147" s="540"/>
      <c r="AK147" s="540"/>
      <c r="AL147" s="540"/>
      <c r="AM147" s="506" t="s">
        <v>772</v>
      </c>
      <c r="AN147" s="559"/>
      <c r="AO147" s="559"/>
      <c r="AP147" s="559"/>
      <c r="AQ147" s="559"/>
      <c r="AR147" s="559"/>
      <c r="AS147" s="559"/>
      <c r="AT147" s="559"/>
      <c r="AU147" s="559"/>
      <c r="AV147" s="503"/>
      <c r="AW147" s="503"/>
      <c r="AX147" s="503"/>
      <c r="AY147" s="503"/>
      <c r="AZ147" s="504"/>
      <c r="BK147" s="499"/>
    </row>
    <row r="148" spans="3:63" ht="12" customHeight="1">
      <c r="C148" s="539"/>
      <c r="D148" s="547" t="s">
        <v>799</v>
      </c>
      <c r="E148" s="540"/>
      <c r="F148" s="547"/>
      <c r="G148" s="540"/>
      <c r="H148" s="548"/>
      <c r="I148" s="482"/>
      <c r="J148" s="482"/>
      <c r="K148" s="482"/>
      <c r="L148" s="482"/>
      <c r="M148" s="483"/>
      <c r="O148" s="540" t="s">
        <v>743</v>
      </c>
      <c r="P148" s="540"/>
      <c r="Q148" s="540"/>
      <c r="R148" s="540"/>
      <c r="S148" s="506" t="s">
        <v>800</v>
      </c>
      <c r="T148" s="559"/>
      <c r="U148" s="559"/>
      <c r="V148" s="559"/>
      <c r="W148" s="559"/>
      <c r="X148" s="559"/>
      <c r="Y148" s="559"/>
      <c r="Z148" s="559"/>
      <c r="AA148" s="559"/>
      <c r="AB148" s="503"/>
      <c r="AC148" s="503"/>
      <c r="AD148" s="503"/>
      <c r="AE148" s="503"/>
      <c r="AF148" s="504"/>
      <c r="AI148" s="540" t="s">
        <v>801</v>
      </c>
      <c r="AJ148" s="540"/>
      <c r="AK148" s="540"/>
      <c r="AL148" s="540"/>
      <c r="AM148" s="506" t="s">
        <v>772</v>
      </c>
      <c r="AN148" s="559"/>
      <c r="AO148" s="559"/>
      <c r="AP148" s="559"/>
      <c r="AQ148" s="559"/>
      <c r="AR148" s="559"/>
      <c r="AS148" s="559"/>
      <c r="AT148" s="559"/>
      <c r="AU148" s="559"/>
      <c r="AV148" s="503"/>
      <c r="AW148" s="503"/>
      <c r="AX148" s="503"/>
      <c r="AY148" s="503"/>
      <c r="AZ148" s="504"/>
      <c r="BK148" s="499"/>
    </row>
    <row r="149" spans="3:63" ht="12" customHeight="1">
      <c r="C149" s="539"/>
      <c r="D149" s="547" t="s">
        <v>802</v>
      </c>
      <c r="E149" s="540"/>
      <c r="F149" s="547"/>
      <c r="G149" s="540"/>
      <c r="H149" s="511" t="s">
        <v>763</v>
      </c>
      <c r="I149" s="503"/>
      <c r="J149" s="503"/>
      <c r="K149" s="503"/>
      <c r="L149" s="503"/>
      <c r="M149" s="504"/>
      <c r="O149" s="540" t="s">
        <v>803</v>
      </c>
      <c r="P149" s="540"/>
      <c r="Q149" s="540"/>
      <c r="R149" s="540"/>
      <c r="S149" s="506"/>
      <c r="T149" s="503"/>
      <c r="U149" s="503"/>
      <c r="V149" s="503"/>
      <c r="W149" s="503"/>
      <c r="X149" s="504"/>
      <c r="BK149" s="499"/>
    </row>
    <row r="150" spans="3:63" ht="12" customHeight="1">
      <c r="C150" s="539"/>
      <c r="D150" s="560" t="s">
        <v>804</v>
      </c>
      <c r="E150" s="540"/>
      <c r="F150" s="547"/>
      <c r="G150" s="540"/>
      <c r="H150" s="548"/>
      <c r="I150" s="482"/>
      <c r="J150" s="482"/>
      <c r="K150" s="482"/>
      <c r="L150" s="482"/>
      <c r="M150" s="483"/>
      <c r="O150" s="540" t="s">
        <v>805</v>
      </c>
      <c r="P150" s="540"/>
      <c r="Q150" s="545"/>
      <c r="R150" s="540"/>
      <c r="S150" s="548"/>
      <c r="T150" s="482"/>
      <c r="U150" s="482"/>
      <c r="V150" s="482"/>
      <c r="W150" s="482"/>
      <c r="X150" s="483"/>
      <c r="BK150" s="499"/>
    </row>
    <row r="151" spans="3:63" ht="12" customHeight="1">
      <c r="C151" s="539"/>
      <c r="BK151" s="499"/>
    </row>
    <row r="152" spans="3:63" ht="12" customHeight="1">
      <c r="C152" s="539"/>
      <c r="D152" s="540" t="s">
        <v>806</v>
      </c>
      <c r="E152" s="540"/>
      <c r="H152" s="547" t="s">
        <v>287</v>
      </c>
      <c r="I152" s="540"/>
      <c r="J152" s="540"/>
      <c r="K152" s="561"/>
      <c r="L152" s="562"/>
      <c r="M152" s="563"/>
      <c r="O152" s="540" t="s">
        <v>807</v>
      </c>
      <c r="P152" s="540"/>
      <c r="Q152" s="540"/>
      <c r="R152" s="540"/>
      <c r="S152" s="561"/>
      <c r="T152" s="562"/>
      <c r="U152" s="563"/>
      <c r="Z152" s="540" t="s">
        <v>808</v>
      </c>
      <c r="AA152" s="540"/>
      <c r="AB152" s="540"/>
      <c r="AC152" s="561"/>
      <c r="AD152" s="562"/>
      <c r="AE152" s="562"/>
      <c r="AF152" s="563"/>
      <c r="AI152" s="540"/>
      <c r="AJ152" s="540"/>
      <c r="AK152" s="540"/>
      <c r="AL152" s="540"/>
      <c r="AM152" s="541" t="s">
        <v>809</v>
      </c>
      <c r="AN152" s="561"/>
      <c r="AO152" s="562"/>
      <c r="AP152" s="562"/>
      <c r="AQ152" s="563"/>
      <c r="AR152" s="556"/>
      <c r="BK152" s="499"/>
    </row>
    <row r="153" spans="3:63" ht="12" customHeight="1">
      <c r="C153" s="539"/>
      <c r="BK153" s="499"/>
    </row>
    <row r="154" spans="3:63" ht="12" customHeight="1">
      <c r="C154" s="539"/>
      <c r="D154" s="540" t="s">
        <v>810</v>
      </c>
      <c r="E154" s="540"/>
      <c r="F154" s="540"/>
      <c r="G154" s="540"/>
      <c r="H154" s="1171" t="s">
        <v>811</v>
      </c>
      <c r="I154" s="1172"/>
      <c r="J154" s="1172"/>
      <c r="K154" s="1172"/>
      <c r="L154" s="563"/>
      <c r="BK154" s="499"/>
    </row>
    <row r="155" spans="3:63" ht="12" customHeight="1">
      <c r="C155" s="539"/>
      <c r="Q155" s="8"/>
      <c r="BK155" s="499"/>
    </row>
    <row r="156" spans="3:63" ht="12" customHeight="1">
      <c r="C156" s="497"/>
      <c r="D156" s="566" t="s">
        <v>812</v>
      </c>
      <c r="E156" s="515"/>
      <c r="F156" s="515"/>
      <c r="G156" s="515"/>
      <c r="H156" s="515"/>
      <c r="I156" s="515"/>
      <c r="Q156" s="8"/>
      <c r="BK156" s="499"/>
    </row>
    <row r="157" spans="3:63" ht="12" customHeight="1">
      <c r="C157" s="497"/>
      <c r="D157" s="540" t="s">
        <v>813</v>
      </c>
      <c r="E157" s="540"/>
      <c r="F157" s="540"/>
      <c r="G157" s="540"/>
      <c r="H157" s="540"/>
      <c r="I157" s="540"/>
      <c r="J157" s="972"/>
      <c r="K157" s="974"/>
      <c r="O157" s="540" t="s">
        <v>815</v>
      </c>
      <c r="P157" s="540"/>
      <c r="Q157" s="545"/>
      <c r="R157" s="540"/>
      <c r="S157" s="540"/>
      <c r="T157" s="540"/>
      <c r="U157" s="540"/>
      <c r="V157" s="540"/>
      <c r="W157" s="540"/>
      <c r="X157" s="540"/>
      <c r="Z157" s="540" t="s">
        <v>816</v>
      </c>
      <c r="AA157" s="540"/>
      <c r="AB157" s="540"/>
      <c r="AC157" s="540"/>
      <c r="AD157" s="540"/>
      <c r="AE157" s="540"/>
      <c r="AF157" s="540"/>
      <c r="AG157" s="540"/>
      <c r="AI157" s="540" t="s">
        <v>817</v>
      </c>
      <c r="AJ157" s="540"/>
      <c r="AK157" s="540"/>
      <c r="AL157" s="540"/>
      <c r="AM157" s="540"/>
      <c r="AN157" s="540"/>
      <c r="AO157" s="540"/>
      <c r="AP157" s="540"/>
      <c r="AQ157" s="540"/>
      <c r="AR157" s="540"/>
      <c r="AT157" s="540" t="s">
        <v>818</v>
      </c>
      <c r="AU157" s="540"/>
      <c r="AV157" s="540"/>
      <c r="AW157" s="540"/>
      <c r="AX157" s="540"/>
      <c r="AY157" s="540"/>
      <c r="AZ157" s="540"/>
      <c r="BA157" s="540"/>
      <c r="BB157" s="540"/>
      <c r="BC157" s="540"/>
      <c r="BK157" s="499"/>
    </row>
    <row r="158" spans="3:63" ht="12" customHeight="1">
      <c r="C158" s="497"/>
      <c r="D158" s="540"/>
      <c r="E158" s="540"/>
      <c r="F158" s="540" t="s">
        <v>819</v>
      </c>
      <c r="G158" s="540"/>
      <c r="H158" s="540"/>
      <c r="I158" s="540"/>
      <c r="J158" s="1301" t="s">
        <v>1213</v>
      </c>
      <c r="K158" s="1302"/>
      <c r="L158" s="1296"/>
      <c r="M158" s="1297"/>
      <c r="N158" s="556"/>
      <c r="O158" s="562" t="s">
        <v>821</v>
      </c>
      <c r="P158" s="562"/>
      <c r="Q158" s="562"/>
      <c r="R158" s="562"/>
      <c r="S158" s="562"/>
      <c r="T158" s="562"/>
      <c r="U158" s="562"/>
      <c r="V158" s="562"/>
      <c r="W158" s="562"/>
      <c r="X158" s="563"/>
      <c r="Y158" s="498"/>
      <c r="Z158" s="1298" t="s">
        <v>822</v>
      </c>
      <c r="AA158" s="1299"/>
      <c r="AB158" s="1299"/>
      <c r="AC158" s="1300"/>
      <c r="AD158" s="556"/>
      <c r="AE158" s="562"/>
      <c r="AF158" s="562"/>
      <c r="AG158" s="563"/>
      <c r="AH158" s="498"/>
      <c r="AI158" s="1298" t="s">
        <v>823</v>
      </c>
      <c r="AJ158" s="1296"/>
      <c r="AK158" s="1296"/>
      <c r="AL158" s="1297"/>
      <c r="AM158" s="747"/>
      <c r="AN158" s="562"/>
      <c r="AO158" s="562"/>
      <c r="AP158" s="562"/>
      <c r="AQ158" s="562"/>
      <c r="AR158" s="563"/>
      <c r="AT158" s="1298"/>
      <c r="AU158" s="1296"/>
      <c r="AV158" s="1296"/>
      <c r="AW158" s="1297"/>
      <c r="AX158" s="747"/>
      <c r="AY158" s="562"/>
      <c r="AZ158" s="562"/>
      <c r="BA158" s="562"/>
      <c r="BB158" s="562"/>
      <c r="BC158" s="563"/>
      <c r="BK158" s="499"/>
    </row>
    <row r="159" spans="3:63" ht="12" customHeight="1">
      <c r="C159" s="497"/>
      <c r="D159" s="540"/>
      <c r="E159" s="540"/>
      <c r="F159" s="540" t="s">
        <v>824</v>
      </c>
      <c r="G159" s="540"/>
      <c r="H159" s="540"/>
      <c r="I159" s="540"/>
      <c r="J159" s="1149"/>
      <c r="K159" s="1150"/>
      <c r="L159" s="1150"/>
      <c r="M159" s="1162"/>
      <c r="N159" s="556"/>
      <c r="O159" s="543"/>
      <c r="P159" s="543"/>
      <c r="Q159" s="543"/>
      <c r="R159" s="543"/>
      <c r="S159" s="543"/>
      <c r="T159" s="543"/>
      <c r="U159" s="543"/>
      <c r="V159" s="543"/>
      <c r="W159" s="543"/>
      <c r="X159" s="544"/>
      <c r="Y159" s="498"/>
      <c r="Z159" s="1151"/>
      <c r="AA159" s="1152"/>
      <c r="AB159" s="1152"/>
      <c r="AC159" s="1153"/>
      <c r="AD159" s="556"/>
      <c r="AE159" s="543"/>
      <c r="AF159" s="543"/>
      <c r="AG159" s="544"/>
      <c r="AH159" s="498"/>
      <c r="AI159" s="1151"/>
      <c r="AJ159" s="1150"/>
      <c r="AK159" s="1150"/>
      <c r="AL159" s="1162"/>
      <c r="AM159" s="556"/>
      <c r="AN159" s="543"/>
      <c r="AO159" s="543"/>
      <c r="AP159" s="543"/>
      <c r="AQ159" s="543"/>
      <c r="AR159" s="544"/>
      <c r="AS159" s="498"/>
      <c r="AT159" s="1151"/>
      <c r="AU159" s="1150"/>
      <c r="AV159" s="1150"/>
      <c r="AW159" s="1162"/>
      <c r="AX159" s="556"/>
      <c r="AY159" s="543"/>
      <c r="AZ159" s="543"/>
      <c r="BA159" s="543"/>
      <c r="BB159" s="543"/>
      <c r="BC159" s="544"/>
      <c r="BK159" s="499"/>
    </row>
    <row r="160" spans="3:63" ht="12" customHeight="1">
      <c r="C160" s="497"/>
      <c r="D160" s="540"/>
      <c r="E160" s="540"/>
      <c r="F160" s="540" t="s">
        <v>827</v>
      </c>
      <c r="G160" s="540"/>
      <c r="H160" s="540"/>
      <c r="I160" s="540"/>
      <c r="J160" s="1149"/>
      <c r="K160" s="1150"/>
      <c r="L160" s="1150"/>
      <c r="M160" s="1150"/>
      <c r="N160" s="556"/>
      <c r="O160" s="543"/>
      <c r="P160" s="543"/>
      <c r="Q160" s="543"/>
      <c r="R160" s="543"/>
      <c r="S160" s="543"/>
      <c r="T160" s="543"/>
      <c r="U160" s="543"/>
      <c r="V160" s="543"/>
      <c r="W160" s="543"/>
      <c r="X160" s="544"/>
      <c r="Y160" s="498"/>
      <c r="Z160" s="1151"/>
      <c r="AA160" s="1152"/>
      <c r="AB160" s="1152"/>
      <c r="AC160" s="1153"/>
      <c r="AD160" s="556"/>
      <c r="AE160" s="543"/>
      <c r="AF160" s="543"/>
      <c r="AG160" s="544"/>
      <c r="AH160" s="498"/>
      <c r="AI160" s="1151"/>
      <c r="AJ160" s="1150"/>
      <c r="AK160" s="1150"/>
      <c r="AL160" s="1150"/>
      <c r="AM160" s="556"/>
      <c r="AN160" s="543"/>
      <c r="AO160" s="543"/>
      <c r="AP160" s="543"/>
      <c r="AQ160" s="543"/>
      <c r="AR160" s="544"/>
      <c r="AS160" s="498"/>
      <c r="AT160" s="1151"/>
      <c r="AU160" s="1150"/>
      <c r="AV160" s="1150"/>
      <c r="AW160" s="1150"/>
      <c r="AX160" s="556"/>
      <c r="AY160" s="543"/>
      <c r="AZ160" s="543"/>
      <c r="BA160" s="543"/>
      <c r="BB160" s="543"/>
      <c r="BC160" s="544"/>
      <c r="BK160" s="499"/>
    </row>
    <row r="161" spans="3:90" ht="12" customHeight="1">
      <c r="C161" s="497"/>
      <c r="D161" s="540" t="s">
        <v>831</v>
      </c>
      <c r="E161" s="540"/>
      <c r="F161" s="540"/>
      <c r="G161" s="540"/>
      <c r="H161" s="540"/>
      <c r="I161" s="540"/>
      <c r="J161" s="561"/>
      <c r="K161" s="562"/>
      <c r="L161" s="562"/>
      <c r="M161" s="562"/>
      <c r="N161" s="563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V161" s="567"/>
      <c r="AW161" s="567"/>
      <c r="AX161" s="567"/>
      <c r="AY161" s="567"/>
      <c r="AZ161" s="567"/>
      <c r="BK161" s="499"/>
    </row>
    <row r="162" spans="3:90" ht="12" customHeight="1">
      <c r="C162" s="497"/>
      <c r="D162" s="540" t="s">
        <v>1211</v>
      </c>
      <c r="E162" s="540"/>
      <c r="F162" s="540"/>
      <c r="G162" s="540"/>
      <c r="H162" s="540"/>
      <c r="I162" s="540"/>
      <c r="J162" s="498" t="s">
        <v>835</v>
      </c>
      <c r="K162" s="498"/>
      <c r="L162" s="1326">
        <v>650</v>
      </c>
      <c r="M162" s="1327"/>
      <c r="N162" s="1328"/>
      <c r="P162" s="8" t="s">
        <v>1212</v>
      </c>
      <c r="Q162" s="8"/>
      <c r="R162" s="1292">
        <v>1000</v>
      </c>
      <c r="S162" s="1293"/>
      <c r="T162" s="1294"/>
      <c r="BK162" s="499"/>
      <c r="CL162" s="500" t="s">
        <v>857</v>
      </c>
    </row>
    <row r="163" spans="3:90" ht="12" customHeight="1">
      <c r="C163" s="497"/>
      <c r="D163" s="540" t="s">
        <v>843</v>
      </c>
      <c r="E163" s="540"/>
      <c r="F163" s="540"/>
      <c r="G163" s="540"/>
      <c r="H163" s="540"/>
      <c r="I163" s="540"/>
      <c r="J163" s="498" t="s">
        <v>835</v>
      </c>
      <c r="K163" s="498"/>
      <c r="L163" s="1326">
        <v>650</v>
      </c>
      <c r="M163" s="1327"/>
      <c r="N163" s="1328"/>
      <c r="Q163" s="8"/>
      <c r="R163" s="498"/>
      <c r="S163" s="498"/>
      <c r="T163" s="498"/>
      <c r="BK163" s="499"/>
      <c r="CL163" s="500" t="s">
        <v>857</v>
      </c>
    </row>
    <row r="164" spans="3:90" ht="12" customHeight="1">
      <c r="C164" s="497"/>
      <c r="D164" s="540" t="s">
        <v>844</v>
      </c>
      <c r="E164" s="540"/>
      <c r="F164" s="540"/>
      <c r="G164" s="540"/>
      <c r="H164" s="540"/>
      <c r="I164" s="540"/>
      <c r="J164" s="1171"/>
      <c r="K164" s="1172"/>
      <c r="L164" s="1172"/>
      <c r="M164" s="1172"/>
      <c r="N164" s="1285"/>
      <c r="BK164" s="499"/>
      <c r="CL164" s="500"/>
    </row>
    <row r="165" spans="3:90" ht="12" customHeight="1">
      <c r="C165" s="497"/>
      <c r="D165" s="540" t="s">
        <v>722</v>
      </c>
      <c r="E165" s="540"/>
      <c r="F165" s="540"/>
      <c r="G165" s="540"/>
      <c r="H165" s="540"/>
      <c r="I165" s="540"/>
      <c r="J165" s="1146">
        <v>1000</v>
      </c>
      <c r="K165" s="1147"/>
      <c r="L165" s="1147"/>
      <c r="M165" s="1147"/>
      <c r="N165" s="1148"/>
      <c r="P165" s="540" t="s">
        <v>845</v>
      </c>
      <c r="Q165" s="540"/>
      <c r="R165" s="540"/>
      <c r="S165" s="540"/>
      <c r="T165" s="564"/>
      <c r="U165" s="565"/>
      <c r="V165" s="565"/>
      <c r="W165" s="565" t="s">
        <v>1214</v>
      </c>
      <c r="X165" s="574"/>
      <c r="Z165" s="540" t="s">
        <v>847</v>
      </c>
      <c r="AA165" s="540"/>
      <c r="AB165" s="540"/>
      <c r="AC165" s="540"/>
      <c r="AD165" s="1163">
        <v>100</v>
      </c>
      <c r="AE165" s="1164"/>
      <c r="AF165" s="1164"/>
      <c r="AG165" s="1165"/>
      <c r="AH165" s="575"/>
      <c r="AI165" s="540" t="s">
        <v>848</v>
      </c>
      <c r="AJ165" s="540"/>
      <c r="AK165" s="540"/>
      <c r="AL165" s="540"/>
      <c r="AM165" s="564"/>
      <c r="AN165" s="565"/>
      <c r="AO165" s="565"/>
      <c r="AP165" s="565"/>
      <c r="AQ165" s="748"/>
      <c r="AT165" s="540" t="s">
        <v>849</v>
      </c>
      <c r="AU165" s="540"/>
      <c r="AV165" s="540"/>
      <c r="AW165" s="540"/>
      <c r="AX165" s="540"/>
      <c r="AY165" s="583"/>
      <c r="AZ165" s="584"/>
      <c r="BA165" s="584"/>
      <c r="BB165" s="584" t="s">
        <v>1215</v>
      </c>
      <c r="BC165" s="578"/>
      <c r="BE165" s="8" t="s">
        <v>850</v>
      </c>
      <c r="BF165" s="10"/>
      <c r="BH165" s="10"/>
      <c r="BK165" s="499"/>
      <c r="CL165" s="500"/>
    </row>
    <row r="166" spans="3:90" ht="12" customHeight="1">
      <c r="C166" s="497"/>
      <c r="D166" s="498"/>
      <c r="E166" s="498"/>
      <c r="F166" s="498"/>
      <c r="G166" s="498"/>
      <c r="H166" s="498"/>
      <c r="I166" s="498"/>
      <c r="J166" s="891"/>
      <c r="K166" s="891"/>
      <c r="L166" s="891"/>
      <c r="M166" s="891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N166" s="498"/>
      <c r="AO166" s="498"/>
      <c r="AP166" s="498"/>
      <c r="AQ166" s="498"/>
      <c r="AR166" s="498"/>
      <c r="AS166" s="498"/>
      <c r="AT166" s="498"/>
      <c r="AU166" s="498"/>
      <c r="AV166" s="498"/>
      <c r="AW166" s="498"/>
      <c r="AX166" s="498"/>
      <c r="AY166" s="498"/>
      <c r="AZ166" s="498"/>
      <c r="BA166" s="498"/>
      <c r="BI166" s="498"/>
      <c r="BK166" s="499"/>
      <c r="CL166" s="500"/>
    </row>
    <row r="167" spans="3:90" ht="12" customHeight="1">
      <c r="C167" s="497"/>
      <c r="D167" s="566" t="s">
        <v>851</v>
      </c>
      <c r="E167" s="515"/>
      <c r="F167" s="515"/>
      <c r="G167" s="515"/>
      <c r="H167" s="515"/>
      <c r="I167" s="515"/>
      <c r="Q167" s="8"/>
      <c r="BF167" s="10"/>
      <c r="BH167" s="10"/>
      <c r="BK167" s="499"/>
      <c r="CL167" s="500"/>
    </row>
    <row r="168" spans="3:90" ht="12" customHeight="1">
      <c r="C168" s="497"/>
      <c r="D168" s="540" t="s">
        <v>852</v>
      </c>
      <c r="E168" s="540"/>
      <c r="F168" s="540"/>
      <c r="G168" s="540"/>
      <c r="H168" s="540"/>
      <c r="I168" s="540"/>
      <c r="J168" s="580" t="s">
        <v>718</v>
      </c>
      <c r="K168" s="562"/>
      <c r="L168" s="562"/>
      <c r="M168" s="562"/>
      <c r="N168" s="562"/>
      <c r="O168" s="542"/>
      <c r="P168" s="543" t="s">
        <v>853</v>
      </c>
      <c r="Q168" s="543"/>
      <c r="R168" s="543"/>
      <c r="S168" s="543"/>
      <c r="T168" s="543"/>
      <c r="U168" s="543"/>
      <c r="V168" s="569"/>
      <c r="W168" s="569"/>
      <c r="X168" s="569"/>
      <c r="Y168" s="575"/>
      <c r="Z168" s="540" t="s">
        <v>854</v>
      </c>
      <c r="AA168" s="540"/>
      <c r="AB168" s="540"/>
      <c r="AC168" s="540"/>
      <c r="AD168" s="581"/>
      <c r="AE168" s="581"/>
      <c r="AF168" s="581" t="s">
        <v>1214</v>
      </c>
      <c r="AG168" s="574"/>
      <c r="AH168" s="498"/>
      <c r="AI168" s="540" t="s">
        <v>855</v>
      </c>
      <c r="AJ168" s="540"/>
      <c r="AK168" s="540"/>
      <c r="AL168" s="540"/>
      <c r="AM168" s="564"/>
      <c r="AN168" s="565"/>
      <c r="AO168" s="565"/>
      <c r="AP168" s="565"/>
      <c r="AQ168" s="748"/>
      <c r="AT168" s="540" t="s">
        <v>849</v>
      </c>
      <c r="AU168" s="540"/>
      <c r="AV168" s="540"/>
      <c r="AW168" s="540"/>
      <c r="AX168" s="540"/>
      <c r="AY168" s="583"/>
      <c r="AZ168" s="584"/>
      <c r="BA168" s="584"/>
      <c r="BB168" s="584" t="s">
        <v>1215</v>
      </c>
      <c r="BC168" s="578"/>
      <c r="BK168" s="499"/>
      <c r="CL168" s="500" t="s">
        <v>857</v>
      </c>
    </row>
    <row r="169" spans="3:90" ht="12" customHeight="1">
      <c r="C169" s="497"/>
      <c r="D169" s="498"/>
      <c r="E169" s="498"/>
      <c r="F169" s="498"/>
      <c r="G169" s="498"/>
      <c r="H169" s="498"/>
      <c r="I169" s="498"/>
      <c r="J169" s="891"/>
      <c r="K169" s="891"/>
      <c r="L169" s="891"/>
      <c r="M169" s="891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  <c r="AA169" s="498"/>
      <c r="AB169" s="498"/>
      <c r="AC169" s="498"/>
      <c r="AD169" s="498"/>
      <c r="AE169" s="498"/>
      <c r="AF169" s="498"/>
      <c r="AG169" s="498"/>
      <c r="AH169" s="498"/>
      <c r="AN169" s="498"/>
      <c r="AO169" s="498"/>
      <c r="AP169" s="498"/>
      <c r="AQ169" s="498"/>
      <c r="AR169" s="498"/>
      <c r="AS169" s="498"/>
      <c r="AT169" s="498"/>
      <c r="AU169" s="498"/>
      <c r="AV169" s="498"/>
      <c r="AW169" s="498"/>
      <c r="AX169" s="498"/>
      <c r="AY169" s="498"/>
      <c r="AZ169" s="498"/>
      <c r="BA169" s="498"/>
      <c r="BI169" s="498"/>
      <c r="BK169" s="499"/>
    </row>
    <row r="170" spans="3:90" ht="12" customHeight="1">
      <c r="C170" s="497"/>
      <c r="D170" s="566" t="s">
        <v>858</v>
      </c>
      <c r="E170" s="515"/>
      <c r="F170" s="515"/>
      <c r="G170" s="515"/>
      <c r="H170" s="515"/>
      <c r="I170" s="515"/>
      <c r="BB170" s="498"/>
      <c r="BC170" s="498"/>
      <c r="BD170" s="498"/>
      <c r="BE170" s="498"/>
      <c r="BF170" s="498"/>
      <c r="BG170" s="498"/>
      <c r="BH170" s="498"/>
      <c r="BI170" s="498"/>
      <c r="BK170" s="499"/>
    </row>
    <row r="171" spans="3:90" ht="12" customHeight="1">
      <c r="C171" s="497"/>
      <c r="D171" s="540" t="s">
        <v>859</v>
      </c>
      <c r="E171" s="540"/>
      <c r="F171" s="540"/>
      <c r="G171" s="540"/>
      <c r="H171" s="540"/>
      <c r="I171" s="540"/>
      <c r="J171" s="511" t="s">
        <v>860</v>
      </c>
      <c r="K171" s="503"/>
      <c r="L171" s="503"/>
      <c r="M171" s="503"/>
      <c r="N171" s="503"/>
      <c r="O171" s="503"/>
      <c r="P171" s="503"/>
      <c r="Q171" s="503"/>
      <c r="R171" s="503"/>
      <c r="S171" s="503"/>
      <c r="T171" s="503"/>
      <c r="U171" s="503"/>
      <c r="V171" s="503"/>
      <c r="W171" s="503"/>
      <c r="X171" s="503"/>
      <c r="Y171" s="503"/>
      <c r="Z171" s="503"/>
      <c r="AA171" s="504"/>
      <c r="AD171" s="540" t="s">
        <v>861</v>
      </c>
      <c r="AE171" s="540"/>
      <c r="AF171" s="540"/>
      <c r="AG171" s="540"/>
      <c r="AH171" s="540"/>
      <c r="AI171" s="540"/>
      <c r="AJ171" s="511" t="s">
        <v>862</v>
      </c>
      <c r="AK171" s="503"/>
      <c r="AL171" s="503"/>
      <c r="AM171" s="503"/>
      <c r="AN171" s="503"/>
      <c r="AO171" s="503"/>
      <c r="AP171" s="503"/>
      <c r="AQ171" s="503"/>
      <c r="AR171" s="503"/>
      <c r="AS171" s="503"/>
      <c r="AT171" s="503"/>
      <c r="AU171" s="503"/>
      <c r="AV171" s="503"/>
      <c r="AW171" s="503"/>
      <c r="AX171" s="503"/>
      <c r="AY171" s="503"/>
      <c r="AZ171" s="503"/>
      <c r="BA171" s="504"/>
      <c r="BB171" s="498"/>
      <c r="BC171" s="498"/>
      <c r="BD171" s="498"/>
      <c r="BE171" s="498"/>
      <c r="BF171" s="498"/>
      <c r="BG171" s="498"/>
      <c r="BH171" s="498"/>
      <c r="BI171" s="498"/>
      <c r="BK171" s="499"/>
    </row>
    <row r="172" spans="3:90" ht="12" customHeight="1">
      <c r="C172" s="497"/>
      <c r="D172" s="540" t="s">
        <v>863</v>
      </c>
      <c r="E172" s="540"/>
      <c r="F172" s="540"/>
      <c r="G172" s="540"/>
      <c r="H172" s="540"/>
      <c r="I172" s="540"/>
      <c r="J172" s="511" t="s">
        <v>862</v>
      </c>
      <c r="K172" s="503"/>
      <c r="L172" s="503"/>
      <c r="M172" s="503"/>
      <c r="N172" s="503"/>
      <c r="O172" s="503"/>
      <c r="P172" s="503"/>
      <c r="Q172" s="503"/>
      <c r="R172" s="503"/>
      <c r="S172" s="503"/>
      <c r="T172" s="503"/>
      <c r="U172" s="503"/>
      <c r="V172" s="503"/>
      <c r="W172" s="503"/>
      <c r="X172" s="503"/>
      <c r="Y172" s="503"/>
      <c r="Z172" s="503"/>
      <c r="AA172" s="504"/>
      <c r="AD172" s="540" t="s">
        <v>864</v>
      </c>
      <c r="AE172" s="540"/>
      <c r="AF172" s="540"/>
      <c r="AG172" s="540"/>
      <c r="AH172" s="540"/>
      <c r="AI172" s="540"/>
      <c r="AJ172" s="511"/>
      <c r="AK172" s="503"/>
      <c r="AL172" s="503"/>
      <c r="AM172" s="503"/>
      <c r="AN172" s="503"/>
      <c r="AO172" s="503"/>
      <c r="AP172" s="503"/>
      <c r="AQ172" s="503"/>
      <c r="AR172" s="503"/>
      <c r="AS172" s="503"/>
      <c r="AT172" s="503"/>
      <c r="AU172" s="503"/>
      <c r="AV172" s="503"/>
      <c r="AW172" s="503"/>
      <c r="AX172" s="503"/>
      <c r="AY172" s="503"/>
      <c r="AZ172" s="503"/>
      <c r="BA172" s="504"/>
      <c r="BB172" s="498"/>
      <c r="BC172" s="498"/>
      <c r="BD172" s="498"/>
      <c r="BE172" s="498"/>
      <c r="BF172" s="498"/>
      <c r="BG172" s="498"/>
      <c r="BH172" s="498"/>
      <c r="BI172" s="498"/>
      <c r="BK172" s="499"/>
    </row>
    <row r="173" spans="3:90" ht="12" customHeight="1">
      <c r="C173" s="497"/>
      <c r="D173" s="540" t="s">
        <v>865</v>
      </c>
      <c r="E173" s="540"/>
      <c r="F173" s="540"/>
      <c r="G173" s="540"/>
      <c r="H173" s="540"/>
      <c r="I173" s="540"/>
      <c r="J173" s="511" t="s">
        <v>866</v>
      </c>
      <c r="K173" s="503"/>
      <c r="L173" s="503"/>
      <c r="M173" s="503"/>
      <c r="N173" s="503"/>
      <c r="O173" s="503"/>
      <c r="P173" s="503"/>
      <c r="Q173" s="503"/>
      <c r="R173" s="503"/>
      <c r="S173" s="503"/>
      <c r="T173" s="503"/>
      <c r="U173" s="503"/>
      <c r="V173" s="503"/>
      <c r="W173" s="503"/>
      <c r="X173" s="503"/>
      <c r="Y173" s="503"/>
      <c r="Z173" s="503"/>
      <c r="AA173" s="504"/>
      <c r="AD173" s="540" t="s">
        <v>867</v>
      </c>
      <c r="AE173" s="540"/>
      <c r="AF173" s="540"/>
      <c r="AG173" s="540"/>
      <c r="AH173" s="540"/>
      <c r="AI173" s="540"/>
      <c r="AJ173" s="511" t="s">
        <v>868</v>
      </c>
      <c r="AK173" s="503"/>
      <c r="AL173" s="503"/>
      <c r="AM173" s="503"/>
      <c r="AN173" s="503"/>
      <c r="AO173" s="503"/>
      <c r="AP173" s="503"/>
      <c r="AQ173" s="503"/>
      <c r="AR173" s="503"/>
      <c r="AS173" s="503"/>
      <c r="AT173" s="503"/>
      <c r="AU173" s="503"/>
      <c r="AV173" s="503"/>
      <c r="AW173" s="503"/>
      <c r="AX173" s="503"/>
      <c r="AY173" s="503"/>
      <c r="AZ173" s="503"/>
      <c r="BA173" s="504"/>
      <c r="BB173" s="498"/>
      <c r="BC173" s="498"/>
      <c r="BD173" s="498"/>
      <c r="BE173" s="498"/>
      <c r="BF173" s="498"/>
      <c r="BG173" s="498"/>
      <c r="BH173" s="498"/>
      <c r="BI173" s="498"/>
      <c r="BK173" s="499"/>
    </row>
    <row r="174" spans="3:90" ht="12" customHeight="1">
      <c r="C174" s="497"/>
      <c r="D174" s="540" t="s">
        <v>869</v>
      </c>
      <c r="E174" s="540"/>
      <c r="F174" s="540"/>
      <c r="G174" s="540"/>
      <c r="H174" s="540"/>
      <c r="I174" s="540"/>
      <c r="J174" s="511"/>
      <c r="K174" s="503"/>
      <c r="L174" s="503"/>
      <c r="M174" s="503"/>
      <c r="N174" s="503"/>
      <c r="O174" s="503"/>
      <c r="P174" s="503"/>
      <c r="Q174" s="503"/>
      <c r="R174" s="503"/>
      <c r="S174" s="503"/>
      <c r="T174" s="503"/>
      <c r="U174" s="503"/>
      <c r="V174" s="503"/>
      <c r="W174" s="503"/>
      <c r="X174" s="503"/>
      <c r="Y174" s="503"/>
      <c r="Z174" s="585" t="s">
        <v>870</v>
      </c>
      <c r="AA174" s="504"/>
      <c r="AD174" s="498"/>
      <c r="AE174" s="498"/>
      <c r="AF174" s="498"/>
      <c r="AG174" s="498"/>
      <c r="AH174" s="498"/>
      <c r="AI174" s="498"/>
      <c r="AJ174" s="586"/>
      <c r="AK174" s="586"/>
      <c r="AL174" s="586"/>
      <c r="AM174" s="586"/>
      <c r="AN174" s="586"/>
      <c r="AO174" s="586"/>
      <c r="AP174" s="586"/>
      <c r="AQ174" s="586"/>
      <c r="AR174" s="586"/>
      <c r="AS174" s="586"/>
      <c r="AT174" s="586"/>
      <c r="AU174" s="586"/>
      <c r="AV174" s="586"/>
      <c r="AW174" s="586"/>
      <c r="AX174" s="586"/>
      <c r="AY174" s="586"/>
      <c r="AZ174" s="587"/>
      <c r="BA174" s="586"/>
      <c r="BB174" s="498"/>
      <c r="BC174" s="498"/>
      <c r="BD174" s="498"/>
      <c r="BE174" s="498"/>
      <c r="BF174" s="498"/>
      <c r="BG174" s="498"/>
      <c r="BH174" s="498"/>
      <c r="BI174" s="498"/>
      <c r="BK174" s="499"/>
    </row>
    <row r="175" spans="3:90" ht="12" customHeight="1">
      <c r="C175" s="497"/>
      <c r="D175" s="498"/>
      <c r="E175" s="498"/>
      <c r="F175" s="498"/>
      <c r="G175" s="498"/>
      <c r="H175" s="498"/>
      <c r="I175" s="498"/>
      <c r="J175" s="498"/>
      <c r="K175" s="498"/>
      <c r="L175" s="498"/>
      <c r="M175" s="498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8"/>
      <c r="AA175" s="498"/>
      <c r="AB175" s="498"/>
      <c r="AC175" s="498"/>
      <c r="AD175" s="498"/>
      <c r="AE175" s="498"/>
      <c r="AF175" s="498"/>
      <c r="AG175" s="498"/>
      <c r="AH175" s="498"/>
      <c r="AI175" s="498"/>
      <c r="AJ175" s="498"/>
      <c r="AK175" s="498"/>
      <c r="AL175" s="498"/>
      <c r="AM175" s="498"/>
      <c r="AN175" s="498"/>
      <c r="AO175" s="498"/>
      <c r="AP175" s="498"/>
      <c r="AQ175" s="498"/>
      <c r="AR175" s="498"/>
      <c r="AS175" s="498"/>
      <c r="AT175" s="498"/>
      <c r="AU175" s="498"/>
      <c r="AV175" s="498"/>
      <c r="AW175" s="498"/>
      <c r="AX175" s="498"/>
      <c r="AY175" s="498"/>
      <c r="AZ175" s="498"/>
      <c r="BA175" s="498"/>
      <c r="BB175" s="498"/>
      <c r="BC175" s="498"/>
      <c r="BD175" s="498"/>
      <c r="BE175" s="498"/>
      <c r="BF175" s="498"/>
      <c r="BG175" s="498"/>
      <c r="BH175" s="498"/>
      <c r="BI175" s="498"/>
      <c r="BK175" s="499"/>
    </row>
    <row r="176" spans="3:90" ht="12" customHeight="1">
      <c r="C176" s="497"/>
      <c r="BK176" s="499"/>
    </row>
    <row r="177" spans="2:80" ht="12" customHeight="1">
      <c r="C177" s="50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7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09"/>
    </row>
    <row r="178" spans="2:80" ht="12" customHeight="1" thickBot="1">
      <c r="C178" s="531"/>
      <c r="D178" s="532"/>
      <c r="E178" s="532"/>
      <c r="F178" s="532"/>
      <c r="G178" s="532"/>
      <c r="H178" s="532"/>
      <c r="I178" s="532"/>
      <c r="J178" s="532"/>
      <c r="K178" s="532"/>
      <c r="L178" s="532"/>
      <c r="M178" s="532"/>
      <c r="N178" s="532"/>
      <c r="O178" s="532"/>
      <c r="P178" s="532"/>
      <c r="Q178" s="533"/>
      <c r="R178" s="532"/>
      <c r="S178" s="532"/>
      <c r="T178" s="532"/>
      <c r="U178" s="532"/>
      <c r="V178" s="532"/>
      <c r="W178" s="532"/>
      <c r="X178" s="532"/>
      <c r="Y178" s="532"/>
      <c r="Z178" s="532"/>
      <c r="AA178" s="532"/>
      <c r="AB178" s="532"/>
      <c r="AC178" s="532"/>
      <c r="AD178" s="532"/>
      <c r="AE178" s="532"/>
      <c r="AF178" s="532"/>
      <c r="AG178" s="532"/>
      <c r="AH178" s="532"/>
      <c r="AI178" s="532"/>
      <c r="AJ178" s="532"/>
      <c r="AK178" s="532"/>
      <c r="AL178" s="532"/>
      <c r="AM178" s="532"/>
      <c r="AN178" s="532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  <c r="BC178" s="532"/>
      <c r="BD178" s="532"/>
      <c r="BE178" s="532"/>
      <c r="BF178" s="532"/>
      <c r="BG178" s="532"/>
      <c r="BH178" s="532"/>
      <c r="BI178" s="532"/>
      <c r="BJ178" s="532"/>
      <c r="BK178" s="534"/>
    </row>
    <row r="186" spans="2:80" ht="28.5">
      <c r="B186" s="488" t="s">
        <v>871</v>
      </c>
    </row>
    <row r="187" spans="2:80" ht="12" customHeight="1">
      <c r="C187" s="489" t="s">
        <v>872</v>
      </c>
      <c r="D187" s="588"/>
    </row>
    <row r="188" spans="2:80" ht="12" customHeight="1" thickBot="1">
      <c r="C188" s="489" t="s">
        <v>1154</v>
      </c>
      <c r="D188" s="588"/>
    </row>
    <row r="189" spans="2:80" ht="12" customHeight="1">
      <c r="C189" s="490"/>
      <c r="D189" s="589" t="s">
        <v>735</v>
      </c>
      <c r="E189" s="589"/>
      <c r="F189" s="589"/>
      <c r="G189" s="548" t="s">
        <v>795</v>
      </c>
      <c r="H189" s="590"/>
      <c r="I189" s="590"/>
      <c r="J189" s="590"/>
      <c r="K189" s="590"/>
      <c r="L189" s="591"/>
      <c r="M189" s="491"/>
      <c r="N189" s="589" t="s">
        <v>697</v>
      </c>
      <c r="O189" s="589"/>
      <c r="P189" s="589"/>
      <c r="Q189" s="592" t="s">
        <v>794</v>
      </c>
      <c r="R189" s="590"/>
      <c r="S189" s="590"/>
      <c r="T189" s="590"/>
      <c r="U189" s="594" t="s">
        <v>1155</v>
      </c>
      <c r="V189" s="591"/>
      <c r="W189" s="491"/>
      <c r="X189" s="589" t="s">
        <v>874</v>
      </c>
      <c r="Y189" s="589"/>
      <c r="Z189" s="589"/>
      <c r="AA189" s="589"/>
      <c r="AB189" s="589"/>
      <c r="AC189" s="589"/>
      <c r="AD189" s="593" t="s">
        <v>326</v>
      </c>
      <c r="AE189" s="590"/>
      <c r="AF189" s="590"/>
      <c r="AG189" s="590"/>
      <c r="AH189" s="590"/>
      <c r="AI189" s="590"/>
      <c r="AJ189" s="590"/>
      <c r="AK189" s="590"/>
      <c r="AL189" s="590"/>
      <c r="AM189" s="590"/>
      <c r="AN189" s="590"/>
      <c r="AO189" s="590"/>
      <c r="AP189" s="590"/>
      <c r="AQ189" s="590"/>
      <c r="AR189" s="590"/>
      <c r="AS189" s="590"/>
      <c r="AT189" s="590"/>
      <c r="AU189" s="590"/>
      <c r="AV189" s="590"/>
      <c r="AW189" s="590"/>
      <c r="AX189" s="590"/>
      <c r="AY189" s="590"/>
      <c r="AZ189" s="590"/>
      <c r="BA189" s="590"/>
      <c r="BB189" s="590"/>
      <c r="BC189" s="590"/>
      <c r="BD189" s="590"/>
      <c r="BE189" s="590"/>
      <c r="BF189" s="590"/>
      <c r="BG189" s="591"/>
      <c r="BH189" s="491"/>
      <c r="BI189" s="589" t="s">
        <v>875</v>
      </c>
      <c r="BJ189" s="589"/>
      <c r="BK189" s="589"/>
      <c r="BL189" s="594" t="s">
        <v>876</v>
      </c>
      <c r="BM189" s="590"/>
      <c r="BN189" s="590"/>
      <c r="BO189" s="590"/>
      <c r="BP189" s="590"/>
      <c r="BQ189" s="591"/>
      <c r="BR189" s="491"/>
      <c r="BS189" s="491"/>
      <c r="BT189" s="491"/>
      <c r="BU189" s="491"/>
      <c r="BV189" s="491"/>
      <c r="BW189" s="491"/>
      <c r="BX189" s="491"/>
      <c r="BY189" s="491"/>
      <c r="BZ189" s="491"/>
      <c r="CA189" s="491"/>
      <c r="CB189" s="493"/>
    </row>
    <row r="190" spans="2:80" ht="12" customHeight="1" thickBot="1">
      <c r="C190" s="497"/>
      <c r="D190" s="588" t="s">
        <v>877</v>
      </c>
      <c r="CB190" s="499"/>
    </row>
    <row r="191" spans="2:80" ht="12" customHeight="1">
      <c r="C191" s="497"/>
      <c r="D191" s="1122" t="s">
        <v>878</v>
      </c>
      <c r="E191" s="1123"/>
      <c r="F191" s="1128" t="s">
        <v>879</v>
      </c>
      <c r="G191" s="1129"/>
      <c r="H191" s="1130"/>
      <c r="I191" s="1128" t="s">
        <v>880</v>
      </c>
      <c r="J191" s="1129"/>
      <c r="K191" s="1129"/>
      <c r="L191" s="1129"/>
      <c r="M191" s="1129"/>
      <c r="N191" s="1130"/>
      <c r="O191" s="1128" t="s">
        <v>881</v>
      </c>
      <c r="P191" s="1130"/>
      <c r="Q191" s="1128" t="s">
        <v>882</v>
      </c>
      <c r="R191" s="1129"/>
      <c r="S191" s="1129"/>
      <c r="T191" s="1129"/>
      <c r="U191" s="1129"/>
      <c r="V191" s="1113" t="s">
        <v>883</v>
      </c>
      <c r="W191" s="1130"/>
      <c r="X191" s="1113" t="s">
        <v>884</v>
      </c>
      <c r="Y191" s="1114"/>
      <c r="Z191" s="1114"/>
      <c r="AA191" s="1115"/>
      <c r="AB191" s="1138" t="s">
        <v>885</v>
      </c>
      <c r="AC191" s="1138"/>
      <c r="AD191" s="1138"/>
      <c r="AE191" s="1138"/>
      <c r="AF191" s="1139" t="s">
        <v>886</v>
      </c>
      <c r="AG191" s="1138"/>
      <c r="AH191" s="1138"/>
      <c r="AI191" s="1138"/>
      <c r="AJ191" s="1138"/>
      <c r="AK191" s="1138"/>
      <c r="AL191" s="1138"/>
      <c r="AM191" s="1138"/>
      <c r="AN191" s="1138"/>
      <c r="AO191" s="1138"/>
      <c r="AP191" s="1138"/>
      <c r="AQ191" s="1138"/>
      <c r="AR191" s="1138"/>
      <c r="AS191" s="1138"/>
      <c r="AT191" s="1138"/>
      <c r="AU191" s="1138"/>
      <c r="AV191" s="1138"/>
      <c r="AW191" s="1138"/>
      <c r="AX191" s="1138"/>
      <c r="AY191" s="1138"/>
      <c r="AZ191" s="1138"/>
      <c r="BA191" s="1138"/>
      <c r="BB191" s="1138"/>
      <c r="BC191" s="1138"/>
      <c r="BD191" s="1138"/>
      <c r="BE191" s="1138"/>
      <c r="BF191" s="1138"/>
      <c r="BG191" s="1138"/>
      <c r="BH191" s="1138" t="s">
        <v>887</v>
      </c>
      <c r="BI191" s="1138"/>
      <c r="BJ191" s="1138"/>
      <c r="BK191" s="1138"/>
      <c r="BL191" s="1138" t="s">
        <v>888</v>
      </c>
      <c r="BM191" s="1138"/>
      <c r="BN191" s="1138"/>
      <c r="BO191" s="1138"/>
      <c r="BP191" s="1138" t="s">
        <v>889</v>
      </c>
      <c r="BQ191" s="1138"/>
      <c r="BR191" s="1138"/>
      <c r="BS191" s="1138"/>
      <c r="BT191" s="1129" t="s">
        <v>890</v>
      </c>
      <c r="BU191" s="1129"/>
      <c r="BV191" s="1129"/>
      <c r="BW191" s="1129"/>
      <c r="BX191" s="1129"/>
      <c r="BY191" s="1137"/>
      <c r="BZ191" s="595" t="s">
        <v>891</v>
      </c>
      <c r="CB191" s="499"/>
    </row>
    <row r="192" spans="2:80" ht="12" customHeight="1">
      <c r="C192" s="497"/>
      <c r="D192" s="1124"/>
      <c r="E192" s="1125"/>
      <c r="F192" s="1131"/>
      <c r="G192" s="1132"/>
      <c r="H192" s="1133"/>
      <c r="I192" s="1131"/>
      <c r="J192" s="1132"/>
      <c r="K192" s="1132"/>
      <c r="L192" s="1132"/>
      <c r="M192" s="1132"/>
      <c r="N192" s="1133"/>
      <c r="O192" s="1131"/>
      <c r="P192" s="1133"/>
      <c r="Q192" s="1131"/>
      <c r="R192" s="1132"/>
      <c r="S192" s="1132"/>
      <c r="T192" s="1132"/>
      <c r="U192" s="1132"/>
      <c r="V192" s="1131"/>
      <c r="W192" s="1133"/>
      <c r="X192" s="1116"/>
      <c r="Y192" s="1117"/>
      <c r="Z192" s="1117"/>
      <c r="AA192" s="1118"/>
      <c r="AB192" s="1101" t="s">
        <v>885</v>
      </c>
      <c r="AC192" s="1105"/>
      <c r="AD192" s="1105"/>
      <c r="AE192" s="1102"/>
      <c r="AF192" s="1081" t="s">
        <v>892</v>
      </c>
      <c r="AG192" s="1082"/>
      <c r="AH192" s="1082"/>
      <c r="AI192" s="1083"/>
      <c r="AJ192" s="1081" t="s">
        <v>893</v>
      </c>
      <c r="AK192" s="1082"/>
      <c r="AL192" s="1082"/>
      <c r="AM192" s="1083"/>
      <c r="AN192" s="1081" t="s">
        <v>894</v>
      </c>
      <c r="AO192" s="1082"/>
      <c r="AP192" s="1082"/>
      <c r="AQ192" s="1083"/>
      <c r="AR192" s="1081" t="s">
        <v>895</v>
      </c>
      <c r="AS192" s="1082"/>
      <c r="AT192" s="1082"/>
      <c r="AU192" s="1082"/>
      <c r="AV192" s="1081" t="s">
        <v>896</v>
      </c>
      <c r="AW192" s="1082"/>
      <c r="AX192" s="1082"/>
      <c r="AY192" s="1083"/>
      <c r="AZ192" s="1081" t="s">
        <v>897</v>
      </c>
      <c r="BA192" s="1082"/>
      <c r="BB192" s="1082"/>
      <c r="BC192" s="1083"/>
      <c r="BD192" s="1081" t="s">
        <v>898</v>
      </c>
      <c r="BE192" s="1082"/>
      <c r="BF192" s="1082"/>
      <c r="BG192" s="1083"/>
      <c r="BH192" s="1101" t="s">
        <v>899</v>
      </c>
      <c r="BI192" s="1105"/>
      <c r="BJ192" s="1105"/>
      <c r="BK192" s="1102"/>
      <c r="BL192" s="1101" t="s">
        <v>900</v>
      </c>
      <c r="BM192" s="1105"/>
      <c r="BN192" s="1105"/>
      <c r="BO192" s="1102"/>
      <c r="BP192" s="1101" t="s">
        <v>901</v>
      </c>
      <c r="BQ192" s="1105"/>
      <c r="BR192" s="1105"/>
      <c r="BS192" s="1102"/>
      <c r="BT192" s="1101" t="s">
        <v>902</v>
      </c>
      <c r="BU192" s="1102"/>
      <c r="BV192" s="1105" t="s">
        <v>903</v>
      </c>
      <c r="BW192" s="1102"/>
      <c r="BX192" s="1101" t="s">
        <v>904</v>
      </c>
      <c r="BY192" s="1107"/>
      <c r="BZ192" s="596"/>
      <c r="CB192" s="499"/>
    </row>
    <row r="193" spans="3:80" ht="12" customHeight="1" thickBot="1">
      <c r="C193" s="497"/>
      <c r="D193" s="1126"/>
      <c r="E193" s="1127"/>
      <c r="F193" s="1134"/>
      <c r="G193" s="1135"/>
      <c r="H193" s="1136"/>
      <c r="I193" s="1134"/>
      <c r="J193" s="1135"/>
      <c r="K193" s="1135"/>
      <c r="L193" s="1135"/>
      <c r="M193" s="1135"/>
      <c r="N193" s="1136"/>
      <c r="O193" s="1134"/>
      <c r="P193" s="1136"/>
      <c r="Q193" s="1134"/>
      <c r="R193" s="1135"/>
      <c r="S193" s="1135"/>
      <c r="T193" s="1135"/>
      <c r="U193" s="1135"/>
      <c r="V193" s="1134"/>
      <c r="W193" s="1136"/>
      <c r="X193" s="1119"/>
      <c r="Y193" s="1120"/>
      <c r="Z193" s="1120"/>
      <c r="AA193" s="1121"/>
      <c r="AB193" s="1103"/>
      <c r="AC193" s="1106"/>
      <c r="AD193" s="1106"/>
      <c r="AE193" s="1104"/>
      <c r="AF193" s="597" t="s">
        <v>905</v>
      </c>
      <c r="AG193" s="598"/>
      <c r="AH193" s="598"/>
      <c r="AI193" s="598"/>
      <c r="AJ193" s="598"/>
      <c r="AK193" s="598"/>
      <c r="AL193" s="598"/>
      <c r="AM193" s="598"/>
      <c r="AN193" s="598"/>
      <c r="AO193" s="598"/>
      <c r="AP193" s="598"/>
      <c r="AQ193" s="598"/>
      <c r="AR193" s="598"/>
      <c r="AS193" s="598"/>
      <c r="AT193" s="598"/>
      <c r="AU193" s="598"/>
      <c r="AV193" s="597" t="s">
        <v>906</v>
      </c>
      <c r="AW193" s="598"/>
      <c r="AX193" s="598"/>
      <c r="AY193" s="598"/>
      <c r="AZ193" s="598"/>
      <c r="BA193" s="598"/>
      <c r="BB193" s="598"/>
      <c r="BC193" s="598"/>
      <c r="BD193" s="598"/>
      <c r="BE193" s="598"/>
      <c r="BF193" s="598"/>
      <c r="BG193" s="599"/>
      <c r="BH193" s="1103"/>
      <c r="BI193" s="1106"/>
      <c r="BJ193" s="1106"/>
      <c r="BK193" s="1104"/>
      <c r="BL193" s="1103"/>
      <c r="BM193" s="1106"/>
      <c r="BN193" s="1106"/>
      <c r="BO193" s="1104"/>
      <c r="BP193" s="1109" t="s">
        <v>907</v>
      </c>
      <c r="BQ193" s="1110"/>
      <c r="BR193" s="1110"/>
      <c r="BS193" s="1111"/>
      <c r="BT193" s="1103"/>
      <c r="BU193" s="1104"/>
      <c r="BV193" s="1106"/>
      <c r="BW193" s="1104"/>
      <c r="BX193" s="1103"/>
      <c r="BY193" s="1108"/>
      <c r="BZ193" s="595"/>
      <c r="CB193" s="499"/>
    </row>
    <row r="194" spans="3:80" ht="12" customHeight="1">
      <c r="C194" s="497"/>
      <c r="D194" s="1277" t="s">
        <v>946</v>
      </c>
      <c r="E194" s="1278"/>
      <c r="F194" s="981" t="s">
        <v>947</v>
      </c>
      <c r="G194" s="982"/>
      <c r="H194" s="983"/>
      <c r="I194" s="990" t="s">
        <v>948</v>
      </c>
      <c r="J194" s="991"/>
      <c r="K194" s="996" t="s">
        <v>949</v>
      </c>
      <c r="L194" s="997"/>
      <c r="M194" s="997"/>
      <c r="N194" s="997"/>
      <c r="O194" s="1005">
        <v>40</v>
      </c>
      <c r="P194" s="1006"/>
      <c r="Q194" s="1048" t="s">
        <v>950</v>
      </c>
      <c r="R194" s="1049"/>
      <c r="S194" s="1049"/>
      <c r="T194" s="1049"/>
      <c r="U194" s="1050"/>
      <c r="V194" s="602" t="s">
        <v>928</v>
      </c>
      <c r="W194" s="699"/>
      <c r="X194" s="602" t="s">
        <v>928</v>
      </c>
      <c r="Y194" s="699"/>
      <c r="Z194" s="602" t="s">
        <v>928</v>
      </c>
      <c r="AA194" s="699"/>
      <c r="AB194" s="1068"/>
      <c r="AC194" s="1024"/>
      <c r="AD194" s="1024"/>
      <c r="AE194" s="1025"/>
      <c r="AF194" s="604" t="s">
        <v>951</v>
      </c>
      <c r="AG194" s="605"/>
      <c r="AH194" s="605"/>
      <c r="AI194" s="605"/>
      <c r="AJ194" s="604" t="s">
        <v>952</v>
      </c>
      <c r="AK194" s="605"/>
      <c r="AL194" s="605"/>
      <c r="AM194" s="606"/>
      <c r="AN194" s="700" t="s">
        <v>953</v>
      </c>
      <c r="AO194" s="701"/>
      <c r="AP194" s="701"/>
      <c r="AQ194" s="702"/>
      <c r="AR194" s="700" t="s">
        <v>954</v>
      </c>
      <c r="AS194" s="701"/>
      <c r="AT194" s="701"/>
      <c r="AU194" s="702"/>
      <c r="AV194" s="700" t="s">
        <v>955</v>
      </c>
      <c r="AW194" s="701"/>
      <c r="AX194" s="701"/>
      <c r="AY194" s="702"/>
      <c r="AZ194" s="700" t="s">
        <v>238</v>
      </c>
      <c r="BA194" s="701"/>
      <c r="BB194" s="701"/>
      <c r="BC194" s="702"/>
      <c r="BD194" s="605" t="s">
        <v>956</v>
      </c>
      <c r="BE194" s="605"/>
      <c r="BF194" s="605"/>
      <c r="BG194" s="605"/>
      <c r="BH194" s="960"/>
      <c r="BI194" s="961"/>
      <c r="BJ194" s="961"/>
      <c r="BK194" s="962"/>
      <c r="BL194" s="960"/>
      <c r="BM194" s="961"/>
      <c r="BN194" s="961"/>
      <c r="BO194" s="962"/>
      <c r="BP194" s="607"/>
      <c r="BQ194" s="608"/>
      <c r="BR194" s="608"/>
      <c r="BS194" s="609"/>
      <c r="BT194" s="612"/>
      <c r="BU194" s="613"/>
      <c r="BV194" s="612"/>
      <c r="BW194" s="613"/>
      <c r="BX194" s="600"/>
      <c r="BY194" s="703"/>
      <c r="BZ194" s="595"/>
      <c r="CB194" s="499"/>
    </row>
    <row r="195" spans="3:80" ht="12" customHeight="1">
      <c r="C195" s="497"/>
      <c r="D195" s="1279"/>
      <c r="E195" s="1280"/>
      <c r="F195" s="984"/>
      <c r="G195" s="985"/>
      <c r="H195" s="986"/>
      <c r="I195" s="992"/>
      <c r="J195" s="993"/>
      <c r="K195" s="999"/>
      <c r="L195" s="1000"/>
      <c r="M195" s="1000"/>
      <c r="N195" s="1000"/>
      <c r="O195" s="1007"/>
      <c r="P195" s="1008"/>
      <c r="Q195" s="1051"/>
      <c r="R195" s="1052"/>
      <c r="S195" s="1052"/>
      <c r="T195" s="1052"/>
      <c r="U195" s="1053"/>
      <c r="V195" s="617"/>
      <c r="W195" s="647"/>
      <c r="X195" s="617"/>
      <c r="Y195" s="647"/>
      <c r="Z195" s="617"/>
      <c r="AA195" s="647"/>
      <c r="AB195" s="1069"/>
      <c r="AC195" s="891"/>
      <c r="AD195" s="891"/>
      <c r="AE195" s="1070"/>
      <c r="AF195" s="658" t="s">
        <v>957</v>
      </c>
      <c r="AG195" s="659"/>
      <c r="AH195" s="659"/>
      <c r="AI195" s="660"/>
      <c r="AJ195" s="1323">
        <v>1100</v>
      </c>
      <c r="AK195" s="1324"/>
      <c r="AL195" s="1324"/>
      <c r="AM195" s="1325"/>
      <c r="AN195" s="658" t="s">
        <v>959</v>
      </c>
      <c r="AO195" s="659"/>
      <c r="AP195" s="659"/>
      <c r="AQ195" s="660"/>
      <c r="AR195" s="658" t="s">
        <v>960</v>
      </c>
      <c r="AS195" s="659"/>
      <c r="AT195" s="659"/>
      <c r="AU195" s="660"/>
      <c r="AV195" s="658" t="s">
        <v>961</v>
      </c>
      <c r="AW195" s="659"/>
      <c r="AX195" s="659"/>
      <c r="AY195" s="660"/>
      <c r="AZ195" s="661" t="s">
        <v>962</v>
      </c>
      <c r="BA195" s="659"/>
      <c r="BB195" s="659"/>
      <c r="BC195" s="660"/>
      <c r="BD195" s="658"/>
      <c r="BE195" s="659"/>
      <c r="BF195" s="659"/>
      <c r="BG195" s="660"/>
      <c r="BH195" s="972"/>
      <c r="BI195" s="973"/>
      <c r="BJ195" s="973"/>
      <c r="BK195" s="974"/>
      <c r="BL195" s="972"/>
      <c r="BM195" s="973"/>
      <c r="BN195" s="973"/>
      <c r="BO195" s="974"/>
      <c r="BP195" s="623"/>
      <c r="BQ195" s="624"/>
      <c r="BR195" s="624"/>
      <c r="BS195" s="625"/>
      <c r="BT195" s="628"/>
      <c r="BU195" s="629"/>
      <c r="BV195" s="628"/>
      <c r="BW195" s="629"/>
      <c r="BX195" s="614"/>
      <c r="BY195" s="704"/>
      <c r="BZ195" s="595"/>
      <c r="CB195" s="499"/>
    </row>
    <row r="196" spans="3:80" ht="12" customHeight="1">
      <c r="C196" s="497"/>
      <c r="D196" s="1279"/>
      <c r="E196" s="1280"/>
      <c r="F196" s="984"/>
      <c r="G196" s="985"/>
      <c r="H196" s="986"/>
      <c r="I196" s="992"/>
      <c r="J196" s="993"/>
      <c r="K196" s="1066"/>
      <c r="L196" s="1067"/>
      <c r="M196" s="1067"/>
      <c r="N196" s="1067"/>
      <c r="O196" s="1007"/>
      <c r="P196" s="1008"/>
      <c r="Q196" s="1051"/>
      <c r="R196" s="1052"/>
      <c r="S196" s="1052"/>
      <c r="T196" s="1052"/>
      <c r="U196" s="1053"/>
      <c r="V196" s="617"/>
      <c r="W196" s="647"/>
      <c r="X196" s="617"/>
      <c r="Y196" s="647"/>
      <c r="Z196" s="617"/>
      <c r="AA196" s="647"/>
      <c r="AB196" s="1069"/>
      <c r="AC196" s="891"/>
      <c r="AD196" s="891"/>
      <c r="AE196" s="1070"/>
      <c r="AF196" s="1057"/>
      <c r="AG196" s="1057"/>
      <c r="AH196" s="1057"/>
      <c r="AI196" s="1057"/>
      <c r="AJ196" s="1057"/>
      <c r="AK196" s="1057"/>
      <c r="AL196" s="1057"/>
      <c r="AM196" s="1057"/>
      <c r="AN196" s="1057"/>
      <c r="AO196" s="1057"/>
      <c r="AP196" s="1057"/>
      <c r="AQ196" s="1057"/>
      <c r="AR196" s="1057"/>
      <c r="AS196" s="1057"/>
      <c r="AT196" s="1057"/>
      <c r="AU196" s="1057"/>
      <c r="AV196" s="1058"/>
      <c r="AW196" s="1059"/>
      <c r="AX196" s="1059"/>
      <c r="AY196" s="1059"/>
      <c r="AZ196" s="1059"/>
      <c r="BA196" s="1059"/>
      <c r="BB196" s="1059"/>
      <c r="BC196" s="1059"/>
      <c r="BD196" s="1059"/>
      <c r="BE196" s="1059"/>
      <c r="BF196" s="1059"/>
      <c r="BG196" s="1060"/>
      <c r="BH196" s="972"/>
      <c r="BI196" s="973"/>
      <c r="BJ196" s="973"/>
      <c r="BK196" s="974"/>
      <c r="BL196" s="972"/>
      <c r="BM196" s="973"/>
      <c r="BN196" s="973"/>
      <c r="BO196" s="974"/>
      <c r="BP196" s="670"/>
      <c r="BQ196" s="671"/>
      <c r="BR196" s="671"/>
      <c r="BS196" s="672"/>
      <c r="BT196" s="628"/>
      <c r="BU196" s="629"/>
      <c r="BV196" s="628"/>
      <c r="BW196" s="629"/>
      <c r="BX196" s="614"/>
      <c r="BY196" s="704"/>
      <c r="BZ196" s="595"/>
      <c r="CB196" s="499"/>
    </row>
    <row r="197" spans="3:80" ht="12" customHeight="1">
      <c r="C197" s="497"/>
      <c r="D197" s="1279"/>
      <c r="E197" s="1280"/>
      <c r="F197" s="984"/>
      <c r="G197" s="985"/>
      <c r="H197" s="986"/>
      <c r="I197" s="1075" t="s">
        <v>963</v>
      </c>
      <c r="J197" s="1076"/>
      <c r="K197" s="1079" t="s">
        <v>964</v>
      </c>
      <c r="L197" s="1080"/>
      <c r="M197" s="1080"/>
      <c r="N197" s="1080"/>
      <c r="O197" s="1007"/>
      <c r="P197" s="1008"/>
      <c r="Q197" s="1051"/>
      <c r="R197" s="1052"/>
      <c r="S197" s="1052"/>
      <c r="T197" s="1052"/>
      <c r="U197" s="1053"/>
      <c r="V197" s="617"/>
      <c r="W197" s="647"/>
      <c r="X197" s="617"/>
      <c r="Y197" s="647"/>
      <c r="Z197" s="617"/>
      <c r="AA197" s="647"/>
      <c r="AB197" s="1069"/>
      <c r="AC197" s="891"/>
      <c r="AD197" s="891"/>
      <c r="AE197" s="1070"/>
      <c r="AF197" s="673" t="s">
        <v>951</v>
      </c>
      <c r="AG197" s="674"/>
      <c r="AH197" s="674"/>
      <c r="AI197" s="674"/>
      <c r="AJ197" s="673" t="s">
        <v>952</v>
      </c>
      <c r="AK197" s="674"/>
      <c r="AL197" s="674"/>
      <c r="AM197" s="675"/>
      <c r="AN197" s="673"/>
      <c r="AO197" s="674"/>
      <c r="AP197" s="674"/>
      <c r="AQ197" s="675"/>
      <c r="AR197" s="673"/>
      <c r="AS197" s="674"/>
      <c r="AT197" s="674"/>
      <c r="AU197" s="675"/>
      <c r="AV197" s="1081"/>
      <c r="AW197" s="1082"/>
      <c r="AX197" s="1082"/>
      <c r="AY197" s="1083"/>
      <c r="AZ197" s="673"/>
      <c r="BA197" s="674"/>
      <c r="BB197" s="674"/>
      <c r="BC197" s="675"/>
      <c r="BD197" s="1081"/>
      <c r="BE197" s="1082"/>
      <c r="BF197" s="1082"/>
      <c r="BG197" s="1083"/>
      <c r="BH197" s="972"/>
      <c r="BI197" s="973"/>
      <c r="BJ197" s="973"/>
      <c r="BK197" s="974"/>
      <c r="BL197" s="972"/>
      <c r="BM197" s="973"/>
      <c r="BN197" s="973"/>
      <c r="BO197" s="974"/>
      <c r="BP197" s="679"/>
      <c r="BQ197" s="680"/>
      <c r="BR197" s="680"/>
      <c r="BS197" s="681"/>
      <c r="BT197" s="628"/>
      <c r="BU197" s="629"/>
      <c r="BV197" s="628"/>
      <c r="BW197" s="629"/>
      <c r="BX197" s="614"/>
      <c r="BY197" s="704"/>
      <c r="BZ197" s="596"/>
      <c r="CB197" s="499"/>
    </row>
    <row r="198" spans="3:80" ht="12" customHeight="1">
      <c r="C198" s="497"/>
      <c r="D198" s="1279"/>
      <c r="E198" s="1280"/>
      <c r="F198" s="984"/>
      <c r="G198" s="985"/>
      <c r="H198" s="986"/>
      <c r="I198" s="992"/>
      <c r="J198" s="993"/>
      <c r="K198" s="999"/>
      <c r="L198" s="1000"/>
      <c r="M198" s="1000"/>
      <c r="N198" s="1000"/>
      <c r="O198" s="1007"/>
      <c r="P198" s="1008"/>
      <c r="Q198" s="1051"/>
      <c r="R198" s="1052"/>
      <c r="S198" s="1052"/>
      <c r="T198" s="1052"/>
      <c r="U198" s="1053"/>
      <c r="V198" s="617"/>
      <c r="W198" s="647"/>
      <c r="X198" s="617"/>
      <c r="Y198" s="647"/>
      <c r="Z198" s="617"/>
      <c r="AA198" s="647"/>
      <c r="AB198" s="1069"/>
      <c r="AC198" s="891"/>
      <c r="AD198" s="891"/>
      <c r="AE198" s="1070"/>
      <c r="AF198" s="658" t="s">
        <v>957</v>
      </c>
      <c r="AG198" s="659"/>
      <c r="AH198" s="659"/>
      <c r="AI198" s="660"/>
      <c r="AJ198" s="1323">
        <v>1000</v>
      </c>
      <c r="AK198" s="1324"/>
      <c r="AL198" s="1324"/>
      <c r="AM198" s="1325"/>
      <c r="AN198" s="665"/>
      <c r="AO198" s="666"/>
      <c r="AP198" s="666"/>
      <c r="AQ198" s="667"/>
      <c r="AR198" s="665"/>
      <c r="AS198" s="666"/>
      <c r="AT198" s="666"/>
      <c r="AU198" s="667"/>
      <c r="AV198" s="1045"/>
      <c r="AW198" s="1046"/>
      <c r="AX198" s="1046"/>
      <c r="AY198" s="1047"/>
      <c r="AZ198" s="665"/>
      <c r="BA198" s="666"/>
      <c r="BB198" s="666"/>
      <c r="BC198" s="667"/>
      <c r="BD198" s="1045"/>
      <c r="BE198" s="1046"/>
      <c r="BF198" s="1046"/>
      <c r="BG198" s="1047"/>
      <c r="BH198" s="972"/>
      <c r="BI198" s="973"/>
      <c r="BJ198" s="973"/>
      <c r="BK198" s="974"/>
      <c r="BL198" s="972"/>
      <c r="BM198" s="973"/>
      <c r="BN198" s="973"/>
      <c r="BO198" s="974"/>
      <c r="BP198" s="683"/>
      <c r="BQ198" s="684"/>
      <c r="BR198" s="684"/>
      <c r="BS198" s="685"/>
      <c r="BT198" s="628"/>
      <c r="BU198" s="629"/>
      <c r="BV198" s="628"/>
      <c r="BW198" s="629"/>
      <c r="BX198" s="614"/>
      <c r="BY198" s="704"/>
      <c r="BZ198" s="596"/>
      <c r="CB198" s="499"/>
    </row>
    <row r="199" spans="3:80" ht="12" customHeight="1" thickBot="1">
      <c r="C199" s="497"/>
      <c r="D199" s="1283"/>
      <c r="E199" s="1284"/>
      <c r="F199" s="1063"/>
      <c r="G199" s="1064"/>
      <c r="H199" s="1065"/>
      <c r="I199" s="1077"/>
      <c r="J199" s="1078"/>
      <c r="K199" s="1066"/>
      <c r="L199" s="1067"/>
      <c r="M199" s="1067"/>
      <c r="N199" s="1067"/>
      <c r="O199" s="1087"/>
      <c r="P199" s="1088"/>
      <c r="Q199" s="1089"/>
      <c r="R199" s="1090"/>
      <c r="S199" s="1090"/>
      <c r="T199" s="1090"/>
      <c r="U199" s="1091"/>
      <c r="V199" s="686"/>
      <c r="W199" s="687"/>
      <c r="X199" s="686"/>
      <c r="Y199" s="687"/>
      <c r="Z199" s="686"/>
      <c r="AA199" s="687"/>
      <c r="AB199" s="1071"/>
      <c r="AC199" s="1072"/>
      <c r="AD199" s="1072"/>
      <c r="AE199" s="1073"/>
      <c r="AF199" s="1074"/>
      <c r="AG199" s="1074"/>
      <c r="AH199" s="1074"/>
      <c r="AI199" s="1074"/>
      <c r="AJ199" s="1074"/>
      <c r="AK199" s="1074"/>
      <c r="AL199" s="1074"/>
      <c r="AM199" s="1074"/>
      <c r="AN199" s="1074"/>
      <c r="AO199" s="1074"/>
      <c r="AP199" s="1074"/>
      <c r="AQ199" s="1074"/>
      <c r="AR199" s="1074"/>
      <c r="AS199" s="1074"/>
      <c r="AT199" s="1074"/>
      <c r="AU199" s="1074"/>
      <c r="AV199" s="1058"/>
      <c r="AW199" s="1059"/>
      <c r="AX199" s="1059"/>
      <c r="AY199" s="1059"/>
      <c r="AZ199" s="1059"/>
      <c r="BA199" s="1059"/>
      <c r="BB199" s="1059"/>
      <c r="BC199" s="1059"/>
      <c r="BD199" s="1059"/>
      <c r="BE199" s="1059"/>
      <c r="BF199" s="1059"/>
      <c r="BG199" s="1060"/>
      <c r="BH199" s="972"/>
      <c r="BI199" s="973"/>
      <c r="BJ199" s="973"/>
      <c r="BK199" s="974"/>
      <c r="BL199" s="972"/>
      <c r="BM199" s="973"/>
      <c r="BN199" s="973"/>
      <c r="BO199" s="974"/>
      <c r="BP199" s="694"/>
      <c r="BQ199" s="695"/>
      <c r="BR199" s="695"/>
      <c r="BS199" s="696"/>
      <c r="BT199" s="697"/>
      <c r="BU199" s="698"/>
      <c r="BV199" s="697"/>
      <c r="BW199" s="698"/>
      <c r="BX199" s="655"/>
      <c r="BY199" s="705"/>
      <c r="BZ199" s="596"/>
      <c r="CB199" s="499"/>
    </row>
    <row r="200" spans="3:80" ht="12" customHeight="1">
      <c r="C200" s="497"/>
      <c r="D200" s="588"/>
      <c r="CB200" s="499"/>
    </row>
    <row r="201" spans="3:80" ht="12" customHeight="1">
      <c r="C201" s="712"/>
      <c r="D201" s="713"/>
      <c r="E201" s="714"/>
      <c r="F201" s="714"/>
      <c r="G201" s="715"/>
      <c r="H201" s="715"/>
      <c r="I201" s="715"/>
      <c r="J201" s="716"/>
      <c r="K201" s="616"/>
      <c r="L201" s="616"/>
      <c r="M201" s="616"/>
      <c r="N201" s="616"/>
      <c r="O201" s="579"/>
      <c r="P201" s="579"/>
      <c r="Q201" s="616"/>
      <c r="R201" s="616"/>
      <c r="S201" s="616"/>
      <c r="T201" s="616"/>
      <c r="U201" s="616"/>
      <c r="V201" s="579"/>
      <c r="W201" s="579"/>
      <c r="X201" s="579"/>
      <c r="Y201" s="579"/>
      <c r="Z201" s="579"/>
      <c r="AA201" s="579"/>
      <c r="AB201" s="579"/>
      <c r="AC201" s="579"/>
      <c r="AD201" s="717"/>
      <c r="AE201" s="717"/>
      <c r="AF201" s="717"/>
      <c r="AG201" s="579"/>
      <c r="AH201" s="579"/>
      <c r="AI201" s="579"/>
      <c r="AJ201" s="579"/>
      <c r="AK201" s="579"/>
      <c r="AL201" s="579"/>
      <c r="AM201" s="579"/>
      <c r="AN201" s="579"/>
      <c r="AO201" s="579"/>
      <c r="AP201" s="579"/>
      <c r="AQ201" s="579"/>
      <c r="AR201" s="579"/>
      <c r="AS201" s="579"/>
      <c r="AT201" s="579"/>
      <c r="AU201" s="579"/>
      <c r="AV201" s="579"/>
      <c r="AW201" s="579"/>
      <c r="AX201" s="718"/>
      <c r="AY201" s="718"/>
      <c r="AZ201" s="718"/>
      <c r="BA201" s="718"/>
      <c r="BB201" s="718"/>
      <c r="BC201" s="718"/>
      <c r="BD201" s="718"/>
      <c r="BE201" s="718"/>
      <c r="BF201" s="718"/>
      <c r="BG201" s="718"/>
      <c r="BH201" s="718"/>
      <c r="BI201" s="718"/>
      <c r="BJ201" s="579"/>
      <c r="BK201" s="579"/>
      <c r="BL201" s="579"/>
      <c r="BM201" s="579"/>
      <c r="BN201" s="579"/>
      <c r="BO201" s="719"/>
      <c r="BP201" s="719"/>
      <c r="BQ201" s="719"/>
      <c r="BR201" s="719"/>
      <c r="BS201" s="719"/>
      <c r="BT201" s="719"/>
      <c r="BU201" s="719"/>
      <c r="BV201" s="719"/>
      <c r="BW201" s="719"/>
      <c r="BX201" s="719"/>
      <c r="BY201" s="719"/>
      <c r="BZ201" s="719"/>
      <c r="CA201" s="719"/>
      <c r="CB201" s="499"/>
    </row>
    <row r="202" spans="3:80" ht="12" customHeight="1">
      <c r="C202" s="50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7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09"/>
    </row>
    <row r="203" spans="3:80" ht="12" customHeight="1" thickBot="1">
      <c r="C203" s="531"/>
      <c r="D203" s="532"/>
      <c r="E203" s="532"/>
      <c r="F203" s="532"/>
      <c r="G203" s="532"/>
      <c r="H203" s="532"/>
      <c r="I203" s="532"/>
      <c r="J203" s="532"/>
      <c r="K203" s="532"/>
      <c r="L203" s="532"/>
      <c r="M203" s="532"/>
      <c r="N203" s="532"/>
      <c r="O203" s="532"/>
      <c r="P203" s="532"/>
      <c r="Q203" s="532"/>
      <c r="R203" s="532"/>
      <c r="S203" s="532"/>
      <c r="T203" s="532"/>
      <c r="U203" s="532"/>
      <c r="V203" s="532"/>
      <c r="W203" s="532"/>
      <c r="X203" s="532"/>
      <c r="Y203" s="532"/>
      <c r="Z203" s="532"/>
      <c r="AA203" s="532"/>
      <c r="AB203" s="532"/>
      <c r="AC203" s="532"/>
      <c r="AD203" s="532"/>
      <c r="AE203" s="532"/>
      <c r="AF203" s="532"/>
      <c r="AG203" s="532"/>
      <c r="AH203" s="532"/>
      <c r="AI203" s="532"/>
      <c r="AJ203" s="532"/>
      <c r="AK203" s="532"/>
      <c r="AL203" s="532"/>
      <c r="AM203" s="532"/>
      <c r="AN203" s="532"/>
      <c r="AO203" s="532"/>
      <c r="AP203" s="532"/>
      <c r="AQ203" s="532"/>
      <c r="AR203" s="532"/>
      <c r="AS203" s="532"/>
      <c r="AT203" s="532"/>
      <c r="AU203" s="532"/>
      <c r="AV203" s="532"/>
      <c r="AW203" s="532"/>
      <c r="AX203" s="532"/>
      <c r="AY203" s="532"/>
      <c r="AZ203" s="532"/>
      <c r="BA203" s="532"/>
      <c r="BB203" s="532"/>
      <c r="BC203" s="532"/>
      <c r="BD203" s="532"/>
      <c r="BE203" s="532"/>
      <c r="BF203" s="532"/>
      <c r="BG203" s="532"/>
      <c r="BH203" s="532"/>
      <c r="BI203" s="532"/>
      <c r="BJ203" s="532"/>
      <c r="BK203" s="532"/>
      <c r="BL203" s="532"/>
      <c r="BM203" s="532"/>
      <c r="BN203" s="532"/>
      <c r="BO203" s="532"/>
      <c r="BP203" s="532"/>
      <c r="BQ203" s="532"/>
      <c r="BR203" s="532"/>
      <c r="BS203" s="532"/>
      <c r="BT203" s="532"/>
      <c r="BU203" s="532"/>
      <c r="BV203" s="532"/>
      <c r="BW203" s="532"/>
      <c r="BX203" s="532"/>
      <c r="BY203" s="532"/>
      <c r="BZ203" s="532"/>
      <c r="CA203" s="532"/>
      <c r="CB203" s="534"/>
    </row>
    <row r="209" spans="2:65" ht="28.5">
      <c r="B209" s="488" t="s">
        <v>1093</v>
      </c>
    </row>
    <row r="212" spans="2:65" ht="12" customHeight="1">
      <c r="C212" s="489" t="s">
        <v>1094</v>
      </c>
      <c r="D212" s="588"/>
    </row>
    <row r="215" spans="2:65" ht="12" customHeight="1" thickBot="1"/>
    <row r="216" spans="2:65" ht="12" customHeight="1">
      <c r="C216" s="753"/>
      <c r="D216" s="589" t="s">
        <v>735</v>
      </c>
      <c r="E216" s="589"/>
      <c r="F216" s="589"/>
      <c r="G216" s="754" t="s">
        <v>795</v>
      </c>
      <c r="H216" s="590"/>
      <c r="I216" s="590"/>
      <c r="J216" s="590"/>
      <c r="K216" s="590"/>
      <c r="L216" s="591"/>
      <c r="M216" s="491"/>
      <c r="N216" s="589" t="s">
        <v>697</v>
      </c>
      <c r="O216" s="589"/>
      <c r="P216" s="589"/>
      <c r="Q216" s="592" t="s">
        <v>794</v>
      </c>
      <c r="R216" s="590"/>
      <c r="S216" s="590"/>
      <c r="T216" s="590"/>
      <c r="U216" s="594" t="s">
        <v>1155</v>
      </c>
      <c r="V216" s="590"/>
      <c r="W216" s="590"/>
      <c r="X216" s="590"/>
      <c r="Y216" s="591"/>
      <c r="Z216" s="491"/>
      <c r="AA216" s="589" t="s">
        <v>874</v>
      </c>
      <c r="AB216" s="589"/>
      <c r="AC216" s="589"/>
      <c r="AD216" s="589"/>
      <c r="AE216" s="589"/>
      <c r="AF216" s="589"/>
      <c r="AG216" s="593" t="s">
        <v>326</v>
      </c>
      <c r="AH216" s="590"/>
      <c r="AI216" s="590"/>
      <c r="AJ216" s="590"/>
      <c r="AK216" s="590"/>
      <c r="AL216" s="590"/>
      <c r="AM216" s="590"/>
      <c r="AN216" s="590"/>
      <c r="AO216" s="590"/>
      <c r="AP216" s="590"/>
      <c r="AQ216" s="590"/>
      <c r="AR216" s="590"/>
      <c r="AS216" s="590"/>
      <c r="AT216" s="590"/>
      <c r="AU216" s="590"/>
      <c r="AV216" s="590"/>
      <c r="AW216" s="590"/>
      <c r="AX216" s="590"/>
      <c r="AY216" s="590"/>
      <c r="AZ216" s="590"/>
      <c r="BA216" s="590"/>
      <c r="BB216" s="590"/>
      <c r="BC216" s="590"/>
      <c r="BD216" s="590"/>
      <c r="BE216" s="590"/>
      <c r="BF216" s="590"/>
      <c r="BG216" s="590"/>
      <c r="BH216" s="590"/>
      <c r="BI216" s="755"/>
      <c r="BJ216" s="755"/>
      <c r="BK216" s="756"/>
      <c r="BL216" s="757"/>
      <c r="BM216" s="758"/>
    </row>
    <row r="217" spans="2:65" ht="12" customHeight="1">
      <c r="C217" s="539"/>
      <c r="D217" s="540" t="s">
        <v>878</v>
      </c>
      <c r="E217" s="540"/>
      <c r="F217" s="540"/>
      <c r="G217" s="759" t="s">
        <v>1216</v>
      </c>
      <c r="H217" s="482"/>
      <c r="I217" s="482"/>
      <c r="J217" s="482"/>
      <c r="K217" s="483"/>
      <c r="L217" s="543"/>
      <c r="M217" s="543"/>
      <c r="N217" s="543"/>
      <c r="O217" s="543"/>
      <c r="P217" s="543"/>
      <c r="Q217" s="543"/>
      <c r="R217" s="543"/>
      <c r="S217" s="543"/>
      <c r="T217" s="543"/>
      <c r="U217" s="543"/>
      <c r="V217" s="543"/>
      <c r="W217" s="543"/>
      <c r="X217" s="543"/>
      <c r="Y217" s="544"/>
      <c r="Z217" s="647"/>
      <c r="AA217" s="498"/>
      <c r="AB217" s="498"/>
      <c r="AC217" s="498"/>
      <c r="AD217" s="498"/>
      <c r="AE217" s="498"/>
      <c r="AF217" s="498"/>
      <c r="AG217" s="498"/>
      <c r="AH217" s="498"/>
      <c r="AI217" s="498"/>
      <c r="AJ217" s="498"/>
      <c r="AK217" s="498"/>
      <c r="AL217" s="498"/>
      <c r="AM217" s="498"/>
      <c r="AN217" s="498"/>
      <c r="AO217" s="498"/>
      <c r="AP217" s="498"/>
      <c r="AQ217" s="498"/>
      <c r="AR217" s="498"/>
      <c r="AS217" s="498"/>
      <c r="AT217" s="498"/>
      <c r="AU217" s="498"/>
      <c r="AV217" s="498"/>
      <c r="AW217" s="498"/>
      <c r="AX217" s="498"/>
      <c r="AY217" s="498"/>
      <c r="AZ217" s="498"/>
      <c r="BA217" s="498"/>
      <c r="BB217" s="498"/>
      <c r="BC217" s="498"/>
      <c r="BD217" s="498"/>
      <c r="BE217" s="498"/>
      <c r="BF217" s="498"/>
      <c r="BG217" s="498"/>
      <c r="BH217" s="498"/>
      <c r="BI217" s="498"/>
      <c r="BJ217" s="498"/>
      <c r="BK217" s="498"/>
      <c r="BL217" s="498"/>
      <c r="BM217" s="760"/>
    </row>
    <row r="218" spans="2:65" ht="12" customHeight="1">
      <c r="C218" s="539"/>
      <c r="D218" s="498"/>
      <c r="E218" s="498"/>
      <c r="F218" s="498"/>
      <c r="G218" s="498"/>
      <c r="H218" s="498"/>
      <c r="I218" s="498"/>
      <c r="J218" s="498"/>
      <c r="K218" s="498"/>
      <c r="L218" s="498"/>
      <c r="M218" s="498"/>
      <c r="N218" s="498"/>
      <c r="O218" s="498"/>
      <c r="P218" s="498"/>
      <c r="Q218" s="498"/>
      <c r="R218" s="498"/>
      <c r="S218" s="498"/>
      <c r="T218" s="498"/>
      <c r="U218" s="498"/>
      <c r="V218" s="498"/>
      <c r="W218" s="498"/>
      <c r="X218" s="498"/>
      <c r="Y218" s="498"/>
      <c r="Z218" s="498"/>
      <c r="AA218" s="498"/>
      <c r="AB218" s="498"/>
      <c r="AC218" s="498"/>
      <c r="AD218" s="498"/>
      <c r="AE218" s="498"/>
      <c r="AF218" s="498"/>
      <c r="AG218" s="498"/>
      <c r="AH218" s="498"/>
      <c r="AI218" s="498"/>
      <c r="AJ218" s="498"/>
      <c r="AK218" s="498"/>
      <c r="AL218" s="498"/>
      <c r="AM218" s="498"/>
      <c r="AN218" s="498"/>
      <c r="AO218" s="498"/>
      <c r="AP218" s="498"/>
      <c r="AQ218" s="498"/>
      <c r="AR218" s="498"/>
      <c r="AS218" s="498"/>
      <c r="AT218" s="498"/>
      <c r="AU218" s="498"/>
      <c r="AV218" s="498"/>
      <c r="AW218" s="498"/>
      <c r="AX218" s="498"/>
      <c r="AY218" s="498"/>
      <c r="AZ218" s="498"/>
      <c r="BA218" s="498"/>
      <c r="BB218" s="498"/>
      <c r="BC218" s="498"/>
      <c r="BD218" s="498"/>
      <c r="BE218" s="498"/>
      <c r="BF218" s="498"/>
      <c r="BG218" s="498"/>
      <c r="BH218" s="498"/>
      <c r="BI218" s="498"/>
      <c r="BJ218" s="498"/>
      <c r="BK218" s="498"/>
      <c r="BL218" s="498"/>
      <c r="BM218" s="760"/>
    </row>
    <row r="219" spans="2:65" ht="12" customHeight="1">
      <c r="C219" s="539"/>
      <c r="D219" s="1268" t="s">
        <v>1158</v>
      </c>
      <c r="E219" s="1268"/>
      <c r="F219" s="1268"/>
      <c r="G219" s="1268"/>
      <c r="H219" s="1268"/>
      <c r="I219" s="1268"/>
      <c r="J219" s="1268"/>
      <c r="K219" s="1268"/>
      <c r="L219" s="1269" t="s">
        <v>1159</v>
      </c>
      <c r="M219" s="1269"/>
      <c r="N219" s="1269"/>
      <c r="O219" s="1269"/>
      <c r="P219" s="761" t="s">
        <v>1160</v>
      </c>
      <c r="Q219" s="762"/>
      <c r="R219" s="762"/>
      <c r="S219" s="762"/>
      <c r="T219" s="762"/>
      <c r="U219" s="762"/>
      <c r="V219" s="762"/>
      <c r="W219" s="762"/>
      <c r="X219" s="762"/>
      <c r="Y219" s="763"/>
      <c r="Z219" s="1268" t="s">
        <v>1161</v>
      </c>
      <c r="AA219" s="1268"/>
      <c r="AB219" s="1268"/>
      <c r="AC219" s="1268"/>
      <c r="AD219" s="1268"/>
      <c r="AE219" s="1268"/>
      <c r="AF219" s="1268"/>
      <c r="AG219" s="1270"/>
      <c r="AH219" s="764"/>
      <c r="AI219" s="765" t="s">
        <v>755</v>
      </c>
      <c r="AJ219" s="766"/>
      <c r="AK219" s="1268" t="s">
        <v>1162</v>
      </c>
      <c r="AL219" s="1268"/>
      <c r="AM219" s="1268"/>
      <c r="AN219" s="1268"/>
      <c r="AO219" s="1268"/>
      <c r="AP219" s="1268"/>
      <c r="AQ219" s="1268"/>
      <c r="AR219" s="1270"/>
      <c r="AS219" s="767"/>
      <c r="AT219" s="768"/>
      <c r="AU219" s="768"/>
      <c r="AV219" s="768"/>
      <c r="AW219" s="768"/>
      <c r="AX219" s="768"/>
      <c r="AY219" s="769"/>
      <c r="AZ219" s="498"/>
      <c r="BA219" s="498"/>
      <c r="BB219" s="498"/>
      <c r="BC219" s="498"/>
      <c r="BD219" s="498"/>
      <c r="BE219" s="498"/>
      <c r="BF219" s="498"/>
      <c r="BG219" s="498"/>
      <c r="BH219" s="498"/>
      <c r="BI219" s="498"/>
      <c r="BJ219" s="498"/>
      <c r="BK219" s="498"/>
      <c r="BL219" s="498"/>
      <c r="BM219" s="760"/>
    </row>
    <row r="220" spans="2:65" ht="12" customHeight="1" thickBot="1">
      <c r="C220" s="539"/>
      <c r="D220" s="498"/>
      <c r="E220" s="498"/>
      <c r="F220" s="498"/>
      <c r="G220" s="498"/>
      <c r="H220" s="498"/>
      <c r="I220" s="498"/>
      <c r="J220" s="498"/>
      <c r="K220" s="498"/>
      <c r="L220" s="498"/>
      <c r="M220" s="498"/>
      <c r="N220" s="498"/>
      <c r="O220" s="498"/>
      <c r="P220" s="498"/>
      <c r="Q220" s="498"/>
      <c r="R220" s="498"/>
      <c r="S220" s="498"/>
      <c r="T220" s="498"/>
      <c r="U220" s="498"/>
      <c r="V220" s="498"/>
      <c r="W220" s="498"/>
      <c r="X220" s="498"/>
      <c r="Y220" s="498"/>
      <c r="Z220" s="498"/>
      <c r="AA220" s="498"/>
      <c r="AB220" s="498"/>
      <c r="AC220" s="498"/>
      <c r="AD220" s="498"/>
      <c r="AE220" s="498"/>
      <c r="AF220" s="498"/>
      <c r="AG220" s="498"/>
      <c r="AH220" s="498"/>
      <c r="AI220" s="498"/>
      <c r="AJ220" s="498"/>
      <c r="AK220" s="498"/>
      <c r="AL220" s="498"/>
      <c r="AM220" s="498"/>
      <c r="AN220" s="498"/>
      <c r="AO220" s="498"/>
      <c r="AP220" s="498"/>
      <c r="AQ220" s="498"/>
      <c r="AR220" s="498"/>
      <c r="AS220" s="498"/>
      <c r="AT220" s="498"/>
      <c r="AU220" s="498"/>
      <c r="AV220" s="498"/>
      <c r="AW220" s="498"/>
      <c r="AX220" s="498"/>
      <c r="AY220" s="498"/>
      <c r="AZ220" s="498"/>
      <c r="BA220" s="498"/>
      <c r="BB220" s="498"/>
      <c r="BC220" s="498"/>
      <c r="BD220" s="498"/>
      <c r="BE220" s="498"/>
      <c r="BF220" s="498"/>
      <c r="BG220" s="498"/>
      <c r="BH220" s="498"/>
      <c r="BI220" s="498"/>
      <c r="BJ220" s="498"/>
      <c r="BK220" s="498"/>
      <c r="BL220" s="498"/>
      <c r="BM220" s="760"/>
    </row>
    <row r="221" spans="2:65" ht="12" customHeight="1" thickBot="1">
      <c r="C221" s="539"/>
      <c r="D221" s="1246" t="s">
        <v>1163</v>
      </c>
      <c r="E221" s="1247"/>
      <c r="F221" s="1246" t="s">
        <v>880</v>
      </c>
      <c r="G221" s="1252"/>
      <c r="H221" s="1252"/>
      <c r="I221" s="1252"/>
      <c r="J221" s="1252"/>
      <c r="K221" s="1252"/>
      <c r="L221" s="1252"/>
      <c r="M221" s="1247"/>
      <c r="N221" s="1252" t="s">
        <v>1164</v>
      </c>
      <c r="O221" s="1252"/>
      <c r="P221" s="1252"/>
      <c r="Q221" s="1252"/>
      <c r="R221" s="1252"/>
      <c r="S221" s="1252"/>
      <c r="T221" s="1252"/>
      <c r="U221" s="1252"/>
      <c r="V221" s="1252"/>
      <c r="W221" s="1252"/>
      <c r="X221" s="1252"/>
      <c r="Y221" s="1252"/>
      <c r="Z221" s="1252"/>
      <c r="AA221" s="1252"/>
      <c r="AB221" s="1252"/>
      <c r="AC221" s="1252"/>
      <c r="AD221" s="1252"/>
      <c r="AE221" s="1252"/>
      <c r="AF221" s="1252"/>
      <c r="AG221" s="1252"/>
      <c r="AH221" s="1252"/>
      <c r="AI221" s="1252"/>
      <c r="AJ221" s="1252"/>
      <c r="AK221" s="1252"/>
      <c r="AL221" s="1252"/>
      <c r="AM221" s="1252"/>
      <c r="AN221" s="1252"/>
      <c r="AO221" s="1247"/>
      <c r="AP221" s="1254" t="s">
        <v>887</v>
      </c>
      <c r="AQ221" s="1255"/>
      <c r="AR221" s="1255"/>
      <c r="AS221" s="1255"/>
      <c r="AT221" s="1255"/>
      <c r="AU221" s="1256"/>
      <c r="AV221" s="1254" t="s">
        <v>888</v>
      </c>
      <c r="AW221" s="1255"/>
      <c r="AX221" s="1255"/>
      <c r="AY221" s="1255"/>
      <c r="AZ221" s="1255"/>
      <c r="BA221" s="1256"/>
      <c r="BB221" s="498"/>
      <c r="BC221" s="498"/>
      <c r="BD221" s="498"/>
      <c r="BE221" s="498"/>
      <c r="BF221" s="498"/>
      <c r="BG221" s="498"/>
      <c r="BH221" s="498"/>
      <c r="BI221" s="498"/>
      <c r="BJ221" s="498"/>
      <c r="BK221" s="498"/>
      <c r="BL221" s="498"/>
      <c r="BM221" s="760"/>
    </row>
    <row r="222" spans="2:65" ht="12" customHeight="1" thickBot="1">
      <c r="C222" s="539"/>
      <c r="D222" s="1248"/>
      <c r="E222" s="1249"/>
      <c r="F222" s="1248"/>
      <c r="G222" s="1132"/>
      <c r="H222" s="1132"/>
      <c r="I222" s="1132"/>
      <c r="J222" s="1132"/>
      <c r="K222" s="1132"/>
      <c r="L222" s="1132"/>
      <c r="M222" s="1249"/>
      <c r="N222" s="1263" t="s">
        <v>892</v>
      </c>
      <c r="O222" s="1264"/>
      <c r="P222" s="1264"/>
      <c r="Q222" s="1265"/>
      <c r="R222" s="1266" t="s">
        <v>893</v>
      </c>
      <c r="S222" s="1264"/>
      <c r="T222" s="1264"/>
      <c r="U222" s="1265"/>
      <c r="V222" s="1266" t="s">
        <v>894</v>
      </c>
      <c r="W222" s="1264"/>
      <c r="X222" s="1264"/>
      <c r="Y222" s="1265"/>
      <c r="Z222" s="1266" t="s">
        <v>895</v>
      </c>
      <c r="AA222" s="1264"/>
      <c r="AB222" s="1264"/>
      <c r="AC222" s="1265"/>
      <c r="AD222" s="1266" t="s">
        <v>896</v>
      </c>
      <c r="AE222" s="1264"/>
      <c r="AF222" s="1264"/>
      <c r="AG222" s="1265"/>
      <c r="AH222" s="1266" t="s">
        <v>897</v>
      </c>
      <c r="AI222" s="1264"/>
      <c r="AJ222" s="1264"/>
      <c r="AK222" s="1265"/>
      <c r="AL222" s="1266" t="s">
        <v>898</v>
      </c>
      <c r="AM222" s="1264"/>
      <c r="AN222" s="1264"/>
      <c r="AO222" s="1267"/>
      <c r="AP222" s="1257"/>
      <c r="AQ222" s="1258"/>
      <c r="AR222" s="1258"/>
      <c r="AS222" s="1258"/>
      <c r="AT222" s="1258"/>
      <c r="AU222" s="1259"/>
      <c r="AV222" s="1257"/>
      <c r="AW222" s="1258"/>
      <c r="AX222" s="1258"/>
      <c r="AY222" s="1258"/>
      <c r="AZ222" s="1258"/>
      <c r="BA222" s="1259"/>
      <c r="BB222" s="498"/>
      <c r="BC222" s="498"/>
      <c r="BD222" s="498"/>
      <c r="BE222" s="498"/>
      <c r="BF222" s="498"/>
      <c r="BG222" s="498"/>
      <c r="BH222" s="498"/>
      <c r="BI222" s="498"/>
      <c r="BJ222" s="498"/>
      <c r="BK222" s="498"/>
      <c r="BL222" s="498"/>
      <c r="BM222" s="760"/>
    </row>
    <row r="223" spans="2:65" ht="12" customHeight="1" thickBot="1">
      <c r="C223" s="539"/>
      <c r="D223" s="1250"/>
      <c r="E223" s="1251"/>
      <c r="F223" s="770"/>
      <c r="G223" s="772"/>
      <c r="H223" s="772"/>
      <c r="I223" s="772"/>
      <c r="J223" s="772"/>
      <c r="K223" s="772"/>
      <c r="L223" s="772"/>
      <c r="M223" s="771"/>
      <c r="N223" s="773" t="s">
        <v>905</v>
      </c>
      <c r="O223" s="774"/>
      <c r="P223" s="774"/>
      <c r="Q223" s="774"/>
      <c r="R223" s="774"/>
      <c r="S223" s="774"/>
      <c r="T223" s="774"/>
      <c r="U223" s="774"/>
      <c r="V223" s="774"/>
      <c r="W223" s="774"/>
      <c r="X223" s="774"/>
      <c r="Y223" s="774"/>
      <c r="Z223" s="774"/>
      <c r="AA223" s="774"/>
      <c r="AB223" s="774"/>
      <c r="AC223" s="774"/>
      <c r="AD223" s="773" t="s">
        <v>906</v>
      </c>
      <c r="AE223" s="774"/>
      <c r="AF223" s="774"/>
      <c r="AG223" s="774"/>
      <c r="AH223" s="774"/>
      <c r="AI223" s="774"/>
      <c r="AJ223" s="774"/>
      <c r="AK223" s="774"/>
      <c r="AL223" s="774"/>
      <c r="AM223" s="774"/>
      <c r="AN223" s="774"/>
      <c r="AO223" s="775"/>
      <c r="AP223" s="1260"/>
      <c r="AQ223" s="1261"/>
      <c r="AR223" s="1261"/>
      <c r="AS223" s="1261"/>
      <c r="AT223" s="1261"/>
      <c r="AU223" s="1262"/>
      <c r="AV223" s="1260"/>
      <c r="AW223" s="1261"/>
      <c r="AX223" s="1261"/>
      <c r="AY223" s="1261"/>
      <c r="AZ223" s="1261"/>
      <c r="BA223" s="1262"/>
      <c r="BB223" s="498"/>
      <c r="BC223" s="498"/>
      <c r="BD223" s="498"/>
      <c r="BE223" s="498"/>
      <c r="BF223" s="498"/>
      <c r="BG223" s="498"/>
      <c r="BH223" s="498"/>
      <c r="BI223" s="498"/>
      <c r="BJ223" s="498"/>
      <c r="BK223" s="498"/>
      <c r="BL223" s="498"/>
      <c r="BM223" s="760"/>
    </row>
    <row r="224" spans="2:65" ht="12" customHeight="1">
      <c r="C224" s="539"/>
      <c r="D224" s="1212" t="s">
        <v>1165</v>
      </c>
      <c r="E224" s="1213"/>
      <c r="F224" s="1212">
        <v>1</v>
      </c>
      <c r="G224" s="1218"/>
      <c r="H224" s="1221" t="s">
        <v>1217</v>
      </c>
      <c r="I224" s="1222"/>
      <c r="J224" s="1222"/>
      <c r="K224" s="1222"/>
      <c r="L224" s="1222"/>
      <c r="M224" s="1223"/>
      <c r="N224" s="604" t="s">
        <v>951</v>
      </c>
      <c r="O224" s="605"/>
      <c r="P224" s="605"/>
      <c r="Q224" s="605"/>
      <c r="R224" s="604" t="s">
        <v>952</v>
      </c>
      <c r="S224" s="605"/>
      <c r="T224" s="605"/>
      <c r="U224" s="606"/>
      <c r="V224" s="700" t="s">
        <v>953</v>
      </c>
      <c r="W224" s="701"/>
      <c r="X224" s="701"/>
      <c r="Y224" s="702"/>
      <c r="Z224" s="700" t="s">
        <v>954</v>
      </c>
      <c r="AA224" s="701"/>
      <c r="AB224" s="701"/>
      <c r="AC224" s="702"/>
      <c r="AD224" s="700" t="s">
        <v>955</v>
      </c>
      <c r="AE224" s="701"/>
      <c r="AF224" s="701"/>
      <c r="AG224" s="702"/>
      <c r="AH224" s="700" t="s">
        <v>238</v>
      </c>
      <c r="AI224" s="701"/>
      <c r="AJ224" s="701"/>
      <c r="AK224" s="702"/>
      <c r="AL224" s="605" t="s">
        <v>956</v>
      </c>
      <c r="AM224" s="605"/>
      <c r="AN224" s="605"/>
      <c r="AO224" s="605"/>
      <c r="AP224" s="1230"/>
      <c r="AQ224" s="1231"/>
      <c r="AR224" s="1231"/>
      <c r="AS224" s="1231"/>
      <c r="AT224" s="1231"/>
      <c r="AU224" s="1232"/>
      <c r="AV224" s="1230"/>
      <c r="AW224" s="1231"/>
      <c r="AX224" s="1231"/>
      <c r="AY224" s="1231"/>
      <c r="AZ224" s="1231"/>
      <c r="BA224" s="1232"/>
      <c r="BB224" s="498"/>
      <c r="BC224" s="498"/>
      <c r="BD224" s="498"/>
      <c r="BE224" s="498"/>
      <c r="BF224" s="498"/>
      <c r="BG224" s="498"/>
      <c r="BH224" s="498"/>
      <c r="BI224" s="498"/>
      <c r="BJ224" s="498"/>
      <c r="BK224" s="498"/>
      <c r="BL224" s="498"/>
      <c r="BM224" s="760"/>
    </row>
    <row r="225" spans="3:65" ht="12" customHeight="1">
      <c r="C225" s="539"/>
      <c r="D225" s="1214"/>
      <c r="E225" s="1215"/>
      <c r="F225" s="1214"/>
      <c r="G225" s="1219"/>
      <c r="H225" s="1014"/>
      <c r="I225" s="1015"/>
      <c r="J225" s="1015"/>
      <c r="K225" s="1015"/>
      <c r="L225" s="1015"/>
      <c r="M225" s="1224"/>
      <c r="N225" s="811" t="s">
        <v>957</v>
      </c>
      <c r="O225" s="812"/>
      <c r="P225" s="812"/>
      <c r="Q225" s="813"/>
      <c r="R225" s="1317">
        <v>1100</v>
      </c>
      <c r="S225" s="1318"/>
      <c r="T225" s="1318"/>
      <c r="U225" s="1319"/>
      <c r="V225" s="811" t="s">
        <v>959</v>
      </c>
      <c r="W225" s="812"/>
      <c r="X225" s="812"/>
      <c r="Y225" s="813"/>
      <c r="Z225" s="811" t="s">
        <v>960</v>
      </c>
      <c r="AA225" s="812"/>
      <c r="AB225" s="812"/>
      <c r="AC225" s="813"/>
      <c r="AD225" s="811" t="s">
        <v>961</v>
      </c>
      <c r="AE225" s="812"/>
      <c r="AF225" s="812"/>
      <c r="AG225" s="813"/>
      <c r="AH225" s="814" t="s">
        <v>962</v>
      </c>
      <c r="AI225" s="812"/>
      <c r="AJ225" s="812"/>
      <c r="AK225" s="813"/>
      <c r="AL225" s="811"/>
      <c r="AM225" s="812"/>
      <c r="AN225" s="812"/>
      <c r="AO225" s="813"/>
      <c r="AP225" s="1236"/>
      <c r="AQ225" s="1237"/>
      <c r="AR225" s="1237"/>
      <c r="AS225" s="1237"/>
      <c r="AT225" s="1237"/>
      <c r="AU225" s="1238"/>
      <c r="AV225" s="1236"/>
      <c r="AW225" s="1237"/>
      <c r="AX225" s="1237"/>
      <c r="AY225" s="1237"/>
      <c r="AZ225" s="1237"/>
      <c r="BA225" s="1238"/>
      <c r="BB225" s="498"/>
      <c r="BC225" s="498"/>
      <c r="BD225" s="498"/>
      <c r="BE225" s="498"/>
      <c r="BF225" s="498"/>
      <c r="BG225" s="498"/>
      <c r="BH225" s="498"/>
      <c r="BI225" s="498"/>
      <c r="BJ225" s="498"/>
      <c r="BK225" s="498"/>
      <c r="BL225" s="498"/>
      <c r="BM225" s="760"/>
    </row>
    <row r="226" spans="3:65" ht="12" customHeight="1" thickBot="1">
      <c r="C226" s="539"/>
      <c r="D226" s="1216"/>
      <c r="E226" s="1217"/>
      <c r="F226" s="1216"/>
      <c r="G226" s="1220"/>
      <c r="H226" s="1225"/>
      <c r="I226" s="1226"/>
      <c r="J226" s="1226"/>
      <c r="K226" s="1226"/>
      <c r="L226" s="1226"/>
      <c r="M226" s="1227"/>
      <c r="N226" s="1057"/>
      <c r="O226" s="1057"/>
      <c r="P226" s="1057"/>
      <c r="Q226" s="1057"/>
      <c r="R226" s="1057"/>
      <c r="S226" s="1057"/>
      <c r="T226" s="1057"/>
      <c r="U226" s="1057"/>
      <c r="V226" s="1057"/>
      <c r="W226" s="1057"/>
      <c r="X226" s="1057"/>
      <c r="Y226" s="1057"/>
      <c r="Z226" s="1057"/>
      <c r="AA226" s="1057"/>
      <c r="AB226" s="1057"/>
      <c r="AC226" s="1057"/>
      <c r="AD226" s="1058"/>
      <c r="AE226" s="1059"/>
      <c r="AF226" s="1059"/>
      <c r="AG226" s="1059"/>
      <c r="AH226" s="1059"/>
      <c r="AI226" s="1059"/>
      <c r="AJ226" s="1059"/>
      <c r="AK226" s="1059"/>
      <c r="AL226" s="1059"/>
      <c r="AM226" s="1059"/>
      <c r="AN226" s="1059"/>
      <c r="AO226" s="1060"/>
      <c r="AP226" s="1203"/>
      <c r="AQ226" s="1204"/>
      <c r="AR226" s="1204"/>
      <c r="AS226" s="1204"/>
      <c r="AT226" s="1204"/>
      <c r="AU226" s="1205"/>
      <c r="AV226" s="1203"/>
      <c r="AW226" s="1204"/>
      <c r="AX226" s="1204"/>
      <c r="AY226" s="1204"/>
      <c r="AZ226" s="1204"/>
      <c r="BA226" s="1205"/>
      <c r="BB226" s="498"/>
      <c r="BC226" s="498"/>
      <c r="BD226" s="498"/>
      <c r="BE226" s="498"/>
      <c r="BF226" s="498"/>
      <c r="BG226" s="498"/>
      <c r="BH226" s="498"/>
      <c r="BI226" s="498"/>
      <c r="BJ226" s="498"/>
      <c r="BK226" s="498"/>
      <c r="BL226" s="498"/>
      <c r="BM226" s="760"/>
    </row>
    <row r="227" spans="3:65" ht="12" customHeight="1">
      <c r="C227" s="539"/>
      <c r="D227" s="1212" t="s">
        <v>1165</v>
      </c>
      <c r="E227" s="1213"/>
      <c r="F227" s="1212">
        <v>2</v>
      </c>
      <c r="G227" s="1218"/>
      <c r="H227" s="1221" t="s">
        <v>1218</v>
      </c>
      <c r="I227" s="1222"/>
      <c r="J227" s="1222"/>
      <c r="K227" s="1222"/>
      <c r="L227" s="1222"/>
      <c r="M227" s="1223"/>
      <c r="N227" s="673" t="s">
        <v>951</v>
      </c>
      <c r="O227" s="674"/>
      <c r="P227" s="674"/>
      <c r="Q227" s="674"/>
      <c r="R227" s="673" t="s">
        <v>952</v>
      </c>
      <c r="S227" s="674"/>
      <c r="T227" s="674"/>
      <c r="U227" s="675"/>
      <c r="V227" s="673"/>
      <c r="W227" s="674"/>
      <c r="X227" s="674"/>
      <c r="Y227" s="675"/>
      <c r="Z227" s="673"/>
      <c r="AA227" s="674"/>
      <c r="AB227" s="674"/>
      <c r="AC227" s="675"/>
      <c r="AD227" s="1081"/>
      <c r="AE227" s="1082"/>
      <c r="AF227" s="1082"/>
      <c r="AG227" s="1083"/>
      <c r="AH227" s="673"/>
      <c r="AI227" s="674"/>
      <c r="AJ227" s="674"/>
      <c r="AK227" s="675"/>
      <c r="AL227" s="1081"/>
      <c r="AM227" s="1082"/>
      <c r="AN227" s="1082"/>
      <c r="AO227" s="1083"/>
      <c r="AP227" s="1230"/>
      <c r="AQ227" s="1231"/>
      <c r="AR227" s="1231"/>
      <c r="AS227" s="1231"/>
      <c r="AT227" s="1231"/>
      <c r="AU227" s="1232"/>
      <c r="AV227" s="1230"/>
      <c r="AW227" s="1231"/>
      <c r="AX227" s="1231"/>
      <c r="AY227" s="1231"/>
      <c r="AZ227" s="1231"/>
      <c r="BA227" s="1232"/>
      <c r="BB227" s="498"/>
      <c r="BC227" s="498"/>
      <c r="BD227" s="498"/>
      <c r="BE227" s="498"/>
      <c r="BF227" s="498"/>
      <c r="BG227" s="498"/>
      <c r="BH227" s="498"/>
      <c r="BI227" s="498"/>
      <c r="BJ227" s="498"/>
      <c r="BK227" s="498"/>
      <c r="BL227" s="498"/>
      <c r="BM227" s="760"/>
    </row>
    <row r="228" spans="3:65" ht="12" customHeight="1">
      <c r="C228" s="539"/>
      <c r="D228" s="1214"/>
      <c r="E228" s="1215"/>
      <c r="F228" s="1214"/>
      <c r="G228" s="1219"/>
      <c r="H228" s="1014"/>
      <c r="I228" s="1015"/>
      <c r="J228" s="1015"/>
      <c r="K228" s="1015"/>
      <c r="L228" s="1015"/>
      <c r="M228" s="1224"/>
      <c r="N228" s="811" t="s">
        <v>957</v>
      </c>
      <c r="O228" s="812"/>
      <c r="P228" s="812"/>
      <c r="Q228" s="813"/>
      <c r="R228" s="811" t="s">
        <v>965</v>
      </c>
      <c r="S228" s="812"/>
      <c r="T228" s="812"/>
      <c r="U228" s="813"/>
      <c r="V228" s="815"/>
      <c r="W228" s="816"/>
      <c r="X228" s="816"/>
      <c r="Y228" s="817"/>
      <c r="Z228" s="815"/>
      <c r="AA228" s="816"/>
      <c r="AB228" s="816"/>
      <c r="AC228" s="817"/>
      <c r="AD228" s="1320"/>
      <c r="AE228" s="1321"/>
      <c r="AF228" s="1321"/>
      <c r="AG228" s="1322"/>
      <c r="AH228" s="815"/>
      <c r="AI228" s="816"/>
      <c r="AJ228" s="816"/>
      <c r="AK228" s="817"/>
      <c r="AL228" s="1320"/>
      <c r="AM228" s="1321"/>
      <c r="AN228" s="1321"/>
      <c r="AO228" s="1322"/>
      <c r="AP228" s="1236"/>
      <c r="AQ228" s="1237"/>
      <c r="AR228" s="1237"/>
      <c r="AS228" s="1237"/>
      <c r="AT228" s="1237"/>
      <c r="AU228" s="1238"/>
      <c r="AV228" s="1236"/>
      <c r="AW228" s="1237"/>
      <c r="AX228" s="1237"/>
      <c r="AY228" s="1237"/>
      <c r="AZ228" s="1237"/>
      <c r="BA228" s="1238"/>
      <c r="BB228" s="498"/>
      <c r="BC228" s="498"/>
      <c r="BD228" s="498"/>
      <c r="BE228" s="498"/>
      <c r="BF228" s="498"/>
      <c r="BG228" s="498"/>
      <c r="BH228" s="498"/>
      <c r="BI228" s="498"/>
      <c r="BJ228" s="498"/>
      <c r="BK228" s="498"/>
      <c r="BL228" s="498"/>
      <c r="BM228" s="760"/>
    </row>
    <row r="229" spans="3:65" ht="12" customHeight="1" thickBot="1">
      <c r="C229" s="539"/>
      <c r="D229" s="1216"/>
      <c r="E229" s="1217"/>
      <c r="F229" s="1216"/>
      <c r="G229" s="1220"/>
      <c r="H229" s="1225"/>
      <c r="I229" s="1226"/>
      <c r="J229" s="1226"/>
      <c r="K229" s="1226"/>
      <c r="L229" s="1226"/>
      <c r="M229" s="1227"/>
      <c r="N229" s="1074"/>
      <c r="O229" s="1074"/>
      <c r="P229" s="1074"/>
      <c r="Q229" s="1074"/>
      <c r="R229" s="1074"/>
      <c r="S229" s="1074"/>
      <c r="T229" s="1074"/>
      <c r="U229" s="1074"/>
      <c r="V229" s="1074"/>
      <c r="W229" s="1074"/>
      <c r="X229" s="1074"/>
      <c r="Y229" s="1074"/>
      <c r="Z229" s="1074"/>
      <c r="AA229" s="1074"/>
      <c r="AB229" s="1074"/>
      <c r="AC229" s="1074"/>
      <c r="AD229" s="1058"/>
      <c r="AE229" s="1059"/>
      <c r="AF229" s="1059"/>
      <c r="AG229" s="1059"/>
      <c r="AH229" s="1059"/>
      <c r="AI229" s="1059"/>
      <c r="AJ229" s="1059"/>
      <c r="AK229" s="1059"/>
      <c r="AL229" s="1059"/>
      <c r="AM229" s="1059"/>
      <c r="AN229" s="1059"/>
      <c r="AO229" s="1060"/>
      <c r="AP229" s="1203"/>
      <c r="AQ229" s="1204"/>
      <c r="AR229" s="1204"/>
      <c r="AS229" s="1204"/>
      <c r="AT229" s="1204"/>
      <c r="AU229" s="1205"/>
      <c r="AV229" s="1203"/>
      <c r="AW229" s="1204"/>
      <c r="AX229" s="1204"/>
      <c r="AY229" s="1204"/>
      <c r="AZ229" s="1204"/>
      <c r="BA229" s="1205"/>
      <c r="BB229" s="498"/>
      <c r="BC229" s="498"/>
      <c r="BD229" s="498"/>
      <c r="BE229" s="498"/>
      <c r="BF229" s="498"/>
      <c r="BG229" s="498"/>
      <c r="BH229" s="498"/>
      <c r="BI229" s="498"/>
      <c r="BJ229" s="498"/>
      <c r="BK229" s="498"/>
      <c r="BL229" s="498"/>
      <c r="BM229" s="760"/>
    </row>
    <row r="230" spans="3:65" ht="12" customHeight="1" thickBot="1">
      <c r="C230" s="539"/>
      <c r="D230" s="498"/>
      <c r="E230" s="498"/>
      <c r="F230" s="498"/>
      <c r="G230" s="498"/>
      <c r="H230" s="498"/>
      <c r="I230" s="498"/>
      <c r="J230" s="498"/>
      <c r="K230" s="498"/>
      <c r="L230" s="498"/>
      <c r="M230" s="498"/>
      <c r="N230" s="498"/>
      <c r="O230" s="647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8"/>
      <c r="AA230" s="498"/>
      <c r="AB230" s="498"/>
      <c r="AC230" s="498"/>
      <c r="AD230" s="498"/>
      <c r="AE230" s="498"/>
      <c r="AF230" s="498"/>
      <c r="AG230" s="498"/>
      <c r="AH230" s="498"/>
      <c r="AI230" s="498"/>
      <c r="AJ230" s="498"/>
      <c r="AK230" s="498"/>
      <c r="AL230" s="498"/>
      <c r="AM230" s="498"/>
      <c r="AN230" s="498"/>
      <c r="AO230" s="498"/>
      <c r="AP230" s="498"/>
      <c r="AQ230" s="498"/>
      <c r="AR230" s="498"/>
      <c r="AS230" s="498"/>
      <c r="AT230" s="498"/>
      <c r="AU230" s="498"/>
      <c r="AV230" s="498"/>
      <c r="AW230" s="498"/>
      <c r="AX230" s="498"/>
      <c r="AY230" s="498"/>
      <c r="AZ230" s="498"/>
      <c r="BA230" s="498"/>
      <c r="BB230" s="498"/>
      <c r="BC230" s="498"/>
      <c r="BD230" s="498"/>
      <c r="BE230" s="498"/>
      <c r="BF230" s="498"/>
      <c r="BG230" s="498"/>
      <c r="BH230" s="498"/>
      <c r="BI230" s="498"/>
      <c r="BJ230" s="498"/>
      <c r="BK230" s="498"/>
      <c r="BL230" s="498"/>
      <c r="BM230" s="760"/>
    </row>
    <row r="231" spans="3:65" ht="12" customHeight="1">
      <c r="C231" s="539"/>
      <c r="D231" s="1206" t="s">
        <v>1178</v>
      </c>
      <c r="E231" s="1207"/>
      <c r="F231" s="1207"/>
      <c r="G231" s="1207"/>
      <c r="H231" s="1207"/>
      <c r="I231" s="1207"/>
      <c r="J231" s="1207"/>
      <c r="K231" s="1207"/>
      <c r="L231" s="1207"/>
      <c r="M231" s="1207"/>
      <c r="N231" s="1207"/>
      <c r="O231" s="1207"/>
      <c r="P231" s="1207"/>
      <c r="Q231" s="1207"/>
      <c r="R231" s="1207"/>
      <c r="S231" s="1207"/>
      <c r="T231" s="1207"/>
      <c r="U231" s="1207"/>
      <c r="V231" s="1207"/>
      <c r="W231" s="1207"/>
      <c r="X231" s="1207"/>
      <c r="Y231" s="1207"/>
      <c r="Z231" s="1207"/>
      <c r="AA231" s="1207"/>
      <c r="AB231" s="1208"/>
      <c r="AC231" s="498"/>
      <c r="AD231" s="1209" t="s">
        <v>1179</v>
      </c>
      <c r="AE231" s="1207"/>
      <c r="AF231" s="1207"/>
      <c r="AG231" s="1207"/>
      <c r="AH231" s="1207"/>
      <c r="AI231" s="1207"/>
      <c r="AJ231" s="1207"/>
      <c r="AK231" s="1208"/>
      <c r="AL231" s="1209" t="s">
        <v>1180</v>
      </c>
      <c r="AM231" s="1207"/>
      <c r="AN231" s="1207"/>
      <c r="AO231" s="1207"/>
      <c r="AP231" s="1207"/>
      <c r="AQ231" s="1207"/>
      <c r="AR231" s="1207"/>
      <c r="AS231" s="1208"/>
      <c r="AT231" s="498"/>
      <c r="AU231" s="498"/>
      <c r="AV231" s="498"/>
      <c r="AW231" s="498"/>
      <c r="AX231" s="498"/>
      <c r="AY231" s="498"/>
      <c r="AZ231" s="498"/>
      <c r="BA231" s="498"/>
      <c r="BB231" s="498"/>
      <c r="BC231" s="498"/>
      <c r="BD231" s="498"/>
      <c r="BE231" s="498"/>
      <c r="BF231" s="498"/>
      <c r="BG231" s="498"/>
      <c r="BH231" s="498"/>
      <c r="BI231" s="498"/>
      <c r="BJ231" s="498"/>
      <c r="BK231" s="498"/>
      <c r="BL231" s="498"/>
      <c r="BM231" s="760"/>
    </row>
    <row r="232" spans="3:65" ht="12" customHeight="1" thickBot="1">
      <c r="C232" s="539"/>
      <c r="D232" s="1210" t="s">
        <v>1181</v>
      </c>
      <c r="E232" s="1211"/>
      <c r="F232" s="1211"/>
      <c r="G232" s="1211"/>
      <c r="H232" s="1211"/>
      <c r="I232" s="1196" t="s">
        <v>1159</v>
      </c>
      <c r="J232" s="1196"/>
      <c r="K232" s="1196"/>
      <c r="L232" s="1196"/>
      <c r="M232" s="1211" t="s">
        <v>1182</v>
      </c>
      <c r="N232" s="1211"/>
      <c r="O232" s="1211"/>
      <c r="P232" s="1211"/>
      <c r="Q232" s="1196" t="s">
        <v>1159</v>
      </c>
      <c r="R232" s="1196"/>
      <c r="S232" s="1196"/>
      <c r="T232" s="1196"/>
      <c r="U232" s="1211" t="s">
        <v>1183</v>
      </c>
      <c r="V232" s="1211"/>
      <c r="W232" s="1211"/>
      <c r="X232" s="1211"/>
      <c r="Y232" s="1196" t="s">
        <v>1159</v>
      </c>
      <c r="Z232" s="1196"/>
      <c r="AA232" s="1196"/>
      <c r="AB232" s="1197"/>
      <c r="AC232" s="498"/>
      <c r="AD232" s="1198" t="s">
        <v>901</v>
      </c>
      <c r="AE232" s="1199"/>
      <c r="AF232" s="1199"/>
      <c r="AG232" s="1199"/>
      <c r="AH232" s="1200">
        <v>2000</v>
      </c>
      <c r="AI232" s="1200"/>
      <c r="AJ232" s="1200"/>
      <c r="AK232" s="1201"/>
      <c r="AL232" s="1198" t="s">
        <v>1184</v>
      </c>
      <c r="AM232" s="1199"/>
      <c r="AN232" s="1199"/>
      <c r="AO232" s="1199"/>
      <c r="AP232" s="1200">
        <v>1000</v>
      </c>
      <c r="AQ232" s="1200"/>
      <c r="AR232" s="1200"/>
      <c r="AS232" s="1201"/>
      <c r="AT232" s="498"/>
      <c r="AU232" s="498"/>
      <c r="AV232" s="498"/>
      <c r="AW232" s="498"/>
      <c r="AX232" s="498"/>
      <c r="AY232" s="498"/>
      <c r="AZ232" s="498"/>
      <c r="BA232" s="498"/>
      <c r="BB232" s="498"/>
      <c r="BC232" s="498"/>
      <c r="BD232" s="498"/>
      <c r="BE232" s="498"/>
      <c r="BF232" s="498"/>
      <c r="BG232" s="498"/>
      <c r="BH232" s="498"/>
      <c r="BI232" s="498"/>
      <c r="BJ232" s="498"/>
      <c r="BK232" s="498"/>
      <c r="BL232" s="498"/>
      <c r="BM232" s="760"/>
    </row>
    <row r="233" spans="3:65" ht="12" customHeight="1">
      <c r="C233" s="539"/>
      <c r="D233" s="498"/>
      <c r="E233" s="498"/>
      <c r="F233" s="498"/>
      <c r="G233" s="498"/>
      <c r="H233" s="498"/>
      <c r="I233" s="498"/>
      <c r="J233" s="498"/>
      <c r="K233" s="498"/>
      <c r="L233" s="498"/>
      <c r="M233" s="498"/>
      <c r="N233" s="498"/>
      <c r="O233" s="647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8"/>
      <c r="AA233" s="498"/>
      <c r="AB233" s="498"/>
      <c r="AC233" s="498"/>
      <c r="AD233" s="498"/>
      <c r="AE233" s="498"/>
      <c r="AF233" s="498"/>
      <c r="AG233" s="498"/>
      <c r="AH233" s="498"/>
      <c r="AI233" s="498"/>
      <c r="AJ233" s="498"/>
      <c r="AK233" s="498"/>
      <c r="AL233" s="498"/>
      <c r="AM233" s="498"/>
      <c r="AN233" s="498"/>
      <c r="AO233" s="498"/>
      <c r="AP233" s="498"/>
      <c r="AQ233" s="498"/>
      <c r="AR233" s="498"/>
      <c r="AS233" s="498"/>
      <c r="AT233" s="498"/>
      <c r="AU233" s="498"/>
      <c r="AV233" s="498"/>
      <c r="AW233" s="498"/>
      <c r="AX233" s="498"/>
      <c r="AY233" s="498"/>
      <c r="AZ233" s="498"/>
      <c r="BA233" s="498"/>
      <c r="BB233" s="498"/>
      <c r="BC233" s="498"/>
      <c r="BD233" s="498"/>
      <c r="BE233" s="498"/>
      <c r="BF233" s="498"/>
      <c r="BG233" s="498"/>
      <c r="BH233" s="498"/>
      <c r="BI233" s="498"/>
      <c r="BJ233" s="498"/>
      <c r="BK233" s="498"/>
      <c r="BL233" s="498"/>
      <c r="BM233" s="760"/>
    </row>
    <row r="234" spans="3:65" ht="12" customHeight="1">
      <c r="C234" s="539"/>
      <c r="D234" s="498"/>
      <c r="E234" s="498"/>
      <c r="F234" s="498"/>
      <c r="G234" s="498"/>
      <c r="H234" s="498"/>
      <c r="I234" s="498"/>
      <c r="J234" s="498"/>
      <c r="K234" s="498"/>
      <c r="L234" s="498"/>
      <c r="M234" s="498"/>
      <c r="N234" s="498"/>
      <c r="O234" s="647"/>
      <c r="P234" s="498"/>
      <c r="Q234" s="498"/>
      <c r="R234" s="498"/>
      <c r="S234" s="498"/>
      <c r="T234" s="498"/>
      <c r="U234" s="498"/>
      <c r="V234" s="498"/>
      <c r="W234" s="498"/>
      <c r="X234" s="498"/>
      <c r="Y234" s="498"/>
      <c r="Z234" s="498"/>
      <c r="AA234" s="498"/>
      <c r="AB234" s="498"/>
      <c r="AC234" s="498"/>
      <c r="AD234" s="498"/>
      <c r="AE234" s="498"/>
      <c r="AF234" s="498"/>
      <c r="AG234" s="498"/>
      <c r="AH234" s="498"/>
      <c r="AI234" s="498"/>
      <c r="AJ234" s="498"/>
      <c r="AK234" s="498"/>
      <c r="AL234" s="498"/>
      <c r="AM234" s="498"/>
      <c r="AN234" s="498"/>
      <c r="AO234" s="498"/>
      <c r="AP234" s="498"/>
      <c r="AQ234" s="498"/>
      <c r="AR234" s="498"/>
      <c r="AS234" s="498"/>
      <c r="AT234" s="498"/>
      <c r="AU234" s="498"/>
      <c r="AV234" s="498"/>
      <c r="AW234" s="498"/>
      <c r="AX234" s="498"/>
      <c r="AY234" s="498"/>
      <c r="AZ234" s="498"/>
      <c r="BA234" s="498"/>
      <c r="BB234" s="498"/>
      <c r="BC234" s="498"/>
      <c r="BD234" s="498"/>
      <c r="BE234" s="498"/>
      <c r="BF234" s="498"/>
      <c r="BG234" s="498"/>
      <c r="BH234" s="498"/>
      <c r="BI234" s="498"/>
      <c r="BJ234" s="498"/>
      <c r="BK234" s="498"/>
      <c r="BL234" s="498"/>
      <c r="BM234" s="760"/>
    </row>
    <row r="235" spans="3:65" ht="12" customHeight="1">
      <c r="C235" s="539"/>
      <c r="D235" s="1202" t="s">
        <v>1185</v>
      </c>
      <c r="E235" s="1202"/>
      <c r="F235" s="1202"/>
      <c r="G235" s="1202"/>
      <c r="H235" s="782" t="s">
        <v>1186</v>
      </c>
      <c r="I235" s="783"/>
      <c r="J235" s="783"/>
      <c r="K235" s="783"/>
      <c r="L235" s="783"/>
      <c r="M235" s="783"/>
      <c r="N235" s="783"/>
      <c r="O235" s="783"/>
      <c r="P235" s="783"/>
      <c r="Q235" s="783"/>
      <c r="R235" s="783"/>
      <c r="S235" s="783"/>
      <c r="T235" s="762"/>
      <c r="U235" s="762"/>
      <c r="V235" s="762"/>
      <c r="W235" s="762"/>
      <c r="X235" s="762"/>
      <c r="Y235" s="763"/>
      <c r="Z235" s="498"/>
      <c r="AA235" s="498"/>
      <c r="AB235" s="498"/>
      <c r="AC235" s="498"/>
      <c r="AD235" s="498"/>
      <c r="AE235" s="498"/>
      <c r="AF235" s="498"/>
      <c r="AG235" s="498"/>
      <c r="AH235" s="498"/>
      <c r="AI235" s="498"/>
      <c r="AJ235" s="498"/>
      <c r="AK235" s="498"/>
      <c r="AL235" s="498"/>
      <c r="AM235" s="498"/>
      <c r="AN235" s="498"/>
      <c r="AO235" s="498"/>
      <c r="AP235" s="498"/>
      <c r="AQ235" s="498"/>
      <c r="AR235" s="498"/>
      <c r="AS235" s="498"/>
      <c r="AT235" s="498"/>
      <c r="AU235" s="498"/>
      <c r="AV235" s="498"/>
      <c r="AW235" s="498"/>
      <c r="AX235" s="498"/>
      <c r="AY235" s="498"/>
      <c r="AZ235" s="498"/>
      <c r="BA235" s="498"/>
      <c r="BB235" s="498"/>
      <c r="BC235" s="498"/>
      <c r="BD235" s="498"/>
      <c r="BE235" s="498"/>
      <c r="BF235" s="498"/>
      <c r="BG235" s="498"/>
      <c r="BH235" s="498"/>
      <c r="BI235" s="498"/>
      <c r="BJ235" s="498"/>
      <c r="BK235" s="498"/>
      <c r="BL235" s="498"/>
      <c r="BM235" s="760"/>
    </row>
    <row r="236" spans="3:65" ht="12" customHeight="1">
      <c r="C236" s="539"/>
      <c r="D236" s="498"/>
      <c r="E236" s="498"/>
      <c r="F236" s="498"/>
      <c r="G236" s="498"/>
      <c r="H236" s="498"/>
      <c r="I236" s="498"/>
      <c r="J236" s="498"/>
      <c r="K236" s="498"/>
      <c r="L236" s="498"/>
      <c r="M236" s="498"/>
      <c r="N236" s="498"/>
      <c r="O236" s="647"/>
      <c r="P236" s="498"/>
      <c r="Q236" s="498"/>
      <c r="R236" s="498"/>
      <c r="S236" s="498"/>
      <c r="T236" s="498"/>
      <c r="U236" s="498"/>
      <c r="V236" s="498"/>
      <c r="W236" s="498"/>
      <c r="X236" s="498"/>
      <c r="Y236" s="498"/>
      <c r="Z236" s="498"/>
      <c r="AA236" s="498"/>
      <c r="AB236" s="498"/>
      <c r="AC236" s="498"/>
      <c r="AD236" s="498"/>
      <c r="AE236" s="498"/>
      <c r="AF236" s="498"/>
      <c r="AG236" s="498"/>
      <c r="AH236" s="498"/>
      <c r="AI236" s="498"/>
      <c r="AJ236" s="498"/>
      <c r="AK236" s="498"/>
      <c r="AL236" s="498"/>
      <c r="AM236" s="498"/>
      <c r="AN236" s="498"/>
      <c r="AO236" s="498"/>
      <c r="AP236" s="498"/>
      <c r="AQ236" s="498"/>
      <c r="AR236" s="498"/>
      <c r="AS236" s="498"/>
      <c r="AT236" s="498"/>
      <c r="AU236" s="498"/>
      <c r="AV236" s="498"/>
      <c r="AW236" s="498"/>
      <c r="AX236" s="498"/>
      <c r="AY236" s="498"/>
      <c r="AZ236" s="498"/>
      <c r="BA236" s="498"/>
      <c r="BB236" s="498"/>
      <c r="BC236" s="498"/>
      <c r="BD236" s="498"/>
      <c r="BE236" s="498"/>
      <c r="BF236" s="498"/>
      <c r="BG236" s="498"/>
      <c r="BH236" s="498"/>
      <c r="BI236" s="498"/>
      <c r="BJ236" s="498"/>
      <c r="BK236" s="498"/>
      <c r="BL236" s="498"/>
      <c r="BM236" s="760"/>
    </row>
    <row r="237" spans="3:65" ht="12" customHeight="1">
      <c r="C237" s="539"/>
      <c r="D237" s="498"/>
      <c r="E237" s="498"/>
      <c r="F237" s="498"/>
      <c r="G237" s="498"/>
      <c r="H237" s="498"/>
      <c r="I237" s="498"/>
      <c r="J237" s="498"/>
      <c r="K237" s="498"/>
      <c r="L237" s="498"/>
      <c r="M237" s="498"/>
      <c r="N237" s="498"/>
      <c r="O237" s="647"/>
      <c r="P237" s="498"/>
      <c r="Q237" s="498"/>
      <c r="R237" s="498"/>
      <c r="S237" s="498"/>
      <c r="T237" s="498"/>
      <c r="U237" s="498"/>
      <c r="V237" s="498"/>
      <c r="W237" s="498"/>
      <c r="X237" s="498"/>
      <c r="Y237" s="498"/>
      <c r="Z237" s="498"/>
      <c r="AA237" s="498"/>
      <c r="AB237" s="498"/>
      <c r="AC237" s="498"/>
      <c r="AD237" s="498"/>
      <c r="AE237" s="498"/>
      <c r="AF237" s="498"/>
      <c r="AG237" s="498"/>
      <c r="AH237" s="498"/>
      <c r="AI237" s="498"/>
      <c r="AJ237" s="498"/>
      <c r="AK237" s="498"/>
      <c r="AL237" s="498"/>
      <c r="AM237" s="498"/>
      <c r="AN237" s="498"/>
      <c r="AO237" s="498"/>
      <c r="AP237" s="498"/>
      <c r="AQ237" s="498"/>
      <c r="AR237" s="498"/>
      <c r="AS237" s="498"/>
      <c r="AT237" s="498"/>
      <c r="AU237" s="498"/>
      <c r="AV237" s="498"/>
      <c r="AW237" s="498"/>
      <c r="AX237" s="498"/>
      <c r="AY237" s="498"/>
      <c r="AZ237" s="498"/>
      <c r="BA237" s="498"/>
      <c r="BB237" s="498"/>
      <c r="BC237" s="498"/>
      <c r="BD237" s="498"/>
      <c r="BE237" s="498"/>
      <c r="BF237" s="498"/>
      <c r="BG237" s="498"/>
      <c r="BH237" s="498"/>
      <c r="BI237" s="498"/>
      <c r="BJ237" s="498"/>
      <c r="BK237" s="498"/>
      <c r="BL237" s="498"/>
      <c r="BM237" s="760"/>
    </row>
    <row r="238" spans="3:65" ht="12" customHeight="1">
      <c r="C238" s="539"/>
      <c r="D238" s="498"/>
      <c r="E238" s="498"/>
      <c r="F238" s="498"/>
      <c r="G238" s="498"/>
      <c r="H238" s="498"/>
      <c r="I238" s="498"/>
      <c r="J238" s="498"/>
      <c r="K238" s="498"/>
      <c r="L238" s="498"/>
      <c r="M238" s="498"/>
      <c r="N238" s="498"/>
      <c r="O238" s="647"/>
      <c r="P238" s="498"/>
      <c r="Q238" s="498"/>
      <c r="R238" s="498"/>
      <c r="S238" s="498"/>
      <c r="T238" s="498"/>
      <c r="U238" s="498"/>
      <c r="V238" s="498"/>
      <c r="W238" s="498"/>
      <c r="X238" s="498"/>
      <c r="Y238" s="498"/>
      <c r="Z238" s="498"/>
      <c r="AA238" s="498"/>
      <c r="AB238" s="498"/>
      <c r="AC238" s="498"/>
      <c r="AD238" s="498"/>
      <c r="AE238" s="498"/>
      <c r="AF238" s="498"/>
      <c r="AG238" s="498"/>
      <c r="AH238" s="498"/>
      <c r="AI238" s="498"/>
      <c r="AJ238" s="498"/>
      <c r="AK238" s="498"/>
      <c r="AL238" s="498"/>
      <c r="AM238" s="498"/>
      <c r="AN238" s="498"/>
      <c r="AO238" s="498"/>
      <c r="AP238" s="498"/>
      <c r="AQ238" s="498"/>
      <c r="AR238" s="498"/>
      <c r="AS238" s="498"/>
      <c r="AT238" s="498"/>
      <c r="AU238" s="498"/>
      <c r="AV238" s="498"/>
      <c r="AW238" s="498"/>
      <c r="AX238" s="498"/>
      <c r="AY238" s="498"/>
      <c r="AZ238" s="498"/>
      <c r="BA238" s="498"/>
      <c r="BB238" s="498"/>
      <c r="BC238" s="498"/>
      <c r="BD238" s="498"/>
      <c r="BE238" s="498"/>
      <c r="BF238" s="498"/>
      <c r="BG238" s="498"/>
      <c r="BH238" s="498"/>
      <c r="BI238" s="498"/>
      <c r="BJ238" s="498"/>
      <c r="BK238" s="498"/>
      <c r="BL238" s="498"/>
      <c r="BM238" s="760"/>
    </row>
    <row r="239" spans="3:65" ht="12" customHeight="1">
      <c r="C239" s="539"/>
      <c r="D239" s="498"/>
      <c r="E239" s="498"/>
      <c r="F239" s="498"/>
      <c r="G239" s="498"/>
      <c r="H239" s="498"/>
      <c r="I239" s="498"/>
      <c r="J239" s="498"/>
      <c r="K239" s="498"/>
      <c r="L239" s="498"/>
      <c r="M239" s="498"/>
      <c r="N239" s="498"/>
      <c r="O239" s="647"/>
      <c r="P239" s="498"/>
      <c r="Q239" s="498"/>
      <c r="R239" s="498"/>
      <c r="S239" s="498"/>
      <c r="T239" s="498"/>
      <c r="U239" s="498"/>
      <c r="V239" s="498"/>
      <c r="W239" s="498"/>
      <c r="X239" s="498"/>
      <c r="Y239" s="498"/>
      <c r="Z239" s="498"/>
      <c r="AA239" s="498"/>
      <c r="AB239" s="498"/>
      <c r="AC239" s="498"/>
      <c r="AD239" s="498"/>
      <c r="AE239" s="498"/>
      <c r="AF239" s="498"/>
      <c r="AG239" s="498"/>
      <c r="AH239" s="498"/>
      <c r="AI239" s="498"/>
      <c r="AJ239" s="498"/>
      <c r="AK239" s="498"/>
      <c r="AL239" s="498"/>
      <c r="AM239" s="498"/>
      <c r="AN239" s="498"/>
      <c r="AO239" s="498"/>
      <c r="AP239" s="498"/>
      <c r="AQ239" s="498"/>
      <c r="AR239" s="498"/>
      <c r="AS239" s="498"/>
      <c r="AT239" s="498"/>
      <c r="AU239" s="498"/>
      <c r="AV239" s="498"/>
      <c r="AW239" s="498"/>
      <c r="AX239" s="498"/>
      <c r="AY239" s="498"/>
      <c r="AZ239" s="498"/>
      <c r="BA239" s="498"/>
      <c r="BB239" s="498"/>
      <c r="BC239" s="498"/>
      <c r="BD239" s="498"/>
      <c r="BE239" s="498"/>
      <c r="BF239" s="498"/>
      <c r="BG239" s="498"/>
      <c r="BH239" s="498"/>
      <c r="BI239" s="498"/>
      <c r="BJ239" s="498"/>
      <c r="BK239" s="498"/>
      <c r="BL239" s="498"/>
      <c r="BM239" s="760"/>
    </row>
    <row r="240" spans="3:65" ht="12" customHeight="1" thickBot="1">
      <c r="C240" s="784"/>
      <c r="D240" s="785"/>
      <c r="E240" s="785"/>
      <c r="F240" s="785"/>
      <c r="G240" s="785"/>
      <c r="H240" s="785"/>
      <c r="I240" s="785"/>
      <c r="J240" s="785"/>
      <c r="K240" s="785"/>
      <c r="L240" s="785"/>
      <c r="M240" s="785"/>
      <c r="N240" s="785"/>
      <c r="O240" s="786"/>
      <c r="P240" s="785"/>
      <c r="Q240" s="785"/>
      <c r="R240" s="785"/>
      <c r="S240" s="785"/>
      <c r="T240" s="785"/>
      <c r="U240" s="785"/>
      <c r="V240" s="785"/>
      <c r="W240" s="785"/>
      <c r="X240" s="785"/>
      <c r="Y240" s="785"/>
      <c r="Z240" s="785"/>
      <c r="AA240" s="785"/>
      <c r="AB240" s="785"/>
      <c r="AC240" s="785"/>
      <c r="AD240" s="785"/>
      <c r="AE240" s="785"/>
      <c r="AF240" s="785"/>
      <c r="AG240" s="785"/>
      <c r="AH240" s="785"/>
      <c r="AI240" s="785"/>
      <c r="AJ240" s="785"/>
      <c r="AK240" s="785"/>
      <c r="AL240" s="785"/>
      <c r="AM240" s="785"/>
      <c r="AN240" s="785"/>
      <c r="AO240" s="785"/>
      <c r="AP240" s="785"/>
      <c r="AQ240" s="785"/>
      <c r="AR240" s="785"/>
      <c r="AS240" s="785"/>
      <c r="AT240" s="785"/>
      <c r="AU240" s="785"/>
      <c r="AV240" s="785"/>
      <c r="AW240" s="785"/>
      <c r="AX240" s="785"/>
      <c r="AY240" s="785"/>
      <c r="AZ240" s="785"/>
      <c r="BA240" s="785"/>
      <c r="BB240" s="785"/>
      <c r="BC240" s="785"/>
      <c r="BD240" s="785"/>
      <c r="BE240" s="785"/>
      <c r="BF240" s="785"/>
      <c r="BG240" s="785"/>
      <c r="BH240" s="785"/>
      <c r="BI240" s="785"/>
      <c r="BJ240" s="785"/>
      <c r="BK240" s="785"/>
      <c r="BL240" s="785"/>
      <c r="BM240" s="787"/>
    </row>
    <row r="251" spans="2:53" ht="28.5">
      <c r="B251" s="488" t="s">
        <v>1096</v>
      </c>
    </row>
    <row r="252" spans="2:53" ht="28.5">
      <c r="B252" s="488"/>
      <c r="D252" s="8" t="s">
        <v>1187</v>
      </c>
    </row>
    <row r="253" spans="2:53" ht="12" customHeight="1" thickBot="1">
      <c r="C253" s="489" t="s">
        <v>1098</v>
      </c>
      <c r="D253" s="588"/>
      <c r="Q253" s="8"/>
      <c r="S253" s="10"/>
      <c r="X253" s="10"/>
    </row>
    <row r="254" spans="2:53" ht="12" customHeight="1">
      <c r="C254" s="490"/>
      <c r="D254" s="589" t="s">
        <v>735</v>
      </c>
      <c r="E254" s="589"/>
      <c r="F254" s="589"/>
      <c r="G254" s="589"/>
      <c r="H254" s="589"/>
      <c r="I254" s="589"/>
      <c r="J254" s="548" t="s">
        <v>795</v>
      </c>
      <c r="K254" s="720"/>
      <c r="L254" s="590"/>
      <c r="M254" s="590"/>
      <c r="N254" s="591"/>
      <c r="O254" s="491"/>
      <c r="P254" s="589" t="s">
        <v>697</v>
      </c>
      <c r="Q254" s="589"/>
      <c r="R254" s="589"/>
      <c r="S254" s="592" t="s">
        <v>794</v>
      </c>
      <c r="T254" s="590"/>
      <c r="U254" s="590"/>
      <c r="V254" s="590"/>
      <c r="W254" s="590"/>
      <c r="X254" s="594" t="s">
        <v>1155</v>
      </c>
      <c r="Y254" s="590"/>
      <c r="Z254" s="590"/>
      <c r="AA254" s="590"/>
      <c r="AB254" s="590"/>
      <c r="AC254" s="591"/>
      <c r="AD254" s="491"/>
      <c r="AE254" s="589" t="s">
        <v>874</v>
      </c>
      <c r="AF254" s="589"/>
      <c r="AG254" s="589"/>
      <c r="AH254" s="589"/>
      <c r="AI254" s="589"/>
      <c r="AJ254" s="589"/>
      <c r="AK254" s="593" t="s">
        <v>326</v>
      </c>
      <c r="AL254" s="590"/>
      <c r="AM254" s="590"/>
      <c r="AN254" s="590"/>
      <c r="AO254" s="590"/>
      <c r="AP254" s="590"/>
      <c r="AQ254" s="590"/>
      <c r="AR254" s="590"/>
      <c r="AS254" s="590"/>
      <c r="AT254" s="590"/>
      <c r="AU254" s="590"/>
      <c r="AV254" s="590"/>
      <c r="AW254" s="721"/>
      <c r="AX254" s="491"/>
      <c r="AY254" s="491"/>
      <c r="AZ254" s="491"/>
      <c r="BA254" s="493"/>
    </row>
    <row r="255" spans="2:53" ht="12" customHeight="1" thickBot="1">
      <c r="C255" s="497"/>
      <c r="D255" s="588"/>
      <c r="Q255" s="8"/>
      <c r="S255" s="10"/>
      <c r="X255" s="10"/>
      <c r="BA255" s="499"/>
    </row>
    <row r="256" spans="2:53" ht="12" customHeight="1">
      <c r="C256" s="712"/>
      <c r="D256" s="955" t="s">
        <v>878</v>
      </c>
      <c r="E256" s="956"/>
      <c r="F256" s="722" t="s">
        <v>879</v>
      </c>
      <c r="G256" s="723"/>
      <c r="H256" s="723"/>
      <c r="I256" s="723"/>
      <c r="J256" s="723"/>
      <c r="K256" s="723"/>
      <c r="L256" s="724"/>
      <c r="M256" s="722" t="s">
        <v>1102</v>
      </c>
      <c r="N256" s="723"/>
      <c r="O256" s="723"/>
      <c r="P256" s="723"/>
      <c r="Q256" s="723"/>
      <c r="R256" s="723"/>
      <c r="S256" s="723"/>
      <c r="T256" s="723"/>
      <c r="U256" s="723"/>
      <c r="V256" s="723"/>
      <c r="W256" s="722" t="s">
        <v>1103</v>
      </c>
      <c r="X256" s="723"/>
      <c r="Y256" s="723"/>
      <c r="Z256" s="723"/>
      <c r="AA256" s="723"/>
      <c r="AB256" s="723"/>
      <c r="AC256" s="723"/>
      <c r="AD256" s="723"/>
      <c r="AE256" s="723"/>
      <c r="AF256" s="723"/>
      <c r="AG256" s="723"/>
      <c r="AH256" s="723"/>
      <c r="AI256" s="723"/>
      <c r="AJ256" s="723"/>
      <c r="AK256" s="725" t="s">
        <v>1104</v>
      </c>
      <c r="AL256" s="723"/>
      <c r="AM256" s="723"/>
      <c r="AN256" s="723"/>
      <c r="AO256" s="723"/>
      <c r="AP256" s="723"/>
      <c r="AQ256" s="726"/>
      <c r="AR256" s="725" t="s">
        <v>1105</v>
      </c>
      <c r="AS256" s="723"/>
      <c r="AT256" s="723"/>
      <c r="AU256" s="723"/>
      <c r="AV256" s="723"/>
      <c r="AW256" s="723"/>
      <c r="AX256" s="726"/>
      <c r="AY256" s="595" t="s">
        <v>891</v>
      </c>
      <c r="BA256" s="499"/>
    </row>
    <row r="257" spans="3:53" ht="12" customHeight="1">
      <c r="C257" s="712"/>
      <c r="D257" s="788" t="s">
        <v>946</v>
      </c>
      <c r="E257" s="789"/>
      <c r="F257" s="790" t="s">
        <v>947</v>
      </c>
      <c r="G257" s="791"/>
      <c r="H257" s="791"/>
      <c r="I257" s="791"/>
      <c r="J257" s="791"/>
      <c r="K257" s="791"/>
      <c r="L257" s="792"/>
      <c r="M257" s="793"/>
      <c r="N257" s="562"/>
      <c r="O257" s="562"/>
      <c r="P257" s="562"/>
      <c r="Q257" s="562"/>
      <c r="R257" s="562"/>
      <c r="S257" s="562"/>
      <c r="T257" s="562"/>
      <c r="U257" s="562"/>
      <c r="V257" s="562"/>
      <c r="W257" s="793" t="s">
        <v>1219</v>
      </c>
      <c r="X257" s="562"/>
      <c r="Y257" s="562"/>
      <c r="Z257" s="562"/>
      <c r="AA257" s="562"/>
      <c r="AB257" s="562"/>
      <c r="AC257" s="562"/>
      <c r="AD257" s="562"/>
      <c r="AE257" s="562"/>
      <c r="AF257" s="562"/>
      <c r="AG257" s="562"/>
      <c r="AH257" s="562"/>
      <c r="AI257" s="562"/>
      <c r="AJ257" s="562"/>
      <c r="AK257" s="794"/>
      <c r="AL257" s="562"/>
      <c r="AM257" s="562"/>
      <c r="AN257" s="562"/>
      <c r="AO257" s="562"/>
      <c r="AP257" s="562"/>
      <c r="AQ257" s="563"/>
      <c r="AR257" s="794"/>
      <c r="AS257" s="562"/>
      <c r="AT257" s="562"/>
      <c r="AU257" s="562"/>
      <c r="AV257" s="562"/>
      <c r="AW257" s="562"/>
      <c r="AX257" s="563"/>
      <c r="AY257" s="596"/>
      <c r="AZ257" s="735"/>
      <c r="BA257" s="499"/>
    </row>
    <row r="258" spans="3:53" ht="12" customHeight="1" thickBot="1">
      <c r="C258" s="712"/>
      <c r="D258" s="797"/>
      <c r="E258" s="798"/>
      <c r="F258" s="799"/>
      <c r="G258" s="800"/>
      <c r="H258" s="800"/>
      <c r="I258" s="800"/>
      <c r="J258" s="800"/>
      <c r="K258" s="800"/>
      <c r="L258" s="801"/>
      <c r="M258" s="802"/>
      <c r="N258" s="803"/>
      <c r="O258" s="803"/>
      <c r="P258" s="803"/>
      <c r="Q258" s="803"/>
      <c r="R258" s="803"/>
      <c r="S258" s="803"/>
      <c r="T258" s="803"/>
      <c r="U258" s="803"/>
      <c r="V258" s="803"/>
      <c r="W258" s="802"/>
      <c r="X258" s="803"/>
      <c r="Y258" s="803"/>
      <c r="Z258" s="803"/>
      <c r="AA258" s="803"/>
      <c r="AB258" s="803"/>
      <c r="AC258" s="803"/>
      <c r="AD258" s="803"/>
      <c r="AE258" s="803"/>
      <c r="AF258" s="803"/>
      <c r="AG258" s="803"/>
      <c r="AH258" s="803"/>
      <c r="AI258" s="803"/>
      <c r="AJ258" s="803"/>
      <c r="AK258" s="804"/>
      <c r="AL258" s="803"/>
      <c r="AM258" s="803"/>
      <c r="AN258" s="803"/>
      <c r="AO258" s="803"/>
      <c r="AP258" s="803"/>
      <c r="AQ258" s="805"/>
      <c r="AR258" s="804"/>
      <c r="AS258" s="803"/>
      <c r="AT258" s="803"/>
      <c r="AU258" s="803"/>
      <c r="AV258" s="803"/>
      <c r="AW258" s="803"/>
      <c r="AX258" s="805"/>
      <c r="AY258" s="596"/>
      <c r="AZ258" s="735"/>
      <c r="BA258" s="499"/>
    </row>
    <row r="259" spans="3:53" ht="12" customHeight="1">
      <c r="C259" s="497"/>
      <c r="Q259" s="8"/>
      <c r="S259" s="10"/>
      <c r="BA259" s="499"/>
    </row>
    <row r="260" spans="3:53" ht="12" customHeight="1">
      <c r="C260" s="50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7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09"/>
    </row>
    <row r="261" spans="3:53" ht="12" customHeight="1" thickBot="1">
      <c r="C261" s="531"/>
      <c r="D261" s="532"/>
      <c r="E261" s="532"/>
      <c r="F261" s="532"/>
      <c r="G261" s="532"/>
      <c r="H261" s="532"/>
      <c r="I261" s="532"/>
      <c r="J261" s="532"/>
      <c r="K261" s="532"/>
      <c r="L261" s="532"/>
      <c r="M261" s="532"/>
      <c r="N261" s="532"/>
      <c r="O261" s="532"/>
      <c r="P261" s="532"/>
      <c r="Q261" s="532"/>
      <c r="R261" s="532"/>
      <c r="S261" s="532"/>
      <c r="T261" s="532"/>
      <c r="U261" s="532"/>
      <c r="V261" s="532"/>
      <c r="W261" s="532"/>
      <c r="X261" s="532"/>
      <c r="Y261" s="532"/>
      <c r="Z261" s="532"/>
      <c r="AA261" s="532"/>
      <c r="AB261" s="532"/>
      <c r="AC261" s="532"/>
      <c r="AD261" s="532"/>
      <c r="AE261" s="532"/>
      <c r="AF261" s="532"/>
      <c r="AG261" s="532"/>
      <c r="AH261" s="532"/>
      <c r="AI261" s="532"/>
      <c r="AJ261" s="532"/>
      <c r="AK261" s="532"/>
      <c r="AL261" s="532"/>
      <c r="AM261" s="532"/>
      <c r="AN261" s="532"/>
      <c r="AO261" s="532"/>
      <c r="AP261" s="532"/>
      <c r="AQ261" s="532"/>
      <c r="AR261" s="532"/>
      <c r="AS261" s="532"/>
      <c r="AT261" s="532"/>
      <c r="AU261" s="532"/>
      <c r="AV261" s="532"/>
      <c r="AW261" s="532"/>
      <c r="AX261" s="532"/>
      <c r="AY261" s="532"/>
      <c r="AZ261" s="532"/>
      <c r="BA261" s="534"/>
    </row>
  </sheetData>
  <mergeCells count="380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CA39:CC39"/>
    <mergeCell ref="CD39:CF39"/>
    <mergeCell ref="CG39:CI39"/>
    <mergeCell ref="CJ39:CL39"/>
    <mergeCell ref="CM39:CO39"/>
    <mergeCell ref="CP39:CR39"/>
    <mergeCell ref="EC38:EE38"/>
    <mergeCell ref="EF38:EH38"/>
    <mergeCell ref="EI38:EK38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R39:ET39"/>
    <mergeCell ref="DK39:DM39"/>
    <mergeCell ref="DN39:DP39"/>
    <mergeCell ref="DQ39:DS39"/>
    <mergeCell ref="DT39:DV39"/>
    <mergeCell ref="DW39:DY39"/>
    <mergeCell ref="DZ39:EB39"/>
    <mergeCell ref="CS39:CU39"/>
    <mergeCell ref="CV39:CX39"/>
    <mergeCell ref="CY39:DA39"/>
    <mergeCell ref="DB39:DD39"/>
    <mergeCell ref="DE39:DG39"/>
    <mergeCell ref="DH39:DJ39"/>
    <mergeCell ref="CG40:CI40"/>
    <mergeCell ref="CJ40:CL40"/>
    <mergeCell ref="CM40:CO40"/>
    <mergeCell ref="CP40:CR40"/>
    <mergeCell ref="EC39:EE39"/>
    <mergeCell ref="EF39:EH39"/>
    <mergeCell ref="EI39:EK39"/>
    <mergeCell ref="EL39:EN39"/>
    <mergeCell ref="EO39:EQ39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DH40:DJ40"/>
    <mergeCell ref="CA40:CC40"/>
    <mergeCell ref="CD40:CF40"/>
    <mergeCell ref="AC64:AF64"/>
    <mergeCell ref="AH64:AK64"/>
    <mergeCell ref="AE83:AG83"/>
    <mergeCell ref="AM83:AP83"/>
    <mergeCell ref="AR83:AU83"/>
    <mergeCell ref="AB87:AE87"/>
    <mergeCell ref="BZ41:DP42"/>
    <mergeCell ref="EL41:EN41"/>
    <mergeCell ref="EO41:EQ41"/>
    <mergeCell ref="AT100:AW100"/>
    <mergeCell ref="J101:M101"/>
    <mergeCell ref="Z101:AC101"/>
    <mergeCell ref="AI101:AL101"/>
    <mergeCell ref="AT101:AW101"/>
    <mergeCell ref="H95:K95"/>
    <mergeCell ref="J98:K98"/>
    <mergeCell ref="J99:M99"/>
    <mergeCell ref="Z99:AC99"/>
    <mergeCell ref="AI99:AL99"/>
    <mergeCell ref="AT99:AW99"/>
    <mergeCell ref="L103:N103"/>
    <mergeCell ref="R103:T103"/>
    <mergeCell ref="L104:N104"/>
    <mergeCell ref="J105:N105"/>
    <mergeCell ref="J106:N106"/>
    <mergeCell ref="AD106:AG106"/>
    <mergeCell ref="J100:M100"/>
    <mergeCell ref="Z100:AC100"/>
    <mergeCell ref="AI100:AL100"/>
    <mergeCell ref="H154:K154"/>
    <mergeCell ref="J157:K157"/>
    <mergeCell ref="J158:M158"/>
    <mergeCell ref="Z158:AC158"/>
    <mergeCell ref="AI158:AL158"/>
    <mergeCell ref="AT158:AW158"/>
    <mergeCell ref="J107:M107"/>
    <mergeCell ref="J110:M110"/>
    <mergeCell ref="AE142:AG142"/>
    <mergeCell ref="AM142:AP142"/>
    <mergeCell ref="AR142:AU142"/>
    <mergeCell ref="AB146:AE146"/>
    <mergeCell ref="AD165:AG165"/>
    <mergeCell ref="J159:M159"/>
    <mergeCell ref="Z159:AC159"/>
    <mergeCell ref="AI159:AL159"/>
    <mergeCell ref="AT159:AW159"/>
    <mergeCell ref="J160:M160"/>
    <mergeCell ref="Z160:AC160"/>
    <mergeCell ref="AI160:AL160"/>
    <mergeCell ref="AT160:AW160"/>
    <mergeCell ref="J166:M166"/>
    <mergeCell ref="J169:M169"/>
    <mergeCell ref="D191:E193"/>
    <mergeCell ref="F191:H193"/>
    <mergeCell ref="I191:N193"/>
    <mergeCell ref="O191:P193"/>
    <mergeCell ref="L162:N162"/>
    <mergeCell ref="R162:T162"/>
    <mergeCell ref="L163:N163"/>
    <mergeCell ref="J164:N164"/>
    <mergeCell ref="J165:N165"/>
    <mergeCell ref="BP192:BS192"/>
    <mergeCell ref="BT192:BU193"/>
    <mergeCell ref="BV192:BW193"/>
    <mergeCell ref="BX192:BY193"/>
    <mergeCell ref="BP193:BS193"/>
    <mergeCell ref="BL191:BO191"/>
    <mergeCell ref="BP191:BS191"/>
    <mergeCell ref="BT191:BY191"/>
    <mergeCell ref="AB192:AE193"/>
    <mergeCell ref="AF192:AI192"/>
    <mergeCell ref="AJ192:AM192"/>
    <mergeCell ref="AN192:AQ192"/>
    <mergeCell ref="AR192:AU192"/>
    <mergeCell ref="AV192:AY192"/>
    <mergeCell ref="AZ192:BC192"/>
    <mergeCell ref="AB191:AE191"/>
    <mergeCell ref="AF191:BG191"/>
    <mergeCell ref="BH191:BK191"/>
    <mergeCell ref="BD192:BG192"/>
    <mergeCell ref="BH192:BK193"/>
    <mergeCell ref="F194:H199"/>
    <mergeCell ref="I194:J196"/>
    <mergeCell ref="K194:N196"/>
    <mergeCell ref="O194:P199"/>
    <mergeCell ref="Q194:U199"/>
    <mergeCell ref="I197:J199"/>
    <mergeCell ref="K197:N199"/>
    <mergeCell ref="BL192:BO193"/>
    <mergeCell ref="Q191:U193"/>
    <mergeCell ref="V191:W193"/>
    <mergeCell ref="X191:AA193"/>
    <mergeCell ref="BL199:BO199"/>
    <mergeCell ref="D219:K219"/>
    <mergeCell ref="L219:O219"/>
    <mergeCell ref="Z219:AG219"/>
    <mergeCell ref="AK219:AR219"/>
    <mergeCell ref="AV197:AY197"/>
    <mergeCell ref="BD197:BG197"/>
    <mergeCell ref="BH197:BK197"/>
    <mergeCell ref="BL197:BO197"/>
    <mergeCell ref="AJ198:AM198"/>
    <mergeCell ref="AV198:AY198"/>
    <mergeCell ref="BD198:BG198"/>
    <mergeCell ref="BH198:BK198"/>
    <mergeCell ref="BL198:BO198"/>
    <mergeCell ref="AB194:AE199"/>
    <mergeCell ref="BH194:BK194"/>
    <mergeCell ref="BL194:BO194"/>
    <mergeCell ref="AJ195:AM195"/>
    <mergeCell ref="BH195:BK195"/>
    <mergeCell ref="BL195:BO195"/>
    <mergeCell ref="AF196:AU196"/>
    <mergeCell ref="AV196:BG196"/>
    <mergeCell ref="BH196:BK196"/>
    <mergeCell ref="BL196:BO196"/>
    <mergeCell ref="D194:E199"/>
    <mergeCell ref="AV221:BA223"/>
    <mergeCell ref="N222:Q222"/>
    <mergeCell ref="R222:U222"/>
    <mergeCell ref="V222:Y222"/>
    <mergeCell ref="Z222:AC222"/>
    <mergeCell ref="AD222:AG222"/>
    <mergeCell ref="AF199:AU199"/>
    <mergeCell ref="AV199:BG199"/>
    <mergeCell ref="BH199:BK199"/>
    <mergeCell ref="AH222:AK222"/>
    <mergeCell ref="AL222:AO222"/>
    <mergeCell ref="D224:E226"/>
    <mergeCell ref="F224:G226"/>
    <mergeCell ref="H224:M226"/>
    <mergeCell ref="AP224:AU224"/>
    <mergeCell ref="D221:E223"/>
    <mergeCell ref="F221:M222"/>
    <mergeCell ref="N221:AO221"/>
    <mergeCell ref="AP221:AU223"/>
    <mergeCell ref="D227:E229"/>
    <mergeCell ref="F227:G229"/>
    <mergeCell ref="H227:M229"/>
    <mergeCell ref="AD227:AG227"/>
    <mergeCell ref="AL227:AO227"/>
    <mergeCell ref="AP227:AU227"/>
    <mergeCell ref="AD228:AG228"/>
    <mergeCell ref="AL228:AO228"/>
    <mergeCell ref="AP228:AU228"/>
    <mergeCell ref="AV224:BA224"/>
    <mergeCell ref="R225:U225"/>
    <mergeCell ref="AP225:AU225"/>
    <mergeCell ref="AV225:BA225"/>
    <mergeCell ref="N226:AC226"/>
    <mergeCell ref="AD226:AO226"/>
    <mergeCell ref="AP226:AU226"/>
    <mergeCell ref="AV226:BA226"/>
    <mergeCell ref="AV227:BA227"/>
    <mergeCell ref="AV228:BA228"/>
    <mergeCell ref="N229:AC229"/>
    <mergeCell ref="AD229:AO229"/>
    <mergeCell ref="AP229:AU229"/>
    <mergeCell ref="AV229:BA229"/>
    <mergeCell ref="AH232:AK232"/>
    <mergeCell ref="AL232:AO232"/>
    <mergeCell ref="AP232:AS232"/>
    <mergeCell ref="D235:G235"/>
    <mergeCell ref="D256:E256"/>
    <mergeCell ref="D231:AB231"/>
    <mergeCell ref="AD231:AK231"/>
    <mergeCell ref="AL231:AS231"/>
    <mergeCell ref="D232:H232"/>
    <mergeCell ref="I232:L232"/>
    <mergeCell ref="M232:P232"/>
    <mergeCell ref="Q232:T232"/>
    <mergeCell ref="U232:X232"/>
    <mergeCell ref="Y232:AB232"/>
    <mergeCell ref="AD232:AG232"/>
  </mergeCells>
  <phoneticPr fontId="6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5" manualBreakCount="5">
    <brk id="50" max="87" man="1"/>
    <brk id="74" max="87" man="1"/>
    <brk id="184" max="87" man="1"/>
    <brk id="206" max="87" man="1"/>
    <brk id="248" max="87" man="1"/>
  </row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A06B-AE46-441D-A407-F9986179FD50}">
  <sheetPr>
    <tabColor rgb="FFFF00FF"/>
    <pageSetUpPr fitToPage="1"/>
  </sheetPr>
  <dimension ref="A2:HY255"/>
  <sheetViews>
    <sheetView showGridLines="0" showZeros="0" view="pageBreakPreview" topLeftCell="A128" zoomScaleNormal="100" zoomScaleSheetLayoutView="100" workbookViewId="0">
      <selection activeCell="J147" sqref="J147"/>
    </sheetView>
  </sheetViews>
  <sheetFormatPr defaultColWidth="2.25" defaultRowHeight="12" customHeight="1"/>
  <cols>
    <col min="1" max="2" width="2.125" style="8" customWidth="1"/>
    <col min="3" max="3" width="2.375" style="8" customWidth="1"/>
    <col min="4" max="16" width="2.125" style="8" customWidth="1"/>
    <col min="17" max="17" width="2.125" style="10" customWidth="1"/>
    <col min="18" max="24" width="2.125" style="8" customWidth="1"/>
    <col min="25" max="25" width="2.75" style="8" customWidth="1"/>
    <col min="26" max="26" width="2.125" style="8" customWidth="1"/>
    <col min="27" max="27" width="2.75" style="8" customWidth="1"/>
    <col min="28" max="38" width="2.125" style="8" customWidth="1"/>
    <col min="39" max="39" width="4.125" style="8" customWidth="1"/>
    <col min="40" max="41" width="2.125" style="8" customWidth="1"/>
    <col min="42" max="42" width="4.125" style="8" customWidth="1"/>
    <col min="43" max="43" width="2.875" style="8" customWidth="1"/>
    <col min="44" max="62" width="2.125" style="8" customWidth="1"/>
    <col min="63" max="63" width="3.125" style="8" customWidth="1"/>
    <col min="64" max="16384" width="2.25" style="8"/>
  </cols>
  <sheetData>
    <row r="2" spans="1:63" s="476" customFormat="1" ht="6.75" customHeight="1" thickBot="1">
      <c r="B2" s="477"/>
      <c r="C2" s="478"/>
      <c r="D2" s="478"/>
      <c r="E2" s="478"/>
      <c r="F2" s="479"/>
      <c r="G2" s="479"/>
      <c r="H2" s="479"/>
      <c r="I2" s="479"/>
      <c r="J2" s="478"/>
      <c r="K2" s="479"/>
      <c r="L2" s="479"/>
      <c r="M2" s="479"/>
      <c r="N2" s="479"/>
      <c r="O2" s="479"/>
      <c r="P2" s="479"/>
      <c r="Q2" s="480"/>
    </row>
    <row r="3" spans="1:63" s="476" customFormat="1" ht="15.75" customHeight="1">
      <c r="A3" s="1193" t="s">
        <v>689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  <c r="AI3" s="1194"/>
      <c r="AJ3" s="1194"/>
      <c r="AK3" s="1194"/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4"/>
      <c r="AX3" s="1194"/>
      <c r="AY3" s="1194"/>
      <c r="AZ3" s="1194"/>
      <c r="BA3" s="1194"/>
      <c r="BB3" s="1194"/>
      <c r="BC3" s="1194"/>
      <c r="BD3" s="1194"/>
      <c r="BE3" s="1194"/>
      <c r="BF3" s="1194"/>
      <c r="BG3" s="1194"/>
      <c r="BH3" s="1194"/>
      <c r="BI3" s="1194"/>
      <c r="BJ3" s="1194"/>
      <c r="BK3" s="1195"/>
    </row>
    <row r="5" spans="1:63" ht="12" customHeight="1">
      <c r="B5" s="8" t="s">
        <v>690</v>
      </c>
    </row>
    <row r="6" spans="1:63" ht="12" customHeight="1">
      <c r="Q6" s="8" t="s">
        <v>691</v>
      </c>
      <c r="S6" s="8" t="s">
        <v>692</v>
      </c>
    </row>
    <row r="7" spans="1:63" ht="12" customHeight="1">
      <c r="C7" s="8" t="s">
        <v>693</v>
      </c>
      <c r="I7" s="481"/>
      <c r="J7" s="482"/>
      <c r="K7" s="482"/>
      <c r="L7" s="482"/>
      <c r="M7" s="482"/>
      <c r="N7" s="483"/>
      <c r="O7" s="484"/>
      <c r="Q7" s="8" t="s">
        <v>691</v>
      </c>
      <c r="S7" s="8" t="s">
        <v>694</v>
      </c>
    </row>
    <row r="8" spans="1:63" ht="12" customHeight="1">
      <c r="C8" s="8" t="s">
        <v>695</v>
      </c>
      <c r="I8" s="481"/>
      <c r="J8" s="482"/>
      <c r="K8" s="482"/>
      <c r="L8" s="482"/>
      <c r="M8" s="482"/>
      <c r="N8" s="483"/>
      <c r="Q8" s="8" t="s">
        <v>691</v>
      </c>
      <c r="S8" s="8" t="s">
        <v>696</v>
      </c>
    </row>
    <row r="9" spans="1:63" ht="12" customHeight="1">
      <c r="C9" s="8" t="s">
        <v>697</v>
      </c>
      <c r="I9" s="485"/>
      <c r="J9" s="486"/>
      <c r="K9" s="486"/>
      <c r="L9" s="486"/>
      <c r="M9" s="486"/>
      <c r="N9" s="487"/>
      <c r="Q9" s="8" t="s">
        <v>691</v>
      </c>
      <c r="S9" s="8" t="s">
        <v>698</v>
      </c>
    </row>
    <row r="10" spans="1:63" ht="12" customHeight="1">
      <c r="C10" s="8" t="s">
        <v>699</v>
      </c>
      <c r="I10" s="8" t="s">
        <v>700</v>
      </c>
      <c r="M10" s="8" t="s">
        <v>701</v>
      </c>
      <c r="Q10" s="8" t="s">
        <v>691</v>
      </c>
      <c r="S10" s="8" t="s">
        <v>702</v>
      </c>
    </row>
    <row r="11" spans="1:63" ht="12" customHeight="1">
      <c r="C11" s="8" t="s">
        <v>703</v>
      </c>
      <c r="I11" s="481"/>
      <c r="J11" s="482"/>
      <c r="K11" s="482"/>
      <c r="L11" s="482"/>
      <c r="M11" s="482"/>
      <c r="N11" s="484"/>
      <c r="Q11" s="8" t="s">
        <v>691</v>
      </c>
      <c r="S11" s="8" t="s">
        <v>702</v>
      </c>
    </row>
    <row r="12" spans="1:63" ht="12" customHeight="1">
      <c r="C12" s="8" t="s">
        <v>704</v>
      </c>
      <c r="I12" s="8" t="s">
        <v>705</v>
      </c>
      <c r="M12" s="8" t="s">
        <v>706</v>
      </c>
      <c r="Q12" s="8" t="s">
        <v>691</v>
      </c>
      <c r="S12" s="8" t="s">
        <v>707</v>
      </c>
    </row>
    <row r="15" spans="1:63" ht="30.75" customHeight="1">
      <c r="B15" s="488" t="s">
        <v>1208</v>
      </c>
    </row>
    <row r="16" spans="1:63" ht="12" customHeight="1">
      <c r="D16" s="8" t="s">
        <v>709</v>
      </c>
    </row>
    <row r="21" spans="3:233" ht="12" customHeight="1" thickBot="1">
      <c r="C21" s="489" t="s">
        <v>234</v>
      </c>
    </row>
    <row r="22" spans="3:233" ht="12" customHeight="1">
      <c r="C22" s="490"/>
      <c r="D22" s="491"/>
      <c r="E22" s="491"/>
      <c r="F22" s="491"/>
      <c r="G22" s="491"/>
      <c r="H22" s="491"/>
      <c r="I22" s="491"/>
      <c r="J22" s="491"/>
      <c r="K22" s="491"/>
      <c r="L22" s="491"/>
      <c r="M22" s="491"/>
      <c r="N22" s="491"/>
      <c r="O22" s="491"/>
      <c r="P22" s="491"/>
      <c r="Q22" s="492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491"/>
      <c r="AC22" s="491"/>
      <c r="AD22" s="491"/>
      <c r="AE22" s="491"/>
      <c r="AF22" s="491"/>
      <c r="AG22" s="491"/>
      <c r="AH22" s="491"/>
      <c r="AI22" s="491"/>
      <c r="AJ22" s="491"/>
      <c r="AK22" s="491"/>
      <c r="AL22" s="491"/>
      <c r="AM22" s="491"/>
      <c r="AN22" s="491"/>
      <c r="AO22" s="491"/>
      <c r="AP22" s="491"/>
      <c r="AQ22" s="491"/>
      <c r="AR22" s="491"/>
      <c r="AS22" s="491"/>
      <c r="AT22" s="491"/>
      <c r="AU22" s="491"/>
      <c r="AV22" s="491"/>
      <c r="AW22" s="491"/>
      <c r="AX22" s="491"/>
      <c r="AY22" s="491"/>
      <c r="AZ22" s="491"/>
      <c r="BA22" s="491"/>
      <c r="BB22" s="491"/>
      <c r="BC22" s="491"/>
      <c r="BD22" s="491"/>
      <c r="BE22" s="491"/>
      <c r="BF22" s="491"/>
      <c r="BG22" s="491"/>
      <c r="BH22" s="491"/>
      <c r="BI22" s="491"/>
      <c r="BJ22" s="491"/>
      <c r="BK22" s="491"/>
      <c r="BL22" s="491"/>
      <c r="BM22" s="491"/>
      <c r="BN22" s="491"/>
      <c r="BO22" s="491"/>
      <c r="BP22" s="491"/>
      <c r="BQ22" s="491"/>
      <c r="BR22" s="491"/>
      <c r="BS22" s="491"/>
      <c r="BT22" s="491"/>
      <c r="BU22" s="491"/>
      <c r="BV22" s="491"/>
      <c r="BW22" s="491"/>
      <c r="BX22" s="493"/>
      <c r="BZ22" s="494"/>
      <c r="CA22" s="494"/>
      <c r="CB22" s="494"/>
      <c r="CC22" s="494"/>
      <c r="CD22" s="494"/>
      <c r="CE22" s="494"/>
      <c r="CF22" s="494"/>
      <c r="CG22" s="494"/>
      <c r="CH22" s="494"/>
      <c r="CI22" s="494"/>
      <c r="CJ22" s="494"/>
      <c r="CK22" s="494"/>
      <c r="CL22" s="494"/>
      <c r="CM22" s="494"/>
      <c r="CN22" s="494"/>
      <c r="CO22" s="494"/>
      <c r="CP22" s="494"/>
      <c r="CQ22" s="494"/>
      <c r="CR22" s="494"/>
      <c r="CS22" s="494"/>
      <c r="CT22" s="494"/>
      <c r="CU22" s="494"/>
      <c r="CV22" s="494"/>
      <c r="CW22" s="494"/>
      <c r="CX22" s="494"/>
      <c r="CY22" s="494"/>
      <c r="CZ22" s="494"/>
      <c r="DA22" s="494"/>
      <c r="DB22" s="494"/>
      <c r="DC22" s="494"/>
      <c r="DD22" s="494"/>
      <c r="DE22" s="494"/>
      <c r="DF22" s="494"/>
      <c r="DG22" s="494"/>
      <c r="DH22" s="494"/>
      <c r="DI22" s="494"/>
      <c r="DJ22" s="495"/>
      <c r="DK22" s="494"/>
      <c r="DL22" s="494"/>
      <c r="DM22" s="494"/>
      <c r="DN22" s="494"/>
      <c r="DO22" s="494"/>
      <c r="DP22" s="494"/>
      <c r="DQ22" s="494"/>
      <c r="DR22" s="494"/>
      <c r="DS22" s="494"/>
      <c r="DT22" s="494"/>
      <c r="DU22" s="494"/>
      <c r="DV22" s="494"/>
      <c r="DW22" s="494"/>
      <c r="DX22" s="494"/>
      <c r="DY22" s="494"/>
      <c r="DZ22" s="494"/>
      <c r="EA22" s="494"/>
      <c r="EB22" s="494"/>
      <c r="EC22" s="494"/>
      <c r="ED22" s="494"/>
      <c r="EE22" s="494"/>
      <c r="EF22" s="494"/>
      <c r="EG22" s="494"/>
      <c r="EH22" s="494"/>
      <c r="EI22" s="494"/>
      <c r="EJ22" s="494"/>
      <c r="EK22" s="494"/>
      <c r="EL22" s="494"/>
      <c r="EM22" s="494"/>
      <c r="EN22" s="494"/>
      <c r="EO22" s="494"/>
      <c r="EP22" s="494"/>
      <c r="EQ22" s="494"/>
      <c r="ER22" s="494"/>
      <c r="ES22" s="494"/>
      <c r="ET22" s="496"/>
    </row>
    <row r="23" spans="3:233" ht="12" customHeight="1">
      <c r="C23" s="497"/>
      <c r="D23" s="8" t="s">
        <v>699</v>
      </c>
      <c r="J23" s="498" t="s">
        <v>700</v>
      </c>
      <c r="K23" s="498"/>
      <c r="L23" s="498"/>
      <c r="M23" s="498"/>
      <c r="N23" s="498" t="s">
        <v>701</v>
      </c>
      <c r="O23" s="498"/>
      <c r="P23" s="498"/>
      <c r="Q23" s="498"/>
      <c r="R23" s="498" t="s">
        <v>710</v>
      </c>
      <c r="S23" s="498"/>
      <c r="T23" s="498"/>
      <c r="U23" s="498"/>
      <c r="V23" s="498" t="s">
        <v>711</v>
      </c>
      <c r="W23" s="498"/>
      <c r="X23" s="498"/>
      <c r="Y23" s="498"/>
      <c r="Z23" s="498"/>
      <c r="BX23" s="499"/>
      <c r="BZ23" s="494"/>
      <c r="CA23" s="494"/>
      <c r="CB23" s="494"/>
      <c r="CC23" s="494"/>
      <c r="CD23" s="494"/>
      <c r="CE23" s="494"/>
      <c r="CF23" s="494"/>
      <c r="CG23" s="494"/>
      <c r="CH23" s="494"/>
      <c r="CI23" s="494"/>
      <c r="CJ23" s="494"/>
      <c r="CK23" s="494"/>
      <c r="CL23" s="494"/>
      <c r="CM23" s="494"/>
      <c r="CN23" s="494"/>
      <c r="CO23" s="494"/>
      <c r="CP23" s="494"/>
      <c r="CQ23" s="494"/>
      <c r="CR23" s="494"/>
      <c r="CS23" s="494"/>
      <c r="CT23" s="494"/>
      <c r="CU23" s="494"/>
      <c r="CV23" s="494"/>
      <c r="CW23" s="494"/>
      <c r="CX23" s="494"/>
      <c r="CY23" s="494"/>
      <c r="CZ23" s="494"/>
      <c r="DA23" s="494"/>
      <c r="DB23" s="494"/>
      <c r="DC23" s="494"/>
      <c r="DD23" s="494"/>
      <c r="DE23" s="494"/>
      <c r="DF23" s="494"/>
      <c r="DG23" s="494"/>
      <c r="DH23" s="494"/>
      <c r="DI23" s="494"/>
      <c r="DJ23" s="494"/>
      <c r="DK23" s="494"/>
      <c r="DL23" s="494"/>
      <c r="DM23" s="494"/>
      <c r="DN23" s="494"/>
      <c r="DO23" s="494"/>
      <c r="DP23" s="494"/>
      <c r="DQ23" s="494"/>
      <c r="DR23" s="494"/>
      <c r="DS23" s="494"/>
      <c r="DT23" s="494"/>
      <c r="DU23" s="494"/>
      <c r="DV23" s="494"/>
      <c r="DW23" s="494"/>
      <c r="DX23" s="494"/>
      <c r="DY23" s="494"/>
      <c r="DZ23" s="494"/>
      <c r="EA23" s="494"/>
      <c r="EB23" s="494"/>
      <c r="EC23" s="494"/>
      <c r="ED23" s="494"/>
      <c r="EE23" s="494"/>
      <c r="EF23" s="494"/>
      <c r="EG23" s="495"/>
      <c r="EH23" s="494"/>
      <c r="EI23" s="494"/>
      <c r="EJ23" s="494"/>
      <c r="EK23" s="494"/>
      <c r="EL23" s="494"/>
      <c r="EM23" s="494"/>
      <c r="EN23" s="494"/>
      <c r="EO23" s="494"/>
      <c r="EP23" s="494"/>
      <c r="EQ23" s="494"/>
      <c r="ER23" s="494"/>
      <c r="ES23" s="494"/>
      <c r="ET23" s="496"/>
      <c r="FT23" s="500" t="s">
        <v>712</v>
      </c>
      <c r="GG23" s="501" t="s">
        <v>713</v>
      </c>
      <c r="HI23" s="500" t="s">
        <v>714</v>
      </c>
    </row>
    <row r="24" spans="3:233" ht="12" customHeight="1">
      <c r="C24" s="497"/>
      <c r="D24" s="8" t="s">
        <v>235</v>
      </c>
      <c r="H24" s="502"/>
      <c r="I24" s="503"/>
      <c r="J24" s="503"/>
      <c r="K24" s="503"/>
      <c r="L24" s="503"/>
      <c r="M24" s="504"/>
      <c r="Q24" s="8"/>
      <c r="S24" s="8" t="s">
        <v>697</v>
      </c>
      <c r="V24" s="502"/>
      <c r="W24" s="503"/>
      <c r="X24" s="503"/>
      <c r="Y24" s="503"/>
      <c r="Z24" s="503"/>
      <c r="AA24" s="504"/>
      <c r="AB24" s="505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7"/>
      <c r="AO24" s="8" t="s">
        <v>715</v>
      </c>
      <c r="AR24" s="506"/>
      <c r="AS24" s="503"/>
      <c r="AT24" s="503"/>
      <c r="AU24" s="503"/>
      <c r="AV24" s="503"/>
      <c r="AW24" s="504"/>
      <c r="AX24" s="484"/>
      <c r="AY24" s="486"/>
      <c r="AZ24" s="486"/>
      <c r="BA24" s="486"/>
      <c r="BB24" s="486"/>
      <c r="BC24" s="486"/>
      <c r="BD24" s="486"/>
      <c r="BE24" s="486"/>
      <c r="BF24" s="486"/>
      <c r="BG24" s="486"/>
      <c r="BH24" s="486"/>
      <c r="BI24" s="487"/>
      <c r="BK24" s="507" t="s">
        <v>716</v>
      </c>
      <c r="BX24" s="499"/>
      <c r="BZ24" s="496"/>
      <c r="CA24" s="1192"/>
      <c r="CB24" s="1192"/>
      <c r="CC24" s="1192"/>
      <c r="CD24" s="1192"/>
      <c r="CE24" s="1192"/>
      <c r="CF24" s="1192"/>
      <c r="CG24" s="1192"/>
      <c r="CH24" s="1192"/>
      <c r="CI24" s="1192"/>
      <c r="CJ24" s="1192"/>
      <c r="CK24" s="1192"/>
      <c r="CL24" s="1192"/>
      <c r="CM24" s="1192"/>
      <c r="CN24" s="1192"/>
      <c r="CO24" s="1192"/>
      <c r="CP24" s="1192"/>
      <c r="CQ24" s="1192"/>
      <c r="CR24" s="1192"/>
      <c r="CS24" s="1192"/>
      <c r="CT24" s="1192"/>
      <c r="CU24" s="1192"/>
      <c r="CV24" s="1192"/>
      <c r="CW24" s="1192"/>
      <c r="CX24" s="1192"/>
      <c r="CY24" s="1192"/>
      <c r="CZ24" s="1192"/>
      <c r="DA24" s="1192"/>
      <c r="DB24" s="1192"/>
      <c r="DC24" s="1192"/>
      <c r="DD24" s="1192"/>
      <c r="DE24" s="1192"/>
      <c r="DF24" s="1192"/>
      <c r="DG24" s="1192"/>
      <c r="DH24" s="1192"/>
      <c r="DI24" s="1192"/>
      <c r="DJ24" s="1192"/>
      <c r="DK24" s="1192"/>
      <c r="DL24" s="1192"/>
      <c r="DM24" s="1192"/>
      <c r="DN24" s="1192"/>
      <c r="DO24" s="1192"/>
      <c r="DP24" s="1192"/>
      <c r="DQ24" s="1192"/>
      <c r="DR24" s="1192"/>
      <c r="DS24" s="1192"/>
      <c r="DT24" s="1192"/>
      <c r="DU24" s="1192"/>
      <c r="DV24" s="1192"/>
      <c r="DW24" s="1192"/>
      <c r="DX24" s="1192"/>
      <c r="DY24" s="1192"/>
      <c r="DZ24" s="1192"/>
      <c r="EA24" s="1192"/>
      <c r="EB24" s="1192"/>
      <c r="EC24" s="1192"/>
      <c r="ED24" s="1192"/>
      <c r="EE24" s="1192"/>
      <c r="EF24" s="1192"/>
      <c r="EG24" s="1192"/>
      <c r="EH24" s="1192"/>
      <c r="EI24" s="1192"/>
      <c r="EJ24" s="1192"/>
      <c r="EK24" s="1192"/>
      <c r="EL24" s="1192"/>
      <c r="EM24" s="1192"/>
      <c r="EN24" s="1192"/>
      <c r="EO24" s="1192"/>
      <c r="EP24" s="1192"/>
      <c r="EQ24" s="1192"/>
      <c r="ER24" s="1192"/>
      <c r="ES24" s="1192"/>
      <c r="ET24" s="1192"/>
    </row>
    <row r="25" spans="3:233" ht="12" customHeight="1">
      <c r="C25" s="497"/>
      <c r="Q25" s="8"/>
      <c r="BX25" s="499"/>
      <c r="BZ25" s="1192"/>
      <c r="CA25" s="1192"/>
      <c r="CB25" s="1192"/>
      <c r="CC25" s="1192"/>
      <c r="CD25" s="1192"/>
      <c r="CE25" s="1192"/>
      <c r="CF25" s="1192"/>
      <c r="CG25" s="1192"/>
      <c r="CH25" s="1192"/>
      <c r="CI25" s="1192"/>
      <c r="CJ25" s="1192"/>
      <c r="CK25" s="1192"/>
      <c r="CL25" s="1192"/>
      <c r="CM25" s="1192"/>
      <c r="CN25" s="1192"/>
      <c r="CO25" s="1192"/>
      <c r="CP25" s="1192"/>
      <c r="CQ25" s="1192"/>
      <c r="CR25" s="1192"/>
      <c r="CS25" s="1192"/>
      <c r="CT25" s="1192"/>
      <c r="CU25" s="1192"/>
      <c r="CV25" s="1192"/>
      <c r="CW25" s="1192"/>
      <c r="CX25" s="1192"/>
      <c r="CY25" s="1192"/>
      <c r="CZ25" s="1192"/>
      <c r="DA25" s="1192"/>
      <c r="DB25" s="1192"/>
      <c r="DC25" s="1192"/>
      <c r="DD25" s="1192"/>
      <c r="DE25" s="1192"/>
      <c r="DF25" s="1192"/>
      <c r="DG25" s="1192"/>
      <c r="DH25" s="1192"/>
      <c r="DI25" s="1192"/>
      <c r="DJ25" s="1192"/>
      <c r="DK25" s="1192"/>
      <c r="DL25" s="1192"/>
      <c r="DM25" s="1192"/>
      <c r="DN25" s="1192"/>
      <c r="DO25" s="1192"/>
      <c r="DP25" s="1192"/>
      <c r="DQ25" s="495"/>
      <c r="DR25" s="495"/>
      <c r="DS25" s="495"/>
      <c r="DT25" s="496"/>
      <c r="DU25" s="496"/>
      <c r="DV25" s="496"/>
      <c r="DW25" s="496"/>
      <c r="DX25" s="496"/>
      <c r="DY25" s="496"/>
      <c r="DZ25" s="496"/>
      <c r="EA25" s="496"/>
      <c r="EB25" s="496"/>
      <c r="EC25" s="496"/>
      <c r="ED25" s="496"/>
      <c r="EE25" s="496"/>
      <c r="EF25" s="494"/>
      <c r="EG25" s="496"/>
      <c r="EH25" s="496"/>
      <c r="EI25" s="496"/>
      <c r="EJ25" s="496"/>
      <c r="EK25" s="496"/>
      <c r="EL25" s="1188"/>
      <c r="EM25" s="1188"/>
      <c r="EN25" s="1188"/>
      <c r="EO25" s="1188"/>
      <c r="EP25" s="1188"/>
      <c r="EQ25" s="1188"/>
      <c r="ER25" s="1188"/>
      <c r="ES25" s="1188"/>
      <c r="ET25" s="1188"/>
    </row>
    <row r="26" spans="3:233" ht="12" customHeight="1">
      <c r="C26" s="50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09"/>
      <c r="BZ26" s="1192"/>
      <c r="CA26" s="1192"/>
      <c r="CB26" s="1192"/>
      <c r="CC26" s="1192"/>
      <c r="CD26" s="1192"/>
      <c r="CE26" s="1192"/>
      <c r="CF26" s="1192"/>
      <c r="CG26" s="1192"/>
      <c r="CH26" s="1192"/>
      <c r="CI26" s="1192"/>
      <c r="CJ26" s="1192"/>
      <c r="CK26" s="1192"/>
      <c r="CL26" s="1192"/>
      <c r="CM26" s="1192"/>
      <c r="CN26" s="1192"/>
      <c r="CO26" s="1192"/>
      <c r="CP26" s="1192"/>
      <c r="CQ26" s="1192"/>
      <c r="CR26" s="1192"/>
      <c r="CS26" s="1192"/>
      <c r="CT26" s="1192"/>
      <c r="CU26" s="1192"/>
      <c r="CV26" s="1192"/>
      <c r="CW26" s="1192"/>
      <c r="CX26" s="1192"/>
      <c r="CY26" s="1192"/>
      <c r="CZ26" s="1192"/>
      <c r="DA26" s="1192"/>
      <c r="DB26" s="1192"/>
      <c r="DC26" s="1192"/>
      <c r="DD26" s="1192"/>
      <c r="DE26" s="1192"/>
      <c r="DF26" s="1192"/>
      <c r="DG26" s="1192"/>
      <c r="DH26" s="1192"/>
      <c r="DI26" s="1192"/>
      <c r="DJ26" s="1192"/>
      <c r="DK26" s="1192"/>
      <c r="DL26" s="1192"/>
      <c r="DM26" s="1192"/>
      <c r="DN26" s="1192"/>
      <c r="DO26" s="1192"/>
      <c r="DP26" s="1192"/>
      <c r="DQ26" s="1188"/>
      <c r="DR26" s="1188"/>
      <c r="DS26" s="1188"/>
      <c r="DT26" s="1188"/>
      <c r="DU26" s="1188"/>
      <c r="DV26" s="1188"/>
      <c r="DW26" s="1188"/>
      <c r="DX26" s="1188"/>
      <c r="DY26" s="1188"/>
      <c r="DZ26" s="1188"/>
      <c r="EA26" s="1188"/>
      <c r="EB26" s="1188"/>
      <c r="EC26" s="1188"/>
      <c r="ED26" s="1188"/>
      <c r="EE26" s="1188"/>
      <c r="EF26" s="1188"/>
      <c r="EG26" s="1188"/>
      <c r="EH26" s="1188"/>
      <c r="EI26" s="1188"/>
      <c r="EJ26" s="1188"/>
      <c r="EK26" s="1188"/>
      <c r="EL26" s="1188"/>
      <c r="EM26" s="1188"/>
      <c r="EN26" s="1188"/>
      <c r="EO26" s="1188"/>
      <c r="EP26" s="1188"/>
      <c r="EQ26" s="1188"/>
      <c r="ER26" s="1188"/>
      <c r="ES26" s="1188"/>
      <c r="ET26" s="1188"/>
    </row>
    <row r="27" spans="3:233" ht="12" customHeight="1">
      <c r="C27" s="497"/>
      <c r="D27" s="8" t="s">
        <v>717</v>
      </c>
      <c r="J27" s="502" t="s">
        <v>718</v>
      </c>
      <c r="K27" s="503"/>
      <c r="L27" s="503"/>
      <c r="M27" s="503"/>
      <c r="N27" s="484"/>
      <c r="O27" s="486" t="s">
        <v>719</v>
      </c>
      <c r="P27" s="486"/>
      <c r="Q27" s="486"/>
      <c r="R27" s="486"/>
      <c r="S27" s="486"/>
      <c r="T27" s="487"/>
      <c r="AD27" s="8" t="s">
        <v>720</v>
      </c>
      <c r="AH27" s="502"/>
      <c r="AI27" s="503"/>
      <c r="AJ27" s="503"/>
      <c r="AK27" s="503"/>
      <c r="AL27" s="504"/>
      <c r="AO27" s="8" t="s">
        <v>235</v>
      </c>
      <c r="AS27" s="506"/>
      <c r="AT27" s="503"/>
      <c r="AU27" s="503"/>
      <c r="AV27" s="503"/>
      <c r="AW27" s="503"/>
      <c r="AX27" s="504"/>
      <c r="BX27" s="499"/>
      <c r="BZ27" s="1192"/>
      <c r="CA27" s="1192"/>
      <c r="CB27" s="1192"/>
      <c r="CC27" s="1192"/>
      <c r="CD27" s="1192"/>
      <c r="CE27" s="1192"/>
      <c r="CF27" s="1192"/>
      <c r="CG27" s="1192"/>
      <c r="CH27" s="1192"/>
      <c r="CI27" s="1192"/>
      <c r="CJ27" s="1192"/>
      <c r="CK27" s="1192"/>
      <c r="CL27" s="1192"/>
      <c r="CM27" s="1192"/>
      <c r="CN27" s="1192"/>
      <c r="CO27" s="1192"/>
      <c r="CP27" s="1192"/>
      <c r="CQ27" s="1192"/>
      <c r="CR27" s="1192"/>
      <c r="CS27" s="1192"/>
      <c r="CT27" s="1192"/>
      <c r="CU27" s="1192"/>
      <c r="CV27" s="1192"/>
      <c r="CW27" s="1192"/>
      <c r="CX27" s="1192"/>
      <c r="CY27" s="1192"/>
      <c r="CZ27" s="1192"/>
      <c r="DA27" s="1192"/>
      <c r="DB27" s="1192"/>
      <c r="DC27" s="1192"/>
      <c r="DD27" s="1192"/>
      <c r="DE27" s="1192"/>
      <c r="DF27" s="1192"/>
      <c r="DG27" s="1192"/>
      <c r="DH27" s="1192"/>
      <c r="DI27" s="1192"/>
      <c r="DJ27" s="1192"/>
      <c r="DK27" s="1192"/>
      <c r="DL27" s="1192"/>
      <c r="DM27" s="1192"/>
      <c r="DN27" s="1192"/>
      <c r="DO27" s="1192"/>
      <c r="DP27" s="1192"/>
      <c r="DQ27" s="1188"/>
      <c r="DR27" s="1188"/>
      <c r="DS27" s="1188"/>
      <c r="DT27" s="1188"/>
      <c r="DU27" s="1188"/>
      <c r="DV27" s="1188"/>
      <c r="DW27" s="1188"/>
      <c r="DX27" s="1188"/>
      <c r="DY27" s="1188"/>
      <c r="DZ27" s="1188"/>
      <c r="EA27" s="1188"/>
      <c r="EB27" s="1188"/>
      <c r="EC27" s="1188"/>
      <c r="ED27" s="1188"/>
      <c r="EE27" s="1188"/>
      <c r="EF27" s="1188"/>
      <c r="EG27" s="1188"/>
      <c r="EH27" s="1188"/>
      <c r="EI27" s="1188"/>
      <c r="EJ27" s="1188"/>
      <c r="EK27" s="1188"/>
      <c r="EL27" s="1188"/>
      <c r="EM27" s="1188"/>
      <c r="EN27" s="1188"/>
      <c r="EO27" s="1188"/>
      <c r="EP27" s="1188"/>
      <c r="EQ27" s="1188"/>
      <c r="ER27" s="1188"/>
      <c r="ES27" s="1188"/>
      <c r="ET27" s="1188"/>
    </row>
    <row r="28" spans="3:233" ht="12" customHeight="1">
      <c r="C28" s="497"/>
      <c r="D28" s="8" t="s">
        <v>697</v>
      </c>
      <c r="J28" s="502"/>
      <c r="K28" s="503"/>
      <c r="L28" s="503"/>
      <c r="M28" s="503"/>
      <c r="N28" s="503"/>
      <c r="O28" s="504"/>
      <c r="P28" s="505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7"/>
      <c r="AD28" s="8" t="s">
        <v>721</v>
      </c>
      <c r="AH28" s="502"/>
      <c r="AI28" s="503"/>
      <c r="AJ28" s="503"/>
      <c r="AK28" s="503"/>
      <c r="AL28" s="504"/>
      <c r="AO28" s="8" t="s">
        <v>722</v>
      </c>
      <c r="AS28" s="506"/>
      <c r="AT28" s="503"/>
      <c r="AU28" s="503"/>
      <c r="AV28" s="503"/>
      <c r="AW28" s="503"/>
      <c r="AX28" s="504"/>
      <c r="BE28" s="510"/>
      <c r="BX28" s="499"/>
      <c r="BZ28" s="1192"/>
      <c r="CA28" s="1192"/>
      <c r="CB28" s="1192"/>
      <c r="CC28" s="1192"/>
      <c r="CD28" s="1192"/>
      <c r="CE28" s="1192"/>
      <c r="CF28" s="1192"/>
      <c r="CG28" s="1192"/>
      <c r="CH28" s="1192"/>
      <c r="CI28" s="1192"/>
      <c r="CJ28" s="1192"/>
      <c r="CK28" s="1192"/>
      <c r="CL28" s="1192"/>
      <c r="CM28" s="1192"/>
      <c r="CN28" s="1192"/>
      <c r="CO28" s="1192"/>
      <c r="CP28" s="1192"/>
      <c r="CQ28" s="1192"/>
      <c r="CR28" s="1192"/>
      <c r="CS28" s="1192"/>
      <c r="CT28" s="1192"/>
      <c r="CU28" s="1192"/>
      <c r="CV28" s="1192"/>
      <c r="CW28" s="1192"/>
      <c r="CX28" s="1192"/>
      <c r="CY28" s="1192"/>
      <c r="CZ28" s="1192"/>
      <c r="DA28" s="1192"/>
      <c r="DB28" s="1192"/>
      <c r="DC28" s="1192"/>
      <c r="DD28" s="1192"/>
      <c r="DE28" s="1192"/>
      <c r="DF28" s="1192"/>
      <c r="DG28" s="1192"/>
      <c r="DH28" s="1192"/>
      <c r="DI28" s="1192"/>
      <c r="DJ28" s="1192"/>
      <c r="DK28" s="1192"/>
      <c r="DL28" s="1192"/>
      <c r="DM28" s="1192"/>
      <c r="DN28" s="1192"/>
      <c r="DO28" s="1192"/>
      <c r="DP28" s="1192"/>
      <c r="DQ28" s="495"/>
      <c r="DR28" s="495"/>
      <c r="DS28" s="495"/>
      <c r="DT28" s="496"/>
      <c r="DU28" s="496"/>
      <c r="DV28" s="496"/>
      <c r="DW28" s="496"/>
      <c r="DX28" s="496"/>
      <c r="DY28" s="496"/>
      <c r="DZ28" s="496"/>
      <c r="EA28" s="496"/>
      <c r="EB28" s="496"/>
      <c r="EC28" s="496"/>
      <c r="ED28" s="496"/>
      <c r="EE28" s="496"/>
      <c r="EF28" s="496"/>
      <c r="EG28" s="496"/>
      <c r="EH28" s="496"/>
      <c r="EI28" s="496"/>
      <c r="EJ28" s="496"/>
      <c r="EK28" s="496"/>
      <c r="EL28" s="496"/>
      <c r="EM28" s="496"/>
      <c r="EN28" s="496"/>
      <c r="EO28" s="496"/>
      <c r="EP28" s="496"/>
      <c r="EQ28" s="496"/>
      <c r="ER28" s="496"/>
      <c r="ES28" s="496"/>
      <c r="ET28" s="496"/>
      <c r="FE28" s="500" t="s">
        <v>712</v>
      </c>
      <c r="FF28" s="500"/>
      <c r="FR28" s="501" t="s">
        <v>723</v>
      </c>
      <c r="GN28" s="500" t="s">
        <v>714</v>
      </c>
    </row>
    <row r="29" spans="3:233" ht="12" customHeight="1">
      <c r="C29" s="497"/>
      <c r="Q29" s="8"/>
      <c r="BX29" s="499"/>
      <c r="BZ29" s="1192"/>
      <c r="CA29" s="1192"/>
      <c r="CB29" s="1192"/>
      <c r="CC29" s="1192"/>
      <c r="CD29" s="1192"/>
      <c r="CE29" s="1192"/>
      <c r="CF29" s="1192"/>
      <c r="CG29" s="1192"/>
      <c r="CH29" s="1192"/>
      <c r="CI29" s="1192"/>
      <c r="CJ29" s="1192"/>
      <c r="CK29" s="1192"/>
      <c r="CL29" s="1192"/>
      <c r="CM29" s="1192"/>
      <c r="CN29" s="1192"/>
      <c r="CO29" s="1192"/>
      <c r="CP29" s="1192"/>
      <c r="CQ29" s="1192"/>
      <c r="CR29" s="1192"/>
      <c r="CS29" s="1192"/>
      <c r="CT29" s="1192"/>
      <c r="CU29" s="1192"/>
      <c r="CV29" s="1192"/>
      <c r="CW29" s="1192"/>
      <c r="CX29" s="1192"/>
      <c r="CY29" s="1192"/>
      <c r="CZ29" s="1192"/>
      <c r="DA29" s="1192"/>
      <c r="DB29" s="1192"/>
      <c r="DC29" s="1192"/>
      <c r="DD29" s="1192"/>
      <c r="DE29" s="1192"/>
      <c r="DF29" s="1192"/>
      <c r="DG29" s="1192"/>
      <c r="DH29" s="1192"/>
      <c r="DI29" s="1192"/>
      <c r="DJ29" s="1192"/>
      <c r="DK29" s="1192"/>
      <c r="DL29" s="1192"/>
      <c r="DM29" s="1192"/>
      <c r="DN29" s="1192"/>
      <c r="DO29" s="1192"/>
      <c r="DP29" s="1192"/>
      <c r="DQ29" s="495"/>
      <c r="DR29" s="495"/>
      <c r="DS29" s="495"/>
      <c r="DT29" s="495"/>
      <c r="DU29" s="495"/>
      <c r="DV29" s="495"/>
      <c r="DW29" s="495"/>
      <c r="DX29" s="495"/>
      <c r="DY29" s="495"/>
      <c r="DZ29" s="495"/>
      <c r="EA29" s="495"/>
      <c r="EB29" s="495"/>
      <c r="EC29" s="495"/>
      <c r="ED29" s="495"/>
      <c r="EE29" s="495"/>
      <c r="EF29" s="495"/>
      <c r="EG29" s="495"/>
      <c r="EH29" s="495"/>
      <c r="EI29" s="495"/>
      <c r="EJ29" s="495"/>
      <c r="EK29" s="495"/>
      <c r="EL29" s="495"/>
      <c r="EM29" s="495"/>
      <c r="EN29" s="495"/>
      <c r="EO29" s="495"/>
      <c r="EP29" s="495"/>
      <c r="EQ29" s="495"/>
      <c r="ER29" s="495"/>
      <c r="ES29" s="495"/>
      <c r="ET29" s="495"/>
      <c r="EU29" s="501"/>
      <c r="EV29" s="501"/>
      <c r="EW29" s="501"/>
      <c r="EX29" s="501"/>
      <c r="EY29" s="501"/>
      <c r="EZ29" s="501"/>
      <c r="FA29" s="501"/>
      <c r="FB29" s="501"/>
      <c r="FC29" s="501"/>
      <c r="FD29" s="501"/>
      <c r="FU29" s="500" t="s">
        <v>724</v>
      </c>
      <c r="GQ29" s="501" t="s">
        <v>725</v>
      </c>
      <c r="HY29" s="500" t="s">
        <v>714</v>
      </c>
    </row>
    <row r="30" spans="3:233" ht="12" customHeight="1">
      <c r="C30" s="497"/>
      <c r="D30" s="8" t="s">
        <v>726</v>
      </c>
      <c r="J30" s="511"/>
      <c r="K30" s="503"/>
      <c r="L30" s="503"/>
      <c r="M30" s="503"/>
      <c r="N30" s="503"/>
      <c r="O30" s="503"/>
      <c r="P30" s="503"/>
      <c r="Q30" s="503"/>
      <c r="R30" s="503"/>
      <c r="S30" s="504"/>
      <c r="W30" s="8" t="s">
        <v>727</v>
      </c>
      <c r="AC30" s="511"/>
      <c r="AD30" s="503"/>
      <c r="AE30" s="503"/>
      <c r="AF30" s="503"/>
      <c r="AG30" s="503"/>
      <c r="AH30" s="503"/>
      <c r="AI30" s="503"/>
      <c r="AJ30" s="503"/>
      <c r="AK30" s="503"/>
      <c r="AL30" s="504"/>
      <c r="AO30" s="8" t="s">
        <v>728</v>
      </c>
      <c r="AS30" s="511"/>
      <c r="AT30" s="503"/>
      <c r="AU30" s="503"/>
      <c r="AV30" s="503"/>
      <c r="AW30" s="503"/>
      <c r="AX30" s="503"/>
      <c r="AY30" s="503"/>
      <c r="AZ30" s="503"/>
      <c r="BA30" s="503"/>
      <c r="BB30" s="504"/>
      <c r="BC30" s="8" t="s">
        <v>729</v>
      </c>
      <c r="BX30" s="499"/>
      <c r="BZ30" s="1192"/>
      <c r="CA30" s="1192"/>
      <c r="CB30" s="1192"/>
      <c r="CC30" s="1192"/>
      <c r="CD30" s="1192"/>
      <c r="CE30" s="1192"/>
      <c r="CF30" s="1192"/>
      <c r="CG30" s="1192"/>
      <c r="CH30" s="1192"/>
      <c r="CI30" s="1192"/>
      <c r="CJ30" s="1192"/>
      <c r="CK30" s="1192"/>
      <c r="CL30" s="1192"/>
      <c r="CM30" s="1192"/>
      <c r="CN30" s="1192"/>
      <c r="CO30" s="1192"/>
      <c r="CP30" s="1192"/>
      <c r="CQ30" s="1192"/>
      <c r="CR30" s="1192"/>
      <c r="CS30" s="1192"/>
      <c r="CT30" s="1192"/>
      <c r="CU30" s="1192"/>
      <c r="CV30" s="1192"/>
      <c r="CW30" s="1192"/>
      <c r="CX30" s="1192"/>
      <c r="CY30" s="1192"/>
      <c r="CZ30" s="1192"/>
      <c r="DA30" s="1192"/>
      <c r="DB30" s="1192"/>
      <c r="DC30" s="1192"/>
      <c r="DD30" s="1192"/>
      <c r="DE30" s="1192"/>
      <c r="DF30" s="1192"/>
      <c r="DG30" s="1192"/>
      <c r="DH30" s="1192"/>
      <c r="DI30" s="1192"/>
      <c r="DJ30" s="1192"/>
      <c r="DK30" s="1192"/>
      <c r="DL30" s="1192"/>
      <c r="DM30" s="1192"/>
      <c r="DN30" s="1192"/>
      <c r="DO30" s="1192"/>
      <c r="DP30" s="1192"/>
      <c r="DQ30" s="495"/>
      <c r="DR30" s="495"/>
      <c r="DS30" s="495"/>
      <c r="DT30" s="495"/>
      <c r="DU30" s="495"/>
      <c r="DV30" s="495"/>
      <c r="DW30" s="495"/>
      <c r="DX30" s="495"/>
      <c r="DY30" s="495"/>
      <c r="DZ30" s="495"/>
      <c r="EA30" s="495"/>
      <c r="EB30" s="495"/>
      <c r="EC30" s="495"/>
      <c r="ED30" s="495"/>
      <c r="EE30" s="495"/>
      <c r="EF30" s="495"/>
      <c r="EG30" s="495"/>
      <c r="EH30" s="495"/>
      <c r="EI30" s="495"/>
      <c r="EJ30" s="495"/>
      <c r="EK30" s="495"/>
      <c r="EL30" s="495"/>
      <c r="EM30" s="495"/>
      <c r="EN30" s="495"/>
      <c r="EO30" s="495"/>
      <c r="EP30" s="495"/>
      <c r="EQ30" s="495"/>
      <c r="ER30" s="495"/>
      <c r="ES30" s="495"/>
      <c r="ET30" s="495"/>
      <c r="EU30" s="501"/>
      <c r="EV30" s="501"/>
      <c r="EW30" s="501"/>
      <c r="EX30" s="501"/>
      <c r="EY30" s="494" t="s">
        <v>730</v>
      </c>
      <c r="EZ30" s="501"/>
      <c r="FA30" s="501"/>
      <c r="FB30" s="501"/>
      <c r="FC30" s="501"/>
      <c r="FD30" s="501"/>
      <c r="FE30" s="501"/>
      <c r="FF30" s="501"/>
      <c r="FG30" s="501"/>
      <c r="FH30" s="501"/>
      <c r="FI30" s="501"/>
      <c r="FJ30" s="501"/>
      <c r="FK30" s="501"/>
      <c r="FL30" s="501"/>
      <c r="FM30" s="501"/>
      <c r="FN30" s="501"/>
      <c r="FO30" s="501"/>
      <c r="FP30" s="501"/>
      <c r="FQ30" s="501"/>
      <c r="FR30" s="501"/>
      <c r="FS30" s="501"/>
      <c r="FT30" s="501"/>
      <c r="FU30" s="501"/>
      <c r="FV30" s="501"/>
      <c r="FW30" s="501"/>
    </row>
    <row r="31" spans="3:233" ht="12" customHeight="1">
      <c r="C31" s="497"/>
      <c r="D31" s="8" t="s">
        <v>731</v>
      </c>
      <c r="J31" s="511"/>
      <c r="K31" s="503"/>
      <c r="L31" s="503"/>
      <c r="M31" s="503"/>
      <c r="N31" s="484"/>
      <c r="O31" s="486"/>
      <c r="P31" s="486"/>
      <c r="Q31" s="486"/>
      <c r="R31" s="486"/>
      <c r="S31" s="486"/>
      <c r="T31" s="487"/>
      <c r="W31" s="8" t="s">
        <v>732</v>
      </c>
      <c r="AC31" s="506"/>
      <c r="AD31" s="503"/>
      <c r="AE31" s="503"/>
      <c r="AF31" s="504"/>
      <c r="AH31" s="506"/>
      <c r="AI31" s="503"/>
      <c r="AJ31" s="503"/>
      <c r="AK31" s="504"/>
      <c r="AL31" s="512"/>
      <c r="BX31" s="499"/>
      <c r="BZ31" s="1192"/>
      <c r="CA31" s="1192"/>
      <c r="CB31" s="1192"/>
      <c r="CC31" s="1192"/>
      <c r="CD31" s="1192"/>
      <c r="CE31" s="1192"/>
      <c r="CF31" s="1192"/>
      <c r="CG31" s="1192"/>
      <c r="CH31" s="1192"/>
      <c r="CI31" s="1192"/>
      <c r="CJ31" s="1192"/>
      <c r="CK31" s="1192"/>
      <c r="CL31" s="1192"/>
      <c r="CM31" s="1192"/>
      <c r="CN31" s="1192"/>
      <c r="CO31" s="1192"/>
      <c r="CP31" s="1192"/>
      <c r="CQ31" s="1192"/>
      <c r="CR31" s="1192"/>
      <c r="CS31" s="1192"/>
      <c r="CT31" s="1192"/>
      <c r="CU31" s="1192"/>
      <c r="CV31" s="1192"/>
      <c r="CW31" s="1192"/>
      <c r="CX31" s="1192"/>
      <c r="CY31" s="1192"/>
      <c r="CZ31" s="1192"/>
      <c r="DA31" s="1192"/>
      <c r="DB31" s="1192"/>
      <c r="DC31" s="1192"/>
      <c r="DD31" s="1192"/>
      <c r="DE31" s="1192"/>
      <c r="DF31" s="1192"/>
      <c r="DG31" s="1192"/>
      <c r="DH31" s="1192"/>
      <c r="DI31" s="1192"/>
      <c r="DJ31" s="1192"/>
      <c r="DK31" s="1192"/>
      <c r="DL31" s="1192"/>
      <c r="DM31" s="1192"/>
      <c r="DN31" s="1192"/>
      <c r="DO31" s="1192"/>
      <c r="DP31" s="1192"/>
      <c r="DQ31" s="495"/>
      <c r="DR31" s="496"/>
      <c r="DS31" s="496"/>
      <c r="DT31" s="496"/>
      <c r="DU31" s="496"/>
      <c r="DV31" s="496"/>
      <c r="DW31" s="496"/>
      <c r="DX31" s="496"/>
      <c r="DY31" s="496"/>
      <c r="DZ31" s="496"/>
      <c r="EA31" s="496"/>
      <c r="EB31" s="496"/>
      <c r="EC31" s="496"/>
      <c r="ED31" s="496"/>
      <c r="EE31" s="496"/>
      <c r="EF31" s="496"/>
      <c r="EG31" s="496"/>
      <c r="EH31" s="496"/>
      <c r="EI31" s="496"/>
      <c r="EJ31" s="496"/>
      <c r="EK31" s="496"/>
      <c r="EL31" s="496"/>
      <c r="EM31" s="496"/>
      <c r="EN31" s="496"/>
      <c r="EO31" s="496"/>
      <c r="EP31" s="496"/>
      <c r="EQ31" s="496"/>
      <c r="ER31" s="496"/>
      <c r="ES31" s="496"/>
      <c r="ET31" s="496"/>
      <c r="FD31" s="500" t="s">
        <v>714</v>
      </c>
    </row>
    <row r="32" spans="3:233" ht="12" customHeight="1">
      <c r="C32" s="497"/>
      <c r="Q32" s="8"/>
      <c r="BX32" s="499"/>
      <c r="BZ32" s="496"/>
      <c r="CA32" s="1188"/>
      <c r="CB32" s="1188"/>
      <c r="CC32" s="1188"/>
      <c r="CD32" s="1188"/>
      <c r="CE32" s="1188"/>
      <c r="CF32" s="1188"/>
      <c r="CG32" s="1188"/>
      <c r="CH32" s="1188"/>
      <c r="CI32" s="1188"/>
      <c r="CJ32" s="1188"/>
      <c r="CK32" s="1188"/>
      <c r="CL32" s="1188"/>
      <c r="CM32" s="1188"/>
      <c r="CN32" s="1188"/>
      <c r="CO32" s="1188"/>
      <c r="CP32" s="1188"/>
      <c r="CQ32" s="1188"/>
      <c r="CR32" s="1188"/>
      <c r="CS32" s="1188"/>
      <c r="CT32" s="1188"/>
      <c r="CU32" s="1188"/>
      <c r="CV32" s="1188"/>
      <c r="CW32" s="1188"/>
      <c r="CX32" s="1188"/>
      <c r="CY32" s="1188"/>
      <c r="CZ32" s="1188"/>
      <c r="DA32" s="1188"/>
      <c r="DB32" s="1188"/>
      <c r="DC32" s="1188"/>
      <c r="DD32" s="1188"/>
      <c r="DE32" s="1188"/>
      <c r="DF32" s="1188"/>
      <c r="DG32" s="1188"/>
      <c r="DH32" s="1188"/>
      <c r="DI32" s="1188"/>
      <c r="DJ32" s="1188"/>
      <c r="DK32" s="1188"/>
      <c r="DL32" s="1188"/>
      <c r="DM32" s="1188"/>
      <c r="DN32" s="1188"/>
      <c r="DO32" s="1188"/>
      <c r="DP32" s="1188"/>
      <c r="DQ32" s="1188"/>
      <c r="DR32" s="1188"/>
      <c r="DS32" s="1188"/>
      <c r="DT32" s="1188"/>
      <c r="DU32" s="1188"/>
      <c r="DV32" s="1188"/>
      <c r="DW32" s="1188"/>
      <c r="DX32" s="1188"/>
      <c r="DY32" s="1188"/>
      <c r="DZ32" s="1188"/>
      <c r="EA32" s="1188"/>
      <c r="EB32" s="1188"/>
      <c r="EC32" s="1188"/>
      <c r="ED32" s="1188"/>
      <c r="EE32" s="1188"/>
      <c r="EF32" s="1188"/>
      <c r="EG32" s="1188"/>
      <c r="EH32" s="1188"/>
      <c r="EI32" s="1188"/>
      <c r="EJ32" s="1188"/>
      <c r="EK32" s="1188"/>
      <c r="EL32" s="1188"/>
      <c r="EM32" s="1188"/>
      <c r="EN32" s="1188"/>
      <c r="EO32" s="1188"/>
      <c r="EP32" s="1188"/>
      <c r="EQ32" s="1188"/>
      <c r="ER32" s="1188"/>
      <c r="ES32" s="1188"/>
      <c r="ET32" s="1188"/>
    </row>
    <row r="33" spans="3:204" ht="12" customHeight="1">
      <c r="C33" s="497"/>
      <c r="D33" s="8" t="s">
        <v>733</v>
      </c>
      <c r="J33" s="506"/>
      <c r="K33" s="503"/>
      <c r="L33" s="503"/>
      <c r="M33" s="504"/>
      <c r="N33" s="512"/>
      <c r="Q33" s="8"/>
      <c r="BX33" s="499"/>
      <c r="BZ33" s="1192"/>
      <c r="CA33" s="1192"/>
      <c r="CB33" s="1192"/>
      <c r="CC33" s="1192"/>
      <c r="CD33" s="1192"/>
      <c r="CE33" s="1192"/>
      <c r="CF33" s="1192"/>
      <c r="CG33" s="1192"/>
      <c r="CH33" s="1192"/>
      <c r="CI33" s="1192"/>
      <c r="CJ33" s="1192"/>
      <c r="CK33" s="1192"/>
      <c r="CL33" s="1192"/>
      <c r="CM33" s="1192"/>
      <c r="CN33" s="1192"/>
      <c r="CO33" s="1192"/>
      <c r="CP33" s="1192"/>
      <c r="CQ33" s="1192"/>
      <c r="CR33" s="1192"/>
      <c r="CS33" s="1192"/>
      <c r="CT33" s="1192"/>
      <c r="CU33" s="1192"/>
      <c r="CV33" s="1192"/>
      <c r="CW33" s="1192"/>
      <c r="CX33" s="1192"/>
      <c r="CY33" s="1192"/>
      <c r="CZ33" s="1192"/>
      <c r="DA33" s="1192"/>
      <c r="DB33" s="1192"/>
      <c r="DC33" s="1192"/>
      <c r="DD33" s="1192"/>
      <c r="DE33" s="1192"/>
      <c r="DF33" s="1192"/>
      <c r="DG33" s="1192"/>
      <c r="DH33" s="1192"/>
      <c r="DI33" s="1192"/>
      <c r="DJ33" s="1192"/>
      <c r="DK33" s="1192"/>
      <c r="DL33" s="1192"/>
      <c r="DM33" s="1192"/>
      <c r="DN33" s="1192"/>
      <c r="DO33" s="1192"/>
      <c r="DP33" s="1192"/>
      <c r="DQ33" s="495"/>
      <c r="DR33" s="496"/>
      <c r="DS33" s="496"/>
      <c r="DT33" s="496"/>
      <c r="DU33" s="496"/>
      <c r="DV33" s="496"/>
      <c r="DW33" s="496"/>
      <c r="DX33" s="496"/>
      <c r="DY33" s="496"/>
      <c r="DZ33" s="496"/>
      <c r="EA33" s="496"/>
      <c r="EB33" s="496"/>
      <c r="EC33" s="496"/>
      <c r="ED33" s="496"/>
      <c r="EE33" s="496"/>
      <c r="EF33" s="496"/>
      <c r="EG33" s="496"/>
      <c r="EH33" s="496"/>
      <c r="EI33" s="496"/>
      <c r="EJ33" s="494"/>
      <c r="EK33" s="496"/>
      <c r="EL33" s="496"/>
      <c r="EM33" s="496"/>
      <c r="EN33" s="496"/>
      <c r="EO33" s="496"/>
      <c r="EP33" s="496"/>
      <c r="EQ33" s="496"/>
      <c r="ER33" s="496"/>
      <c r="ES33" s="496"/>
      <c r="ET33" s="496"/>
    </row>
    <row r="34" spans="3:204" ht="12" customHeight="1">
      <c r="C34" s="497"/>
      <c r="Q34" s="8"/>
      <c r="BX34" s="499"/>
      <c r="BZ34" s="1192"/>
      <c r="CA34" s="1192"/>
      <c r="CB34" s="1192"/>
      <c r="CC34" s="1192"/>
      <c r="CD34" s="1192"/>
      <c r="CE34" s="1192"/>
      <c r="CF34" s="1192"/>
      <c r="CG34" s="1192"/>
      <c r="CH34" s="1192"/>
      <c r="CI34" s="1192"/>
      <c r="CJ34" s="1192"/>
      <c r="CK34" s="1192"/>
      <c r="CL34" s="1192"/>
      <c r="CM34" s="1192"/>
      <c r="CN34" s="1192"/>
      <c r="CO34" s="1192"/>
      <c r="CP34" s="1192"/>
      <c r="CQ34" s="1192"/>
      <c r="CR34" s="1192"/>
      <c r="CS34" s="1192"/>
      <c r="CT34" s="1192"/>
      <c r="CU34" s="1192"/>
      <c r="CV34" s="1192"/>
      <c r="CW34" s="1192"/>
      <c r="CX34" s="1192"/>
      <c r="CY34" s="1192"/>
      <c r="CZ34" s="1192"/>
      <c r="DA34" s="1192"/>
      <c r="DB34" s="1192"/>
      <c r="DC34" s="1192"/>
      <c r="DD34" s="1192"/>
      <c r="DE34" s="1192"/>
      <c r="DF34" s="1192"/>
      <c r="DG34" s="1192"/>
      <c r="DH34" s="1192"/>
      <c r="DI34" s="1192"/>
      <c r="DJ34" s="1192"/>
      <c r="DK34" s="1192"/>
      <c r="DL34" s="1192"/>
      <c r="DM34" s="1192"/>
      <c r="DN34" s="1192"/>
      <c r="DO34" s="1192"/>
      <c r="DP34" s="1192"/>
      <c r="DQ34" s="495"/>
      <c r="DR34" s="496"/>
      <c r="DS34" s="496"/>
      <c r="DT34" s="496"/>
      <c r="DU34" s="496"/>
      <c r="DV34" s="496"/>
      <c r="DW34" s="496"/>
      <c r="DX34" s="496"/>
      <c r="DY34" s="496"/>
      <c r="DZ34" s="496"/>
      <c r="EA34" s="496"/>
      <c r="EB34" s="496"/>
      <c r="EC34" s="496"/>
      <c r="ED34" s="496"/>
      <c r="EE34" s="496"/>
      <c r="EF34" s="496"/>
      <c r="EG34" s="496"/>
      <c r="EH34" s="496"/>
      <c r="EI34" s="496"/>
      <c r="EJ34" s="494"/>
      <c r="EK34" s="496"/>
      <c r="EL34" s="496"/>
      <c r="EM34" s="496"/>
      <c r="EN34" s="496"/>
      <c r="EO34" s="496"/>
      <c r="EP34" s="496"/>
      <c r="EQ34" s="496"/>
      <c r="ER34" s="496"/>
      <c r="ES34" s="496"/>
      <c r="ET34" s="496"/>
    </row>
    <row r="35" spans="3:204" ht="12" customHeight="1">
      <c r="C35" s="513"/>
      <c r="D35" s="514" t="s">
        <v>734</v>
      </c>
      <c r="E35" s="515"/>
      <c r="F35" s="515"/>
      <c r="G35" s="515"/>
      <c r="H35" s="515"/>
      <c r="I35" s="515"/>
      <c r="J35" s="515"/>
      <c r="K35" s="515"/>
      <c r="L35" s="515"/>
      <c r="M35" s="515"/>
      <c r="N35" s="515"/>
      <c r="O35" s="515"/>
      <c r="P35" s="515"/>
      <c r="Q35" s="515"/>
      <c r="R35" s="515"/>
      <c r="S35" s="515"/>
      <c r="T35" s="515"/>
      <c r="U35" s="515"/>
      <c r="V35" s="515"/>
      <c r="W35" s="515"/>
      <c r="X35" s="515"/>
      <c r="Y35" s="515"/>
      <c r="Z35" s="515"/>
      <c r="AA35" s="515"/>
      <c r="AB35" s="515"/>
      <c r="AC35" s="515"/>
      <c r="AD35" s="515"/>
      <c r="AE35" s="515"/>
      <c r="AF35" s="515"/>
      <c r="AG35" s="515"/>
      <c r="AH35" s="515"/>
      <c r="AI35" s="515"/>
      <c r="AJ35" s="515"/>
      <c r="AK35" s="515"/>
      <c r="AL35" s="515"/>
      <c r="AM35" s="515"/>
      <c r="AN35" s="515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  <c r="BC35" s="515"/>
      <c r="BD35" s="515"/>
      <c r="BE35" s="515"/>
      <c r="BF35" s="515"/>
      <c r="BG35" s="515"/>
      <c r="BH35" s="515"/>
      <c r="BI35" s="515"/>
      <c r="BJ35" s="515"/>
      <c r="BK35" s="515"/>
      <c r="BL35" s="515"/>
      <c r="BM35" s="515"/>
      <c r="BN35" s="515"/>
      <c r="BO35" s="515"/>
      <c r="BP35" s="515"/>
      <c r="BQ35" s="515"/>
      <c r="BR35" s="515"/>
      <c r="BS35" s="515"/>
      <c r="BT35" s="515"/>
      <c r="BU35" s="515"/>
      <c r="BV35" s="515"/>
      <c r="BW35" s="515"/>
      <c r="BX35" s="499"/>
      <c r="BZ35" s="496"/>
      <c r="CA35" s="1188"/>
      <c r="CB35" s="1188"/>
      <c r="CC35" s="1188"/>
      <c r="CD35" s="1188"/>
      <c r="CE35" s="1188"/>
      <c r="CF35" s="1188"/>
      <c r="CG35" s="1188"/>
      <c r="CH35" s="1188"/>
      <c r="CI35" s="1188"/>
      <c r="CJ35" s="1188"/>
      <c r="CK35" s="1188"/>
      <c r="CL35" s="1188"/>
      <c r="CM35" s="1188"/>
      <c r="CN35" s="1188"/>
      <c r="CO35" s="1188"/>
      <c r="CP35" s="1188"/>
      <c r="CQ35" s="1188"/>
      <c r="CR35" s="1188"/>
      <c r="CS35" s="1188"/>
      <c r="CT35" s="1188"/>
      <c r="CU35" s="1188"/>
      <c r="CV35" s="1188"/>
      <c r="CW35" s="1188"/>
      <c r="CX35" s="1188"/>
      <c r="CY35" s="1188"/>
      <c r="CZ35" s="1188"/>
      <c r="DA35" s="1188"/>
      <c r="DB35" s="1188"/>
      <c r="DC35" s="1188"/>
      <c r="DD35" s="1188"/>
      <c r="DE35" s="1188"/>
      <c r="DF35" s="1188"/>
      <c r="DG35" s="1188"/>
      <c r="DH35" s="1188"/>
      <c r="DI35" s="1188"/>
      <c r="DJ35" s="1188"/>
      <c r="DK35" s="1188"/>
      <c r="DL35" s="1188"/>
      <c r="DM35" s="1188"/>
      <c r="DN35" s="1188"/>
      <c r="DO35" s="1188"/>
      <c r="DP35" s="1188"/>
      <c r="DQ35" s="1188"/>
      <c r="DR35" s="1188"/>
      <c r="DS35" s="1188"/>
      <c r="DT35" s="1188"/>
      <c r="DU35" s="1188"/>
      <c r="DV35" s="1188"/>
      <c r="DW35" s="1188"/>
      <c r="DX35" s="1188"/>
      <c r="DY35" s="1188"/>
      <c r="DZ35" s="1188"/>
      <c r="EA35" s="1188"/>
      <c r="EB35" s="1188"/>
      <c r="EC35" s="1188"/>
      <c r="ED35" s="1188"/>
      <c r="EE35" s="1188"/>
      <c r="EF35" s="1188"/>
      <c r="EG35" s="1188"/>
      <c r="EH35" s="1188"/>
      <c r="EI35" s="1188"/>
      <c r="EJ35" s="1188"/>
      <c r="EK35" s="1188"/>
      <c r="EL35" s="1188"/>
      <c r="EM35" s="1188"/>
      <c r="EN35" s="1188"/>
      <c r="EO35" s="1188"/>
      <c r="EP35" s="1188"/>
      <c r="EQ35" s="1188"/>
      <c r="ER35" s="1188"/>
      <c r="ES35" s="1188"/>
      <c r="ET35" s="1188"/>
    </row>
    <row r="36" spans="3:204" ht="12" customHeight="1">
      <c r="C36" s="497"/>
      <c r="D36" s="8" t="s">
        <v>735</v>
      </c>
      <c r="J36" s="506" t="s">
        <v>736</v>
      </c>
      <c r="K36" s="503"/>
      <c r="L36" s="503"/>
      <c r="M36" s="503"/>
      <c r="N36" s="503"/>
      <c r="O36" s="504"/>
      <c r="P36" s="484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7"/>
      <c r="AC36" s="507" t="s">
        <v>737</v>
      </c>
      <c r="BX36" s="499"/>
      <c r="BZ36" s="496"/>
      <c r="CA36" s="1188"/>
      <c r="CB36" s="1188"/>
      <c r="CC36" s="1188"/>
      <c r="CD36" s="1188"/>
      <c r="CE36" s="1188"/>
      <c r="CF36" s="1188"/>
      <c r="CG36" s="1188"/>
      <c r="CH36" s="1188"/>
      <c r="CI36" s="1188"/>
      <c r="CJ36" s="1188"/>
      <c r="CK36" s="1188"/>
      <c r="CL36" s="1188"/>
      <c r="CM36" s="1188"/>
      <c r="CN36" s="1188"/>
      <c r="CO36" s="1188"/>
      <c r="CP36" s="1188"/>
      <c r="CQ36" s="1188"/>
      <c r="CR36" s="1188"/>
      <c r="CS36" s="1188"/>
      <c r="CT36" s="1188"/>
      <c r="CU36" s="1188"/>
      <c r="CV36" s="1188"/>
      <c r="CW36" s="1188"/>
      <c r="CX36" s="1188"/>
      <c r="CY36" s="1188"/>
      <c r="CZ36" s="1188"/>
      <c r="DA36" s="1188"/>
      <c r="DB36" s="1188"/>
      <c r="DC36" s="1188"/>
      <c r="DD36" s="1188"/>
      <c r="DE36" s="1188"/>
      <c r="DF36" s="1188"/>
      <c r="DG36" s="1188"/>
      <c r="DH36" s="1188"/>
      <c r="DI36" s="1188"/>
      <c r="DJ36" s="1188"/>
      <c r="DK36" s="1188"/>
      <c r="DL36" s="1188"/>
      <c r="DM36" s="1188"/>
      <c r="DN36" s="1188"/>
      <c r="DO36" s="1188"/>
      <c r="DP36" s="1188"/>
      <c r="DQ36" s="1188"/>
      <c r="DR36" s="1188"/>
      <c r="DS36" s="1188"/>
      <c r="DT36" s="1188"/>
      <c r="DU36" s="1188"/>
      <c r="DV36" s="1188"/>
      <c r="DW36" s="1188"/>
      <c r="DX36" s="1188"/>
      <c r="DY36" s="1188"/>
      <c r="DZ36" s="1188"/>
      <c r="EA36" s="1188"/>
      <c r="EB36" s="1188"/>
      <c r="EC36" s="1188"/>
      <c r="ED36" s="1188"/>
      <c r="EE36" s="1188"/>
      <c r="EF36" s="1188"/>
      <c r="EG36" s="1188"/>
      <c r="EH36" s="1188"/>
      <c r="EI36" s="1188"/>
      <c r="EJ36" s="1188"/>
      <c r="EK36" s="1188"/>
      <c r="EL36" s="1188"/>
      <c r="EM36" s="1188"/>
      <c r="EN36" s="1188"/>
      <c r="EO36" s="1188"/>
      <c r="EP36" s="1188"/>
      <c r="EQ36" s="1188"/>
      <c r="ER36" s="1188"/>
      <c r="ES36" s="1188"/>
      <c r="ET36" s="1188"/>
    </row>
    <row r="37" spans="3:204" ht="8.1" customHeight="1">
      <c r="C37" s="497"/>
      <c r="BX37" s="499"/>
      <c r="BZ37" s="496"/>
      <c r="CA37" s="1188"/>
      <c r="CB37" s="1188"/>
      <c r="CC37" s="1188"/>
      <c r="CD37" s="1188"/>
      <c r="CE37" s="1188"/>
      <c r="CF37" s="1188"/>
      <c r="CG37" s="1188"/>
      <c r="CH37" s="1188"/>
      <c r="CI37" s="1188"/>
      <c r="CJ37" s="1188"/>
      <c r="CK37" s="1188"/>
      <c r="CL37" s="1188"/>
      <c r="CM37" s="1188"/>
      <c r="CN37" s="1188"/>
      <c r="CO37" s="1188"/>
      <c r="CP37" s="1188"/>
      <c r="CQ37" s="1188"/>
      <c r="CR37" s="1188"/>
      <c r="CS37" s="1188"/>
      <c r="CT37" s="1188"/>
      <c r="CU37" s="1188"/>
      <c r="CV37" s="1188"/>
      <c r="CW37" s="1188"/>
      <c r="CX37" s="1188"/>
      <c r="CY37" s="1188"/>
      <c r="CZ37" s="1188"/>
      <c r="DA37" s="1188"/>
      <c r="DB37" s="1188"/>
      <c r="DC37" s="1188"/>
      <c r="DD37" s="1188"/>
      <c r="DE37" s="1188"/>
      <c r="DF37" s="1188"/>
      <c r="DG37" s="1188"/>
      <c r="DH37" s="1188"/>
      <c r="DI37" s="1188"/>
      <c r="DJ37" s="1188"/>
      <c r="DK37" s="1188"/>
      <c r="DL37" s="1188"/>
      <c r="DM37" s="1188"/>
      <c r="DN37" s="1188"/>
      <c r="DO37" s="1188"/>
      <c r="DP37" s="1188"/>
      <c r="DQ37" s="1188"/>
      <c r="DR37" s="1188"/>
      <c r="DS37" s="1188"/>
      <c r="DT37" s="1188"/>
      <c r="DU37" s="1188"/>
      <c r="DV37" s="1188"/>
      <c r="DW37" s="1188"/>
      <c r="DX37" s="1188"/>
      <c r="DY37" s="1188"/>
      <c r="DZ37" s="1188"/>
      <c r="EA37" s="1188"/>
      <c r="EB37" s="1188"/>
      <c r="EC37" s="1188"/>
      <c r="ED37" s="1188"/>
      <c r="EE37" s="1188"/>
      <c r="EF37" s="1188"/>
      <c r="EG37" s="1188"/>
      <c r="EH37" s="1188"/>
      <c r="EI37" s="1188"/>
      <c r="EJ37" s="1188"/>
      <c r="EK37" s="1188"/>
      <c r="EL37" s="1188"/>
      <c r="EM37" s="1188"/>
      <c r="EN37" s="1188"/>
      <c r="EO37" s="1188"/>
      <c r="EP37" s="1188"/>
      <c r="EQ37" s="1188"/>
      <c r="ER37" s="1188"/>
      <c r="ES37" s="1188"/>
      <c r="ET37" s="1188"/>
    </row>
    <row r="38" spans="3:204" ht="12" customHeight="1">
      <c r="C38" s="497"/>
      <c r="F38" s="507"/>
      <c r="BX38" s="499"/>
      <c r="BZ38" s="496"/>
      <c r="CA38" s="1188"/>
      <c r="CB38" s="1188"/>
      <c r="CC38" s="1188"/>
      <c r="CD38" s="1188"/>
      <c r="CE38" s="1188"/>
      <c r="CF38" s="1188"/>
      <c r="CG38" s="1188"/>
      <c r="CH38" s="1188"/>
      <c r="CI38" s="1188"/>
      <c r="CJ38" s="1188"/>
      <c r="CK38" s="1188"/>
      <c r="CL38" s="1188"/>
      <c r="CM38" s="1188"/>
      <c r="CN38" s="1188"/>
      <c r="CO38" s="1188"/>
      <c r="CP38" s="1188"/>
      <c r="CQ38" s="1188"/>
      <c r="CR38" s="1188"/>
      <c r="CS38" s="1188"/>
      <c r="CT38" s="1188"/>
      <c r="CU38" s="1188"/>
      <c r="CV38" s="1188"/>
      <c r="CW38" s="1188"/>
      <c r="CX38" s="1188"/>
      <c r="CY38" s="1188"/>
      <c r="CZ38" s="1188"/>
      <c r="DA38" s="1188"/>
      <c r="DB38" s="1188"/>
      <c r="DC38" s="1188"/>
      <c r="DD38" s="1188"/>
      <c r="DE38" s="1188"/>
      <c r="DF38" s="1188"/>
      <c r="DG38" s="1188"/>
      <c r="DH38" s="1188"/>
      <c r="DI38" s="1188"/>
      <c r="DJ38" s="1188"/>
      <c r="DK38" s="1188"/>
      <c r="DL38" s="1188"/>
      <c r="DM38" s="1188"/>
      <c r="DN38" s="1188"/>
      <c r="DO38" s="1188"/>
      <c r="DP38" s="1188"/>
      <c r="DQ38" s="1188"/>
      <c r="DR38" s="1188"/>
      <c r="DS38" s="1188"/>
      <c r="DT38" s="1188"/>
      <c r="DU38" s="1188"/>
      <c r="DV38" s="1188"/>
      <c r="DW38" s="1188"/>
      <c r="DX38" s="1188"/>
      <c r="DY38" s="1188"/>
      <c r="DZ38" s="1188"/>
      <c r="EA38" s="1188"/>
      <c r="EB38" s="1188"/>
      <c r="EC38" s="1188"/>
      <c r="ED38" s="1188"/>
      <c r="EE38" s="1188"/>
      <c r="EF38" s="1188"/>
      <c r="EG38" s="1188"/>
      <c r="EH38" s="1188"/>
      <c r="EI38" s="1188"/>
      <c r="EJ38" s="1188"/>
      <c r="EK38" s="1188"/>
      <c r="EL38" s="1188"/>
      <c r="EM38" s="1188"/>
      <c r="EN38" s="1188"/>
      <c r="EO38" s="1188"/>
      <c r="EP38" s="1188"/>
      <c r="EQ38" s="1188"/>
      <c r="ER38" s="1188"/>
      <c r="ES38" s="1188"/>
      <c r="ET38" s="1188"/>
    </row>
    <row r="39" spans="3:204" ht="12" customHeight="1">
      <c r="C39" s="497"/>
      <c r="D39" s="516" t="s">
        <v>738</v>
      </c>
      <c r="E39" s="517"/>
      <c r="F39" s="516" t="s">
        <v>739</v>
      </c>
      <c r="G39" s="518"/>
      <c r="H39" s="517"/>
      <c r="I39" s="516" t="s">
        <v>740</v>
      </c>
      <c r="J39" s="518"/>
      <c r="K39" s="517"/>
      <c r="L39" s="518" t="s">
        <v>741</v>
      </c>
      <c r="M39" s="518"/>
      <c r="N39" s="518"/>
      <c r="O39" s="516" t="s">
        <v>742</v>
      </c>
      <c r="P39" s="518"/>
      <c r="Q39" s="518"/>
      <c r="R39" s="518"/>
      <c r="S39" s="518"/>
      <c r="T39" s="516" t="s">
        <v>743</v>
      </c>
      <c r="U39" s="518"/>
      <c r="V39" s="518"/>
      <c r="W39" s="518"/>
      <c r="X39" s="518"/>
      <c r="Y39" s="519" t="s">
        <v>237</v>
      </c>
      <c r="Z39" s="518"/>
      <c r="AA39" s="518"/>
      <c r="AB39" s="516" t="s">
        <v>744</v>
      </c>
      <c r="AC39" s="517"/>
      <c r="AD39" s="518" t="s">
        <v>722</v>
      </c>
      <c r="AE39" s="518"/>
      <c r="AF39" s="517"/>
      <c r="AG39" s="518" t="s">
        <v>745</v>
      </c>
      <c r="AH39" s="518"/>
      <c r="AI39" s="518"/>
      <c r="AJ39" s="516" t="s">
        <v>746</v>
      </c>
      <c r="AK39" s="518"/>
      <c r="AL39" s="517"/>
      <c r="AM39" s="516" t="s">
        <v>747</v>
      </c>
      <c r="AN39" s="518"/>
      <c r="AO39" s="517"/>
      <c r="AP39" s="518" t="s">
        <v>748</v>
      </c>
      <c r="AQ39" s="518"/>
      <c r="AR39" s="518"/>
      <c r="AS39" s="517"/>
      <c r="AT39" s="516" t="s">
        <v>749</v>
      </c>
      <c r="AU39" s="518"/>
      <c r="AV39" s="517"/>
      <c r="AW39" s="516" t="s">
        <v>245</v>
      </c>
      <c r="AX39" s="518"/>
      <c r="AY39" s="518"/>
      <c r="AZ39" s="517"/>
      <c r="BA39" s="516" t="s">
        <v>750</v>
      </c>
      <c r="BB39" s="518"/>
      <c r="BC39" s="518"/>
      <c r="BD39" s="517"/>
      <c r="BE39" s="518" t="s">
        <v>751</v>
      </c>
      <c r="BF39" s="518"/>
      <c r="BG39" s="518"/>
      <c r="BH39" s="518" t="s">
        <v>752</v>
      </c>
      <c r="BI39" s="518"/>
      <c r="BJ39" s="518"/>
      <c r="BK39" s="517"/>
      <c r="BL39" s="518" t="s">
        <v>753</v>
      </c>
      <c r="BM39" s="518"/>
      <c r="BN39" s="518"/>
      <c r="BO39" s="517"/>
      <c r="BP39" s="518" t="s">
        <v>754</v>
      </c>
      <c r="BQ39" s="518"/>
      <c r="BR39" s="518"/>
      <c r="BS39" s="518"/>
      <c r="BT39" s="518"/>
      <c r="BU39" s="520"/>
      <c r="BX39" s="499"/>
      <c r="BZ39" s="496"/>
      <c r="CA39" s="1188"/>
      <c r="CB39" s="1188"/>
      <c r="CC39" s="1188"/>
      <c r="CD39" s="1188"/>
      <c r="CE39" s="1188"/>
      <c r="CF39" s="1188"/>
      <c r="CG39" s="1188"/>
      <c r="CH39" s="1188"/>
      <c r="CI39" s="1188"/>
      <c r="CJ39" s="1188"/>
      <c r="CK39" s="1188"/>
      <c r="CL39" s="1188"/>
      <c r="CM39" s="1188"/>
      <c r="CN39" s="1188"/>
      <c r="CO39" s="1188"/>
      <c r="CP39" s="1188"/>
      <c r="CQ39" s="1188"/>
      <c r="CR39" s="1188"/>
      <c r="CS39" s="1188"/>
      <c r="CT39" s="1188"/>
      <c r="CU39" s="1188"/>
      <c r="CV39" s="1188"/>
      <c r="CW39" s="1188"/>
      <c r="CX39" s="1188"/>
      <c r="CY39" s="1188"/>
      <c r="CZ39" s="1188"/>
      <c r="DA39" s="1188"/>
      <c r="DB39" s="1188"/>
      <c r="DC39" s="1188"/>
      <c r="DD39" s="1188"/>
      <c r="DE39" s="1188"/>
      <c r="DF39" s="1188"/>
      <c r="DG39" s="1188"/>
      <c r="DH39" s="1188"/>
      <c r="DI39" s="1188"/>
      <c r="DJ39" s="1188"/>
      <c r="DK39" s="1188"/>
      <c r="DL39" s="1188"/>
      <c r="DM39" s="1188"/>
      <c r="DN39" s="1188"/>
      <c r="DO39" s="1188"/>
      <c r="DP39" s="1188"/>
      <c r="DQ39" s="1188"/>
      <c r="DR39" s="1188"/>
      <c r="DS39" s="1188"/>
      <c r="DT39" s="1188"/>
      <c r="DU39" s="1188"/>
      <c r="DV39" s="1188"/>
      <c r="DW39" s="1188"/>
      <c r="DX39" s="1188"/>
      <c r="DY39" s="1188"/>
      <c r="DZ39" s="1188"/>
      <c r="EA39" s="1188"/>
      <c r="EB39" s="1188"/>
      <c r="EC39" s="1188"/>
      <c r="ED39" s="1188"/>
      <c r="EE39" s="1188"/>
      <c r="EF39" s="1188"/>
      <c r="EG39" s="1188"/>
      <c r="EH39" s="1188"/>
      <c r="EI39" s="1188"/>
      <c r="EJ39" s="1188"/>
      <c r="EK39" s="1188"/>
      <c r="EL39" s="1188"/>
      <c r="EM39" s="1188"/>
      <c r="EN39" s="1188"/>
      <c r="EO39" s="1188"/>
      <c r="EP39" s="1188"/>
      <c r="EQ39" s="1188"/>
      <c r="ER39" s="1188"/>
      <c r="ES39" s="1188"/>
      <c r="ET39" s="1188"/>
    </row>
    <row r="40" spans="3:204" ht="12" customHeight="1">
      <c r="C40" s="497"/>
      <c r="D40" s="521"/>
      <c r="E40" s="522">
        <v>1</v>
      </c>
      <c r="F40" s="521"/>
      <c r="G40" s="523"/>
      <c r="H40" s="522"/>
      <c r="I40" s="523"/>
      <c r="J40" s="523"/>
      <c r="K40" s="522"/>
      <c r="L40" s="523"/>
      <c r="M40" s="523"/>
      <c r="N40" s="523"/>
      <c r="O40" s="524"/>
      <c r="P40" s="525"/>
      <c r="Q40" s="525"/>
      <c r="R40" s="525"/>
      <c r="S40" s="525"/>
      <c r="T40" s="521"/>
      <c r="U40" s="523"/>
      <c r="V40" s="523"/>
      <c r="W40" s="523"/>
      <c r="X40" s="523"/>
      <c r="Y40" s="526"/>
      <c r="Z40" s="523"/>
      <c r="AA40" s="523"/>
      <c r="AB40" s="524"/>
      <c r="AC40" s="527"/>
      <c r="AD40" s="525"/>
      <c r="AE40" s="525"/>
      <c r="AF40" s="527"/>
      <c r="AG40" s="523" t="s">
        <v>755</v>
      </c>
      <c r="AH40" s="523"/>
      <c r="AI40" s="523"/>
      <c r="AJ40" s="524"/>
      <c r="AK40" s="525"/>
      <c r="AL40" s="527"/>
      <c r="AM40" s="524"/>
      <c r="AN40" s="525"/>
      <c r="AO40" s="527"/>
      <c r="AP40" s="503"/>
      <c r="AQ40" s="503"/>
      <c r="AR40" s="503"/>
      <c r="AS40" s="504"/>
      <c r="AT40" s="524"/>
      <c r="AU40" s="525"/>
      <c r="AV40" s="527"/>
      <c r="AW40" s="524"/>
      <c r="AX40" s="525"/>
      <c r="AY40" s="525"/>
      <c r="AZ40" s="527"/>
      <c r="BA40" s="521"/>
      <c r="BB40" s="523"/>
      <c r="BC40" s="523"/>
      <c r="BD40" s="522"/>
      <c r="BE40" s="523"/>
      <c r="BF40" s="523"/>
      <c r="BG40" s="523"/>
      <c r="BH40" s="521"/>
      <c r="BI40" s="525" t="s">
        <v>755</v>
      </c>
      <c r="BJ40" s="523"/>
      <c r="BK40" s="522"/>
      <c r="BL40" s="523"/>
      <c r="BM40" s="523"/>
      <c r="BN40" s="523"/>
      <c r="BO40" s="522"/>
      <c r="BP40" s="523"/>
      <c r="BQ40" s="523"/>
      <c r="BR40" s="523"/>
      <c r="BS40" s="523"/>
      <c r="BT40" s="523"/>
      <c r="BU40" s="522"/>
      <c r="BX40" s="499"/>
      <c r="BZ40" s="496"/>
      <c r="CA40" s="1188"/>
      <c r="CB40" s="1188"/>
      <c r="CC40" s="1188"/>
      <c r="CD40" s="1188"/>
      <c r="CE40" s="1188"/>
      <c r="CF40" s="1188"/>
      <c r="CG40" s="1188"/>
      <c r="CH40" s="1188"/>
      <c r="CI40" s="1188"/>
      <c r="CJ40" s="1188"/>
      <c r="CK40" s="1188"/>
      <c r="CL40" s="1188"/>
      <c r="CM40" s="1188"/>
      <c r="CN40" s="1188"/>
      <c r="CO40" s="1188"/>
      <c r="CP40" s="1188"/>
      <c r="CQ40" s="1188"/>
      <c r="CR40" s="1188"/>
      <c r="CS40" s="1188"/>
      <c r="CT40" s="1188"/>
      <c r="CU40" s="1188"/>
      <c r="CV40" s="1188"/>
      <c r="CW40" s="1188"/>
      <c r="CX40" s="1188"/>
      <c r="CY40" s="1188"/>
      <c r="CZ40" s="1188"/>
      <c r="DA40" s="1188"/>
      <c r="DB40" s="1188"/>
      <c r="DC40" s="1188"/>
      <c r="DD40" s="1188"/>
      <c r="DE40" s="1188"/>
      <c r="DF40" s="1188"/>
      <c r="DG40" s="1188"/>
      <c r="DH40" s="1188"/>
      <c r="DI40" s="1188"/>
      <c r="DJ40" s="1188"/>
      <c r="DK40" s="1188"/>
      <c r="DL40" s="1188"/>
      <c r="DM40" s="1188"/>
      <c r="DN40" s="1188"/>
      <c r="DO40" s="1188"/>
      <c r="DP40" s="1188"/>
      <c r="DQ40" s="1188"/>
      <c r="DR40" s="1188"/>
      <c r="DS40" s="1188"/>
      <c r="DT40" s="1188"/>
      <c r="DU40" s="1188"/>
      <c r="DV40" s="1188"/>
      <c r="DW40" s="1188"/>
      <c r="DX40" s="1188"/>
      <c r="DY40" s="1188"/>
      <c r="DZ40" s="1188"/>
      <c r="EA40" s="1188"/>
      <c r="EB40" s="1188"/>
      <c r="EC40" s="1188"/>
      <c r="ED40" s="1188"/>
      <c r="EE40" s="1188"/>
      <c r="EF40" s="1188"/>
      <c r="EG40" s="1188"/>
      <c r="EH40" s="1188"/>
      <c r="EI40" s="1188"/>
      <c r="EJ40" s="1188"/>
      <c r="EK40" s="1188"/>
      <c r="EL40" s="1188"/>
      <c r="EM40" s="1188"/>
      <c r="EN40" s="1188"/>
      <c r="EO40" s="1188"/>
      <c r="EP40" s="1188"/>
      <c r="EQ40" s="1188"/>
      <c r="ER40" s="1188"/>
      <c r="ES40" s="1188"/>
      <c r="ET40" s="1188"/>
    </row>
    <row r="41" spans="3:204" ht="12" customHeight="1">
      <c r="C41" s="497"/>
      <c r="D41" s="521"/>
      <c r="E41" s="522">
        <v>2</v>
      </c>
      <c r="F41" s="521"/>
      <c r="G41" s="523"/>
      <c r="H41" s="522"/>
      <c r="I41" s="523"/>
      <c r="J41" s="523"/>
      <c r="K41" s="522"/>
      <c r="L41" s="523"/>
      <c r="M41" s="523"/>
      <c r="N41" s="523"/>
      <c r="O41" s="524"/>
      <c r="P41" s="525"/>
      <c r="Q41" s="525"/>
      <c r="R41" s="525"/>
      <c r="S41" s="525"/>
      <c r="T41" s="521"/>
      <c r="U41" s="523"/>
      <c r="V41" s="523"/>
      <c r="W41" s="523"/>
      <c r="X41" s="523"/>
      <c r="Y41" s="526"/>
      <c r="Z41" s="523"/>
      <c r="AA41" s="523"/>
      <c r="AB41" s="524"/>
      <c r="AC41" s="527"/>
      <c r="AD41" s="525"/>
      <c r="AE41" s="525"/>
      <c r="AF41" s="527"/>
      <c r="AG41" s="523" t="s">
        <v>755</v>
      </c>
      <c r="AH41" s="523"/>
      <c r="AI41" s="523"/>
      <c r="AJ41" s="524"/>
      <c r="AK41" s="525"/>
      <c r="AL41" s="527"/>
      <c r="AM41" s="524"/>
      <c r="AN41" s="525"/>
      <c r="AO41" s="527"/>
      <c r="AP41" s="503"/>
      <c r="AQ41" s="503"/>
      <c r="AR41" s="503"/>
      <c r="AS41" s="504"/>
      <c r="AT41" s="524"/>
      <c r="AU41" s="525"/>
      <c r="AV41" s="527"/>
      <c r="AW41" s="524"/>
      <c r="AX41" s="525"/>
      <c r="AY41" s="525"/>
      <c r="AZ41" s="527"/>
      <c r="BA41" s="521"/>
      <c r="BB41" s="523"/>
      <c r="BC41" s="523"/>
      <c r="BD41" s="522"/>
      <c r="BE41" s="523"/>
      <c r="BF41" s="523"/>
      <c r="BG41" s="523"/>
      <c r="BH41" s="521"/>
      <c r="BI41" s="525" t="s">
        <v>755</v>
      </c>
      <c r="BJ41" s="523"/>
      <c r="BK41" s="522"/>
      <c r="BL41" s="523"/>
      <c r="BM41" s="523"/>
      <c r="BN41" s="523"/>
      <c r="BO41" s="522"/>
      <c r="BP41" s="523"/>
      <c r="BQ41" s="523"/>
      <c r="BR41" s="523"/>
      <c r="BS41" s="523"/>
      <c r="BT41" s="523"/>
      <c r="BU41" s="522"/>
      <c r="BX41" s="499"/>
      <c r="BZ41" s="1187"/>
      <c r="CA41" s="1187"/>
      <c r="CB41" s="1187"/>
      <c r="CC41" s="1187"/>
      <c r="CD41" s="1187"/>
      <c r="CE41" s="1187"/>
      <c r="CF41" s="1187"/>
      <c r="CG41" s="1187"/>
      <c r="CH41" s="1187"/>
      <c r="CI41" s="1187"/>
      <c r="CJ41" s="1187"/>
      <c r="CK41" s="1187"/>
      <c r="CL41" s="1187"/>
      <c r="CM41" s="1187"/>
      <c r="CN41" s="1187"/>
      <c r="CO41" s="1187"/>
      <c r="CP41" s="1187"/>
      <c r="CQ41" s="1187"/>
      <c r="CR41" s="1187"/>
      <c r="CS41" s="1187"/>
      <c r="CT41" s="1187"/>
      <c r="CU41" s="1187"/>
      <c r="CV41" s="1187"/>
      <c r="CW41" s="1187"/>
      <c r="CX41" s="1187"/>
      <c r="CY41" s="1187"/>
      <c r="CZ41" s="1187"/>
      <c r="DA41" s="1187"/>
      <c r="DB41" s="1187"/>
      <c r="DC41" s="1187"/>
      <c r="DD41" s="1187"/>
      <c r="DE41" s="1187"/>
      <c r="DF41" s="1187"/>
      <c r="DG41" s="1187"/>
      <c r="DH41" s="1187"/>
      <c r="DI41" s="1187"/>
      <c r="DJ41" s="1187"/>
      <c r="DK41" s="1187"/>
      <c r="DL41" s="1187"/>
      <c r="DM41" s="1187"/>
      <c r="DN41" s="1187"/>
      <c r="DO41" s="1187"/>
      <c r="DP41" s="1187"/>
      <c r="DQ41" s="495"/>
      <c r="DR41" s="495"/>
      <c r="DS41" s="495"/>
      <c r="DT41" s="496"/>
      <c r="DU41" s="496"/>
      <c r="DV41" s="496"/>
      <c r="DW41" s="496"/>
      <c r="DX41" s="496"/>
      <c r="DY41" s="496"/>
      <c r="DZ41" s="496"/>
      <c r="EA41" s="496"/>
      <c r="EB41" s="496"/>
      <c r="EC41" s="496"/>
      <c r="ED41" s="496"/>
      <c r="EE41" s="496"/>
      <c r="EF41" s="496"/>
      <c r="EG41" s="500"/>
      <c r="EH41" s="496"/>
      <c r="EI41" s="496"/>
      <c r="EJ41" s="496"/>
      <c r="EK41" s="496"/>
      <c r="EL41" s="1188"/>
      <c r="EM41" s="1188"/>
      <c r="EN41" s="1188"/>
      <c r="EO41" s="1188"/>
      <c r="EP41" s="1188"/>
      <c r="EQ41" s="1188"/>
      <c r="ER41" s="1188"/>
      <c r="ES41" s="1188"/>
      <c r="ET41" s="1188"/>
    </row>
    <row r="42" spans="3:204" ht="12" customHeight="1">
      <c r="C42" s="497"/>
      <c r="D42" s="521"/>
      <c r="E42" s="522">
        <v>3</v>
      </c>
      <c r="F42" s="521"/>
      <c r="G42" s="523"/>
      <c r="H42" s="522"/>
      <c r="I42" s="523"/>
      <c r="J42" s="523"/>
      <c r="K42" s="522"/>
      <c r="L42" s="523"/>
      <c r="M42" s="523"/>
      <c r="N42" s="523"/>
      <c r="O42" s="524"/>
      <c r="P42" s="525"/>
      <c r="Q42" s="525"/>
      <c r="R42" s="525"/>
      <c r="S42" s="525"/>
      <c r="T42" s="521"/>
      <c r="U42" s="523"/>
      <c r="V42" s="523"/>
      <c r="W42" s="523"/>
      <c r="X42" s="523"/>
      <c r="Y42" s="526"/>
      <c r="Z42" s="523"/>
      <c r="AA42" s="523"/>
      <c r="AB42" s="524"/>
      <c r="AC42" s="527"/>
      <c r="AD42" s="525"/>
      <c r="AE42" s="525"/>
      <c r="AF42" s="527"/>
      <c r="AG42" s="523" t="s">
        <v>755</v>
      </c>
      <c r="AH42" s="523"/>
      <c r="AI42" s="523"/>
      <c r="AJ42" s="524"/>
      <c r="AK42" s="525"/>
      <c r="AL42" s="527"/>
      <c r="AM42" s="524"/>
      <c r="AN42" s="525"/>
      <c r="AO42" s="527"/>
      <c r="AP42" s="503"/>
      <c r="AQ42" s="503"/>
      <c r="AR42" s="503"/>
      <c r="AS42" s="504"/>
      <c r="AT42" s="524"/>
      <c r="AU42" s="525"/>
      <c r="AV42" s="527"/>
      <c r="AW42" s="524"/>
      <c r="AX42" s="525"/>
      <c r="AY42" s="525"/>
      <c r="AZ42" s="527"/>
      <c r="BA42" s="521"/>
      <c r="BB42" s="523"/>
      <c r="BC42" s="523"/>
      <c r="BD42" s="522"/>
      <c r="BE42" s="523"/>
      <c r="BF42" s="523"/>
      <c r="BG42" s="523"/>
      <c r="BH42" s="521"/>
      <c r="BI42" s="525" t="s">
        <v>755</v>
      </c>
      <c r="BJ42" s="523"/>
      <c r="BK42" s="522"/>
      <c r="BL42" s="523"/>
      <c r="BM42" s="523"/>
      <c r="BN42" s="523"/>
      <c r="BO42" s="522"/>
      <c r="BP42" s="523"/>
      <c r="BQ42" s="523"/>
      <c r="BR42" s="523"/>
      <c r="BS42" s="523"/>
      <c r="BT42" s="523"/>
      <c r="BU42" s="522"/>
      <c r="BX42" s="499"/>
      <c r="BZ42" s="1187"/>
      <c r="CA42" s="1187"/>
      <c r="CB42" s="1187"/>
      <c r="CC42" s="1187"/>
      <c r="CD42" s="1187"/>
      <c r="CE42" s="1187"/>
      <c r="CF42" s="1187"/>
      <c r="CG42" s="1187"/>
      <c r="CH42" s="1187"/>
      <c r="CI42" s="1187"/>
      <c r="CJ42" s="1187"/>
      <c r="CK42" s="1187"/>
      <c r="CL42" s="1187"/>
      <c r="CM42" s="1187"/>
      <c r="CN42" s="1187"/>
      <c r="CO42" s="1187"/>
      <c r="CP42" s="1187"/>
      <c r="CQ42" s="1187"/>
      <c r="CR42" s="1187"/>
      <c r="CS42" s="1187"/>
      <c r="CT42" s="1187"/>
      <c r="CU42" s="1187"/>
      <c r="CV42" s="1187"/>
      <c r="CW42" s="1187"/>
      <c r="CX42" s="1187"/>
      <c r="CY42" s="1187"/>
      <c r="CZ42" s="1187"/>
      <c r="DA42" s="1187"/>
      <c r="DB42" s="1187"/>
      <c r="DC42" s="1187"/>
      <c r="DD42" s="1187"/>
      <c r="DE42" s="1187"/>
      <c r="DF42" s="1187"/>
      <c r="DG42" s="1187"/>
      <c r="DH42" s="1187"/>
      <c r="DI42" s="1187"/>
      <c r="DJ42" s="1187"/>
      <c r="DK42" s="1187"/>
      <c r="DL42" s="1187"/>
      <c r="DM42" s="1187"/>
      <c r="DN42" s="1187"/>
      <c r="DO42" s="1187"/>
      <c r="DP42" s="1187"/>
      <c r="DQ42" s="494"/>
      <c r="DR42" s="494"/>
      <c r="DS42" s="494"/>
      <c r="DT42" s="496"/>
      <c r="DU42" s="496"/>
      <c r="DV42" s="496"/>
      <c r="DW42" s="496"/>
      <c r="DX42" s="496"/>
      <c r="DY42" s="496"/>
      <c r="DZ42" s="496"/>
      <c r="EA42" s="496"/>
      <c r="EB42" s="496"/>
      <c r="EC42" s="496"/>
      <c r="ED42" s="496"/>
      <c r="EE42" s="496"/>
      <c r="EF42" s="496"/>
      <c r="EG42" s="496"/>
      <c r="EH42" s="496"/>
      <c r="EI42" s="496"/>
      <c r="EJ42" s="496"/>
      <c r="EK42" s="496"/>
      <c r="EL42" s="496"/>
      <c r="EM42" s="496"/>
      <c r="EN42" s="496"/>
      <c r="EO42" s="496"/>
      <c r="EP42" s="496"/>
      <c r="EQ42" s="496"/>
      <c r="ER42" s="496"/>
      <c r="ES42" s="496"/>
      <c r="ET42" s="496"/>
      <c r="FD42" s="501" t="s">
        <v>756</v>
      </c>
      <c r="GV42" s="500" t="s">
        <v>714</v>
      </c>
    </row>
    <row r="43" spans="3:204" ht="12" customHeight="1">
      <c r="C43" s="497"/>
      <c r="BX43" s="499"/>
    </row>
    <row r="44" spans="3:204" ht="12" hidden="1" customHeight="1">
      <c r="C44" s="497"/>
      <c r="F44" s="528" t="s">
        <v>757</v>
      </c>
      <c r="G44" s="529"/>
      <c r="H44" s="529"/>
      <c r="I44" s="529"/>
      <c r="J44" s="529"/>
      <c r="K44" s="529"/>
      <c r="L44" s="529"/>
      <c r="M44" s="529"/>
      <c r="N44" s="529"/>
      <c r="O44" s="529"/>
      <c r="P44" s="529"/>
      <c r="Q44" s="530"/>
      <c r="R44" s="529"/>
      <c r="S44" s="529"/>
      <c r="T44" s="529"/>
      <c r="U44" s="529"/>
      <c r="V44" s="529"/>
      <c r="W44" s="529"/>
      <c r="X44" s="529"/>
      <c r="Y44" s="529"/>
      <c r="Z44" s="529"/>
      <c r="AA44" s="529"/>
      <c r="AB44" s="529"/>
      <c r="AC44" s="529"/>
      <c r="AD44" s="529"/>
      <c r="AE44" s="529"/>
      <c r="AF44" s="529"/>
      <c r="AG44" s="529"/>
      <c r="AH44" s="529"/>
      <c r="AI44" s="529"/>
      <c r="AJ44" s="529"/>
      <c r="AK44" s="529"/>
      <c r="AL44" s="529"/>
      <c r="AM44" s="529"/>
      <c r="AN44" s="529"/>
      <c r="AO44" s="529"/>
      <c r="BX44" s="499"/>
    </row>
    <row r="45" spans="3:204" ht="12" hidden="1" customHeight="1">
      <c r="C45" s="497"/>
      <c r="F45" s="528" t="s">
        <v>758</v>
      </c>
      <c r="G45" s="529"/>
      <c r="H45" s="529"/>
      <c r="I45" s="529"/>
      <c r="J45" s="529"/>
      <c r="K45" s="529"/>
      <c r="L45" s="529"/>
      <c r="M45" s="529"/>
      <c r="N45" s="529"/>
      <c r="O45" s="529"/>
      <c r="P45" s="529"/>
      <c r="Q45" s="530"/>
      <c r="R45" s="529"/>
      <c r="S45" s="529"/>
      <c r="T45" s="529"/>
      <c r="U45" s="529"/>
      <c r="V45" s="529"/>
      <c r="W45" s="529"/>
      <c r="X45" s="529"/>
      <c r="Y45" s="529"/>
      <c r="Z45" s="529"/>
      <c r="AA45" s="529"/>
      <c r="AB45" s="529"/>
      <c r="AC45" s="529"/>
      <c r="AD45" s="529"/>
      <c r="AE45" s="529"/>
      <c r="AF45" s="529"/>
      <c r="AG45" s="529"/>
      <c r="AH45" s="529"/>
      <c r="AI45" s="529"/>
      <c r="AJ45" s="529"/>
      <c r="AK45" s="529"/>
      <c r="AL45" s="529"/>
      <c r="AM45" s="529"/>
      <c r="AN45" s="529"/>
      <c r="AO45" s="529"/>
      <c r="BX45" s="499"/>
    </row>
    <row r="46" spans="3:204" ht="12" customHeight="1">
      <c r="C46" s="497"/>
      <c r="F46" s="507"/>
      <c r="BX46" s="499"/>
    </row>
    <row r="47" spans="3:204" ht="12" customHeight="1">
      <c r="C47" s="50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09"/>
    </row>
    <row r="48" spans="3:204" ht="12" customHeight="1" thickBot="1">
      <c r="C48" s="531"/>
      <c r="D48" s="532"/>
      <c r="E48" s="532"/>
      <c r="F48" s="532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3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4"/>
    </row>
    <row r="52" spans="2:76" ht="28.5">
      <c r="B52" s="488" t="s">
        <v>759</v>
      </c>
    </row>
    <row r="54" spans="2:76" ht="12" customHeight="1" thickBot="1">
      <c r="C54" s="489" t="s">
        <v>234</v>
      </c>
    </row>
    <row r="55" spans="2:76" ht="12" customHeight="1">
      <c r="C55" s="490"/>
      <c r="D55" s="491"/>
      <c r="E55" s="491"/>
      <c r="F55" s="491"/>
      <c r="G55" s="491"/>
      <c r="H55" s="491"/>
      <c r="I55" s="491"/>
      <c r="J55" s="491"/>
      <c r="K55" s="491"/>
      <c r="L55" s="491"/>
      <c r="M55" s="491"/>
      <c r="N55" s="491"/>
      <c r="O55" s="491"/>
      <c r="P55" s="491"/>
      <c r="Q55" s="492"/>
      <c r="R55" s="491"/>
      <c r="S55" s="491"/>
      <c r="T55" s="491"/>
      <c r="U55" s="491"/>
      <c r="V55" s="491"/>
      <c r="W55" s="491"/>
      <c r="X55" s="491"/>
      <c r="Y55" s="491"/>
      <c r="Z55" s="491"/>
      <c r="AA55" s="491"/>
      <c r="AB55" s="491"/>
      <c r="AC55" s="491"/>
      <c r="AD55" s="491"/>
      <c r="AE55" s="491"/>
      <c r="AF55" s="491"/>
      <c r="AG55" s="491"/>
      <c r="AH55" s="491"/>
      <c r="AI55" s="491"/>
      <c r="AJ55" s="491"/>
      <c r="AK55" s="491"/>
      <c r="AL55" s="491"/>
      <c r="AM55" s="491"/>
      <c r="AN55" s="491"/>
      <c r="AO55" s="491"/>
      <c r="AP55" s="491"/>
      <c r="AQ55" s="491"/>
      <c r="AR55" s="491"/>
      <c r="AS55" s="491"/>
      <c r="AT55" s="491"/>
      <c r="AU55" s="491"/>
      <c r="AV55" s="491"/>
      <c r="AW55" s="491"/>
      <c r="AX55" s="491"/>
      <c r="AY55" s="491"/>
      <c r="AZ55" s="491"/>
      <c r="BA55" s="491"/>
      <c r="BB55" s="491"/>
      <c r="BC55" s="491"/>
      <c r="BD55" s="491"/>
      <c r="BE55" s="491"/>
      <c r="BF55" s="491"/>
      <c r="BG55" s="491"/>
      <c r="BH55" s="491"/>
      <c r="BI55" s="491"/>
      <c r="BJ55" s="491"/>
      <c r="BK55" s="491"/>
      <c r="BL55" s="491"/>
      <c r="BM55" s="491"/>
      <c r="BN55" s="491"/>
      <c r="BO55" s="491"/>
      <c r="BP55" s="491"/>
      <c r="BQ55" s="491"/>
      <c r="BR55" s="491"/>
      <c r="BS55" s="491"/>
      <c r="BT55" s="491"/>
      <c r="BU55" s="491"/>
      <c r="BV55" s="491"/>
      <c r="BW55" s="491"/>
      <c r="BX55" s="493"/>
    </row>
    <row r="56" spans="2:76" ht="12" customHeight="1">
      <c r="C56" s="497"/>
      <c r="D56" s="8" t="s">
        <v>699</v>
      </c>
      <c r="J56" s="498" t="s">
        <v>700</v>
      </c>
      <c r="K56" s="498"/>
      <c r="L56" s="498"/>
      <c r="M56" s="498"/>
      <c r="N56" s="498" t="s">
        <v>701</v>
      </c>
      <c r="O56" s="498"/>
      <c r="P56" s="498"/>
      <c r="Q56" s="498"/>
      <c r="R56" s="498" t="s">
        <v>710</v>
      </c>
      <c r="S56" s="498"/>
      <c r="T56" s="498"/>
      <c r="U56" s="498"/>
      <c r="V56" s="498" t="s">
        <v>711</v>
      </c>
      <c r="W56" s="498"/>
      <c r="X56" s="498"/>
      <c r="Y56" s="498"/>
      <c r="Z56" s="498"/>
      <c r="BX56" s="499"/>
    </row>
    <row r="57" spans="2:76" ht="12" customHeight="1">
      <c r="C57" s="497"/>
      <c r="D57" s="8" t="s">
        <v>235</v>
      </c>
      <c r="H57" s="502"/>
      <c r="I57" s="503"/>
      <c r="J57" s="503"/>
      <c r="K57" s="503"/>
      <c r="L57" s="503"/>
      <c r="M57" s="504"/>
      <c r="Q57" s="8"/>
      <c r="S57" s="8" t="s">
        <v>697</v>
      </c>
      <c r="V57" s="502"/>
      <c r="W57" s="503"/>
      <c r="X57" s="503"/>
      <c r="Y57" s="503"/>
      <c r="Z57" s="503"/>
      <c r="AA57" s="504"/>
      <c r="AB57" s="505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7"/>
      <c r="AO57" s="8" t="s">
        <v>715</v>
      </c>
      <c r="AR57" s="506"/>
      <c r="AS57" s="503"/>
      <c r="AT57" s="503"/>
      <c r="AU57" s="503"/>
      <c r="AV57" s="503"/>
      <c r="AW57" s="504"/>
      <c r="AX57" s="484"/>
      <c r="AY57" s="486"/>
      <c r="AZ57" s="486"/>
      <c r="BA57" s="486"/>
      <c r="BB57" s="486"/>
      <c r="BC57" s="486"/>
      <c r="BD57" s="486"/>
      <c r="BE57" s="486"/>
      <c r="BF57" s="486"/>
      <c r="BG57" s="486"/>
      <c r="BH57" s="486"/>
      <c r="BI57" s="487"/>
      <c r="BK57" s="507" t="s">
        <v>716</v>
      </c>
      <c r="BX57" s="499"/>
    </row>
    <row r="58" spans="2:76" ht="12" customHeight="1">
      <c r="C58" s="497"/>
      <c r="Q58" s="8"/>
      <c r="BX58" s="499"/>
    </row>
    <row r="59" spans="2:76" ht="12" customHeight="1">
      <c r="C59" s="50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09"/>
    </row>
    <row r="60" spans="2:76" ht="12" customHeight="1">
      <c r="C60" s="497"/>
      <c r="D60" s="8" t="s">
        <v>717</v>
      </c>
      <c r="J60" s="502" t="s">
        <v>718</v>
      </c>
      <c r="K60" s="503"/>
      <c r="L60" s="503"/>
      <c r="M60" s="503"/>
      <c r="N60" s="484"/>
      <c r="O60" s="486" t="s">
        <v>719</v>
      </c>
      <c r="P60" s="486"/>
      <c r="Q60" s="486"/>
      <c r="R60" s="486"/>
      <c r="S60" s="486"/>
      <c r="T60" s="487"/>
      <c r="AD60" s="8" t="s">
        <v>720</v>
      </c>
      <c r="AH60" s="1166">
        <v>44622</v>
      </c>
      <c r="AI60" s="1167"/>
      <c r="AJ60" s="1167"/>
      <c r="AK60" s="1167"/>
      <c r="AL60" s="504"/>
      <c r="AO60" s="8" t="s">
        <v>235</v>
      </c>
      <c r="AS60" s="502" t="s">
        <v>1209</v>
      </c>
      <c r="AT60" s="503"/>
      <c r="AU60" s="503"/>
      <c r="AV60" s="503"/>
      <c r="AW60" s="503"/>
      <c r="AX60" s="504"/>
      <c r="BX60" s="499"/>
    </row>
    <row r="61" spans="2:76" ht="12" customHeight="1">
      <c r="C61" s="497"/>
      <c r="D61" s="8" t="s">
        <v>697</v>
      </c>
      <c r="J61" s="502" t="s">
        <v>761</v>
      </c>
      <c r="K61" s="503"/>
      <c r="L61" s="503"/>
      <c r="M61" s="503"/>
      <c r="N61" s="503"/>
      <c r="O61" s="504"/>
      <c r="P61" s="505"/>
      <c r="Q61" s="486" t="s">
        <v>762</v>
      </c>
      <c r="R61" s="486"/>
      <c r="S61" s="486"/>
      <c r="T61" s="486"/>
      <c r="U61" s="486"/>
      <c r="V61" s="486"/>
      <c r="W61" s="486"/>
      <c r="X61" s="486"/>
      <c r="Y61" s="486"/>
      <c r="Z61" s="486"/>
      <c r="AA61" s="487"/>
      <c r="AD61" s="8" t="s">
        <v>721</v>
      </c>
      <c r="AH61" s="1166">
        <v>44628</v>
      </c>
      <c r="AI61" s="1167"/>
      <c r="AJ61" s="1167"/>
      <c r="AK61" s="1167"/>
      <c r="AL61" s="504"/>
      <c r="AO61" s="8" t="s">
        <v>722</v>
      </c>
      <c r="AS61" s="1189">
        <v>3</v>
      </c>
      <c r="AT61" s="1190"/>
      <c r="AU61" s="1190"/>
      <c r="AV61" s="1190"/>
      <c r="AW61" s="1190"/>
      <c r="AX61" s="1191"/>
      <c r="BE61" s="510"/>
      <c r="BX61" s="499"/>
    </row>
    <row r="62" spans="2:76" ht="12" customHeight="1">
      <c r="C62" s="497"/>
      <c r="Q62" s="8"/>
      <c r="BX62" s="499"/>
    </row>
    <row r="63" spans="2:76" ht="12" customHeight="1">
      <c r="C63" s="497"/>
      <c r="D63" s="8" t="s">
        <v>726</v>
      </c>
      <c r="J63" s="511" t="s">
        <v>763</v>
      </c>
      <c r="K63" s="503"/>
      <c r="L63" s="503"/>
      <c r="M63" s="503"/>
      <c r="N63" s="503"/>
      <c r="O63" s="503"/>
      <c r="P63" s="503"/>
      <c r="Q63" s="503"/>
      <c r="R63" s="503"/>
      <c r="S63" s="504"/>
      <c r="W63" s="8" t="s">
        <v>727</v>
      </c>
      <c r="AC63" s="511" t="s">
        <v>764</v>
      </c>
      <c r="AD63" s="503"/>
      <c r="AE63" s="503"/>
      <c r="AF63" s="503"/>
      <c r="AG63" s="503"/>
      <c r="AH63" s="503"/>
      <c r="AI63" s="503"/>
      <c r="AJ63" s="503"/>
      <c r="AK63" s="503"/>
      <c r="AL63" s="504"/>
      <c r="AO63" s="8" t="s">
        <v>728</v>
      </c>
      <c r="AS63" s="511" t="s">
        <v>765</v>
      </c>
      <c r="AT63" s="503"/>
      <c r="AU63" s="503"/>
      <c r="AV63" s="503"/>
      <c r="AW63" s="503"/>
      <c r="AX63" s="503"/>
      <c r="AY63" s="503"/>
      <c r="AZ63" s="503"/>
      <c r="BA63" s="503"/>
      <c r="BB63" s="504"/>
      <c r="BC63" s="8" t="s">
        <v>729</v>
      </c>
      <c r="BX63" s="499"/>
    </row>
    <row r="64" spans="2:76" ht="12" customHeight="1">
      <c r="C64" s="497"/>
      <c r="D64" s="8" t="s">
        <v>731</v>
      </c>
      <c r="J64" s="511" t="s">
        <v>761</v>
      </c>
      <c r="K64" s="503"/>
      <c r="L64" s="503"/>
      <c r="M64" s="503"/>
      <c r="N64" s="484"/>
      <c r="O64" s="486" t="s">
        <v>766</v>
      </c>
      <c r="P64" s="486"/>
      <c r="Q64" s="486"/>
      <c r="R64" s="486"/>
      <c r="S64" s="486"/>
      <c r="T64" s="487"/>
      <c r="W64" s="8" t="s">
        <v>732</v>
      </c>
      <c r="AC64" s="1166">
        <v>44627</v>
      </c>
      <c r="AD64" s="1167"/>
      <c r="AE64" s="1167"/>
      <c r="AF64" s="1167"/>
      <c r="AH64" s="1168">
        <v>0.5</v>
      </c>
      <c r="AI64" s="1169"/>
      <c r="AJ64" s="1169"/>
      <c r="AK64" s="1170"/>
      <c r="AL64" s="512"/>
      <c r="BX64" s="499"/>
    </row>
    <row r="65" spans="2:76" ht="12" customHeight="1">
      <c r="C65" s="497"/>
      <c r="Q65" s="8"/>
      <c r="BX65" s="499"/>
    </row>
    <row r="66" spans="2:76" ht="12" customHeight="1">
      <c r="C66" s="497"/>
      <c r="D66" s="8" t="s">
        <v>733</v>
      </c>
      <c r="J66" s="506" t="s">
        <v>767</v>
      </c>
      <c r="K66" s="503"/>
      <c r="L66" s="503"/>
      <c r="M66" s="504"/>
      <c r="N66" s="512"/>
      <c r="Q66" s="8"/>
      <c r="BX66" s="499"/>
    </row>
    <row r="67" spans="2:76" ht="12" customHeight="1">
      <c r="C67" s="497"/>
      <c r="Q67" s="8"/>
      <c r="BX67" s="499"/>
    </row>
    <row r="68" spans="2:76" ht="12" customHeight="1">
      <c r="C68" s="497"/>
      <c r="BX68" s="499"/>
    </row>
    <row r="69" spans="2:76" ht="12" customHeight="1">
      <c r="C69" s="497"/>
      <c r="F69" s="507"/>
      <c r="BX69" s="499"/>
    </row>
    <row r="70" spans="2:76" ht="12" customHeight="1">
      <c r="C70" s="50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09"/>
    </row>
    <row r="71" spans="2:76" ht="12" customHeight="1" thickBot="1">
      <c r="C71" s="531"/>
      <c r="D71" s="532"/>
      <c r="E71" s="532"/>
      <c r="F71" s="532"/>
      <c r="G71" s="532"/>
      <c r="H71" s="532"/>
      <c r="I71" s="532"/>
      <c r="J71" s="532"/>
      <c r="K71" s="532"/>
      <c r="L71" s="532"/>
      <c r="M71" s="532"/>
      <c r="N71" s="532"/>
      <c r="O71" s="532"/>
      <c r="P71" s="532"/>
      <c r="Q71" s="533"/>
      <c r="R71" s="532"/>
      <c r="S71" s="532"/>
      <c r="T71" s="532"/>
      <c r="U71" s="532"/>
      <c r="V71" s="532"/>
      <c r="W71" s="532"/>
      <c r="X71" s="532"/>
      <c r="Y71" s="532"/>
      <c r="Z71" s="532"/>
      <c r="AA71" s="532"/>
      <c r="AB71" s="532"/>
      <c r="AC71" s="532"/>
      <c r="AD71" s="532"/>
      <c r="AE71" s="532"/>
      <c r="AF71" s="532"/>
      <c r="AG71" s="532"/>
      <c r="AH71" s="532"/>
      <c r="AI71" s="532"/>
      <c r="AJ71" s="532"/>
      <c r="AK71" s="532"/>
      <c r="AL71" s="532"/>
      <c r="AM71" s="532"/>
      <c r="AN71" s="532"/>
      <c r="AO71" s="532"/>
      <c r="AP71" s="532"/>
      <c r="AQ71" s="532"/>
      <c r="AR71" s="532"/>
      <c r="AS71" s="532"/>
      <c r="AT71" s="532"/>
      <c r="AU71" s="532"/>
      <c r="AV71" s="532"/>
      <c r="AW71" s="532"/>
      <c r="AX71" s="532"/>
      <c r="AY71" s="532"/>
      <c r="AZ71" s="532"/>
      <c r="BA71" s="532"/>
      <c r="BB71" s="532"/>
      <c r="BC71" s="532"/>
      <c r="BD71" s="532"/>
      <c r="BE71" s="532"/>
      <c r="BF71" s="532"/>
      <c r="BG71" s="532"/>
      <c r="BH71" s="532"/>
      <c r="BI71" s="532"/>
      <c r="BJ71" s="532"/>
      <c r="BK71" s="532"/>
      <c r="BL71" s="532"/>
      <c r="BM71" s="532"/>
      <c r="BN71" s="532"/>
      <c r="BO71" s="532"/>
      <c r="BP71" s="532"/>
      <c r="BQ71" s="532"/>
      <c r="BR71" s="532"/>
      <c r="BS71" s="532"/>
      <c r="BT71" s="532"/>
      <c r="BU71" s="532"/>
      <c r="BV71" s="532"/>
      <c r="BW71" s="532"/>
      <c r="BX71" s="534"/>
    </row>
    <row r="78" spans="2:76" ht="28.5">
      <c r="B78" s="488" t="s">
        <v>779</v>
      </c>
    </row>
    <row r="79" spans="2:76" ht="12" customHeight="1">
      <c r="C79" s="489" t="s">
        <v>1151</v>
      </c>
    </row>
    <row r="80" spans="2:76" ht="12" customHeight="1" thickBot="1">
      <c r="C80" s="489" t="s">
        <v>781</v>
      </c>
    </row>
    <row r="81" spans="3:63" ht="12" customHeight="1">
      <c r="C81" s="535"/>
      <c r="D81" s="536" t="s">
        <v>783</v>
      </c>
      <c r="E81" s="537"/>
      <c r="F81" s="537"/>
      <c r="G81" s="537"/>
      <c r="H81" s="537"/>
      <c r="I81" s="537"/>
      <c r="J81" s="537"/>
      <c r="K81" s="537"/>
      <c r="L81" s="537"/>
      <c r="M81" s="537"/>
      <c r="N81" s="537"/>
      <c r="O81" s="537"/>
      <c r="P81" s="537"/>
      <c r="Q81" s="538"/>
      <c r="R81" s="537"/>
      <c r="S81" s="537"/>
      <c r="T81" s="537"/>
      <c r="U81" s="537"/>
      <c r="V81" s="537"/>
      <c r="W81" s="537"/>
      <c r="X81" s="537"/>
      <c r="Y81" s="537"/>
      <c r="Z81" s="537"/>
      <c r="AA81" s="537"/>
      <c r="AB81" s="537"/>
      <c r="AC81" s="537"/>
      <c r="AD81" s="537"/>
      <c r="AE81" s="537"/>
      <c r="AF81" s="537"/>
      <c r="AG81" s="537"/>
      <c r="AH81" s="537"/>
      <c r="AI81" s="537"/>
      <c r="AJ81" s="537"/>
      <c r="AK81" s="537"/>
      <c r="AL81" s="537"/>
      <c r="AM81" s="537"/>
      <c r="AN81" s="537"/>
      <c r="AO81" s="537"/>
      <c r="AP81" s="537"/>
      <c r="AQ81" s="537"/>
      <c r="AR81" s="537"/>
      <c r="AS81" s="537"/>
      <c r="AT81" s="537"/>
      <c r="AU81" s="537"/>
      <c r="AV81" s="537"/>
      <c r="AW81" s="537"/>
      <c r="AX81" s="537"/>
      <c r="AY81" s="537"/>
      <c r="AZ81" s="537"/>
      <c r="BA81" s="537"/>
      <c r="BB81" s="537"/>
      <c r="BC81" s="537"/>
      <c r="BD81" s="537"/>
      <c r="BE81" s="537"/>
      <c r="BF81" s="537"/>
      <c r="BG81" s="537"/>
      <c r="BH81" s="537"/>
      <c r="BI81" s="537"/>
      <c r="BJ81" s="537"/>
      <c r="BK81" s="493"/>
    </row>
    <row r="82" spans="3:63" ht="12" customHeight="1">
      <c r="C82" s="497"/>
      <c r="Q82" s="8"/>
      <c r="BK82" s="499"/>
    </row>
    <row r="83" spans="3:63" ht="12" customHeight="1">
      <c r="C83" s="539"/>
      <c r="D83" s="540" t="s">
        <v>245</v>
      </c>
      <c r="E83" s="540"/>
      <c r="F83" s="541"/>
      <c r="G83" s="540"/>
      <c r="H83" s="542" t="s">
        <v>761</v>
      </c>
      <c r="I83" s="543"/>
      <c r="J83" s="543"/>
      <c r="K83" s="543"/>
      <c r="L83" s="543"/>
      <c r="M83" s="544"/>
      <c r="N83" s="498"/>
      <c r="O83" s="540" t="s">
        <v>244</v>
      </c>
      <c r="P83" s="540"/>
      <c r="Q83" s="541"/>
      <c r="R83" s="540"/>
      <c r="S83" s="498"/>
      <c r="T83" s="542" t="s">
        <v>774</v>
      </c>
      <c r="U83" s="543"/>
      <c r="V83" s="543"/>
      <c r="W83" s="543"/>
      <c r="X83" s="544"/>
      <c r="AA83" s="540" t="s">
        <v>784</v>
      </c>
      <c r="AB83" s="545"/>
      <c r="AC83" s="540"/>
      <c r="AE83" s="1163"/>
      <c r="AF83" s="1164"/>
      <c r="AG83" s="1165"/>
      <c r="AJ83" s="546" t="s">
        <v>732</v>
      </c>
      <c r="AK83" s="546"/>
      <c r="AL83" s="546"/>
      <c r="AM83" s="1166">
        <v>44627</v>
      </c>
      <c r="AN83" s="1167"/>
      <c r="AO83" s="1167"/>
      <c r="AP83" s="1167"/>
      <c r="AR83" s="1168">
        <v>0.5</v>
      </c>
      <c r="AS83" s="1169"/>
      <c r="AT83" s="1169"/>
      <c r="AU83" s="1170"/>
      <c r="AV83" s="512"/>
      <c r="BK83" s="499"/>
    </row>
    <row r="84" spans="3:63" ht="12" customHeight="1">
      <c r="C84" s="539"/>
      <c r="Q84" s="8"/>
      <c r="BK84" s="499"/>
    </row>
    <row r="85" spans="3:63" ht="12" customHeight="1">
      <c r="C85" s="539"/>
      <c r="D85" s="547" t="s">
        <v>785</v>
      </c>
      <c r="E85" s="540"/>
      <c r="F85" s="547"/>
      <c r="G85" s="540"/>
      <c r="H85" s="548" t="s">
        <v>786</v>
      </c>
      <c r="I85" s="482"/>
      <c r="J85" s="482"/>
      <c r="K85" s="483"/>
      <c r="O85" s="540" t="s">
        <v>235</v>
      </c>
      <c r="P85" s="547"/>
      <c r="Q85" s="540"/>
      <c r="R85" s="547"/>
      <c r="S85" s="540"/>
      <c r="T85" s="549" t="s">
        <v>1210</v>
      </c>
      <c r="U85" s="482"/>
      <c r="V85" s="482"/>
      <c r="W85" s="482"/>
      <c r="X85" s="482"/>
      <c r="Y85" s="483"/>
      <c r="AA85" s="540"/>
      <c r="AB85" s="540"/>
      <c r="AC85" s="541" t="s">
        <v>787</v>
      </c>
      <c r="AD85" s="540"/>
      <c r="AE85" s="540" t="s">
        <v>788</v>
      </c>
      <c r="AF85" s="550"/>
      <c r="AG85" s="482"/>
      <c r="AH85" s="482"/>
      <c r="AI85" s="482"/>
      <c r="AJ85" s="483"/>
      <c r="AL85" s="540" t="s">
        <v>790</v>
      </c>
      <c r="AM85" s="548"/>
      <c r="AN85" s="482"/>
      <c r="AO85" s="482"/>
      <c r="AP85" s="482"/>
      <c r="AQ85" s="483"/>
      <c r="AS85" s="540" t="s">
        <v>791</v>
      </c>
      <c r="AT85" s="548"/>
      <c r="AU85" s="482"/>
      <c r="AV85" s="482"/>
      <c r="AW85" s="482"/>
      <c r="AX85" s="483"/>
      <c r="BK85" s="499"/>
    </row>
    <row r="86" spans="3:63" ht="12" customHeight="1">
      <c r="C86" s="539"/>
      <c r="D86" s="547" t="s">
        <v>715</v>
      </c>
      <c r="E86" s="540"/>
      <c r="F86" s="547"/>
      <c r="G86" s="540"/>
      <c r="H86" s="548"/>
      <c r="I86" s="482"/>
      <c r="J86" s="482"/>
      <c r="K86" s="482"/>
      <c r="L86" s="551"/>
      <c r="M86" s="483"/>
      <c r="N86" s="552"/>
      <c r="O86" s="553" t="s">
        <v>792</v>
      </c>
      <c r="P86" s="553"/>
      <c r="Q86" s="554"/>
      <c r="R86" s="553"/>
      <c r="S86" s="555"/>
      <c r="T86" s="542"/>
      <c r="U86" s="543"/>
      <c r="V86" s="543"/>
      <c r="W86" s="543"/>
      <c r="X86" s="544"/>
      <c r="BK86" s="499"/>
    </row>
    <row r="87" spans="3:63" ht="12" customHeight="1">
      <c r="C87" s="539"/>
      <c r="D87" s="547" t="s">
        <v>697</v>
      </c>
      <c r="E87" s="540"/>
      <c r="F87" s="547"/>
      <c r="G87" s="540"/>
      <c r="H87" s="548" t="s">
        <v>794</v>
      </c>
      <c r="I87" s="482"/>
      <c r="J87" s="482"/>
      <c r="K87" s="482"/>
      <c r="L87" s="482"/>
      <c r="M87" s="483"/>
      <c r="N87" s="556"/>
      <c r="O87" s="543" t="s">
        <v>762</v>
      </c>
      <c r="P87" s="543"/>
      <c r="Q87" s="543"/>
      <c r="R87" s="543"/>
      <c r="S87" s="543"/>
      <c r="T87" s="543"/>
      <c r="U87" s="543"/>
      <c r="V87" s="544"/>
      <c r="X87" s="540" t="s">
        <v>243</v>
      </c>
      <c r="Y87" s="540"/>
      <c r="Z87" s="540"/>
      <c r="AA87" s="540"/>
      <c r="AB87" s="1166">
        <v>44628</v>
      </c>
      <c r="AC87" s="1167"/>
      <c r="AD87" s="1167"/>
      <c r="AE87" s="1167"/>
      <c r="AF87" s="483"/>
      <c r="AK87" s="510"/>
      <c r="AM87" s="557"/>
      <c r="AN87" s="557"/>
      <c r="AO87" s="557"/>
      <c r="AP87" s="557"/>
      <c r="AQ87" s="557"/>
      <c r="AR87" s="557"/>
      <c r="AS87" s="557"/>
      <c r="AT87" s="557"/>
      <c r="AU87" s="557"/>
      <c r="BK87" s="499"/>
    </row>
    <row r="88" spans="3:63" ht="12" customHeight="1">
      <c r="C88" s="539"/>
      <c r="D88" s="558" t="s">
        <v>742</v>
      </c>
      <c r="E88" s="540"/>
      <c r="F88" s="547"/>
      <c r="G88" s="540"/>
      <c r="H88" s="548" t="s">
        <v>795</v>
      </c>
      <c r="I88" s="482"/>
      <c r="J88" s="482"/>
      <c r="K88" s="482"/>
      <c r="L88" s="482"/>
      <c r="M88" s="483"/>
      <c r="O88" s="540" t="s">
        <v>796</v>
      </c>
      <c r="P88" s="540"/>
      <c r="Q88" s="540"/>
      <c r="R88" s="540"/>
      <c r="S88" s="506"/>
      <c r="T88" s="559"/>
      <c r="U88" s="559"/>
      <c r="V88" s="559"/>
      <c r="W88" s="559"/>
      <c r="X88" s="559"/>
      <c r="Y88" s="559"/>
      <c r="Z88" s="559"/>
      <c r="AA88" s="559"/>
      <c r="AB88" s="503"/>
      <c r="AC88" s="503"/>
      <c r="AD88" s="503"/>
      <c r="AE88" s="503"/>
      <c r="AF88" s="504"/>
      <c r="AI88" s="540" t="s">
        <v>798</v>
      </c>
      <c r="AJ88" s="540"/>
      <c r="AK88" s="540"/>
      <c r="AL88" s="540"/>
      <c r="AM88" s="506"/>
      <c r="AN88" s="559"/>
      <c r="AO88" s="559"/>
      <c r="AP88" s="559"/>
      <c r="AQ88" s="559"/>
      <c r="AR88" s="559"/>
      <c r="AS88" s="559"/>
      <c r="AT88" s="559"/>
      <c r="AU88" s="559"/>
      <c r="AV88" s="503"/>
      <c r="AW88" s="503"/>
      <c r="AX88" s="503"/>
      <c r="AY88" s="503"/>
      <c r="AZ88" s="504"/>
      <c r="BK88" s="499"/>
    </row>
    <row r="89" spans="3:63" ht="12" customHeight="1">
      <c r="C89" s="539"/>
      <c r="D89" s="547" t="s">
        <v>799</v>
      </c>
      <c r="E89" s="540"/>
      <c r="F89" s="547"/>
      <c r="G89" s="540"/>
      <c r="H89" s="548"/>
      <c r="I89" s="482"/>
      <c r="J89" s="482"/>
      <c r="K89" s="482"/>
      <c r="L89" s="482"/>
      <c r="M89" s="483"/>
      <c r="O89" s="540" t="s">
        <v>743</v>
      </c>
      <c r="P89" s="540"/>
      <c r="Q89" s="540"/>
      <c r="R89" s="540"/>
      <c r="S89" s="506"/>
      <c r="T89" s="559"/>
      <c r="U89" s="559"/>
      <c r="V89" s="559"/>
      <c r="W89" s="559"/>
      <c r="X89" s="559"/>
      <c r="Y89" s="559"/>
      <c r="Z89" s="559"/>
      <c r="AA89" s="559"/>
      <c r="AB89" s="503"/>
      <c r="AC89" s="503"/>
      <c r="AD89" s="503"/>
      <c r="AE89" s="503"/>
      <c r="AF89" s="504"/>
      <c r="AI89" s="540" t="s">
        <v>801</v>
      </c>
      <c r="AJ89" s="540"/>
      <c r="AK89" s="540"/>
      <c r="AL89" s="540"/>
      <c r="AM89" s="506"/>
      <c r="AN89" s="559"/>
      <c r="AO89" s="559"/>
      <c r="AP89" s="559"/>
      <c r="AQ89" s="559"/>
      <c r="AR89" s="559"/>
      <c r="AS89" s="559"/>
      <c r="AT89" s="559"/>
      <c r="AU89" s="559"/>
      <c r="AV89" s="503"/>
      <c r="AW89" s="503"/>
      <c r="AX89" s="503"/>
      <c r="AY89" s="503"/>
      <c r="AZ89" s="504"/>
      <c r="BK89" s="499"/>
    </row>
    <row r="90" spans="3:63" ht="12" customHeight="1">
      <c r="C90" s="539"/>
      <c r="D90" s="547" t="s">
        <v>802</v>
      </c>
      <c r="E90" s="540"/>
      <c r="F90" s="547"/>
      <c r="G90" s="540"/>
      <c r="H90" s="511" t="s">
        <v>763</v>
      </c>
      <c r="I90" s="503"/>
      <c r="J90" s="503"/>
      <c r="K90" s="503"/>
      <c r="L90" s="503"/>
      <c r="M90" s="504"/>
      <c r="O90" s="540" t="s">
        <v>803</v>
      </c>
      <c r="P90" s="540"/>
      <c r="Q90" s="540"/>
      <c r="R90" s="540"/>
      <c r="S90" s="506"/>
      <c r="T90" s="503"/>
      <c r="U90" s="503"/>
      <c r="V90" s="503"/>
      <c r="W90" s="503"/>
      <c r="X90" s="504"/>
      <c r="BK90" s="499"/>
    </row>
    <row r="91" spans="3:63" ht="12" customHeight="1">
      <c r="C91" s="539"/>
      <c r="D91" s="560" t="s">
        <v>804</v>
      </c>
      <c r="E91" s="540"/>
      <c r="F91" s="547"/>
      <c r="G91" s="540"/>
      <c r="H91" s="548"/>
      <c r="I91" s="482"/>
      <c r="J91" s="482"/>
      <c r="K91" s="482"/>
      <c r="L91" s="482"/>
      <c r="M91" s="483"/>
      <c r="O91" s="540" t="s">
        <v>805</v>
      </c>
      <c r="P91" s="540"/>
      <c r="Q91" s="545"/>
      <c r="R91" s="540"/>
      <c r="S91" s="548"/>
      <c r="T91" s="482"/>
      <c r="U91" s="482"/>
      <c r="V91" s="482"/>
      <c r="W91" s="482"/>
      <c r="X91" s="483"/>
      <c r="BK91" s="499"/>
    </row>
    <row r="92" spans="3:63" ht="12" customHeight="1">
      <c r="C92" s="539"/>
      <c r="BK92" s="499"/>
    </row>
    <row r="93" spans="3:63" ht="12" customHeight="1">
      <c r="C93" s="539"/>
      <c r="D93" s="540" t="s">
        <v>806</v>
      </c>
      <c r="E93" s="540"/>
      <c r="H93" s="547" t="s">
        <v>287</v>
      </c>
      <c r="I93" s="540"/>
      <c r="J93" s="540"/>
      <c r="K93" s="561"/>
      <c r="L93" s="562"/>
      <c r="M93" s="563"/>
      <c r="O93" s="540" t="s">
        <v>807</v>
      </c>
      <c r="P93" s="540"/>
      <c r="Q93" s="540"/>
      <c r="R93" s="540"/>
      <c r="S93" s="561"/>
      <c r="T93" s="562"/>
      <c r="U93" s="563"/>
      <c r="Z93" s="540" t="s">
        <v>808</v>
      </c>
      <c r="AA93" s="540"/>
      <c r="AB93" s="540"/>
      <c r="AC93" s="561"/>
      <c r="AD93" s="562"/>
      <c r="AE93" s="562"/>
      <c r="AF93" s="563"/>
      <c r="AI93" s="540"/>
      <c r="AJ93" s="540"/>
      <c r="AK93" s="540"/>
      <c r="AL93" s="540"/>
      <c r="AM93" s="541" t="s">
        <v>809</v>
      </c>
      <c r="AN93" s="561"/>
      <c r="AO93" s="562"/>
      <c r="AP93" s="562"/>
      <c r="AQ93" s="563"/>
      <c r="AR93" s="556"/>
      <c r="BK93" s="499"/>
    </row>
    <row r="94" spans="3:63" ht="12" customHeight="1">
      <c r="C94" s="539"/>
      <c r="BK94" s="499"/>
    </row>
    <row r="95" spans="3:63" ht="12" customHeight="1">
      <c r="C95" s="539"/>
      <c r="D95" s="540" t="s">
        <v>810</v>
      </c>
      <c r="E95" s="540"/>
      <c r="F95" s="540"/>
      <c r="G95" s="540"/>
      <c r="H95" s="1171" t="s">
        <v>811</v>
      </c>
      <c r="I95" s="1172"/>
      <c r="J95" s="1172"/>
      <c r="K95" s="1172"/>
      <c r="L95" s="563"/>
      <c r="BK95" s="499"/>
    </row>
    <row r="96" spans="3:63" ht="12" customHeight="1">
      <c r="C96" s="539"/>
      <c r="Q96" s="8"/>
      <c r="BK96" s="499"/>
    </row>
    <row r="97" spans="3:90" ht="12" customHeight="1">
      <c r="C97" s="497"/>
      <c r="D97" s="566" t="s">
        <v>812</v>
      </c>
      <c r="E97" s="515"/>
      <c r="F97" s="515"/>
      <c r="G97" s="515"/>
      <c r="H97" s="515"/>
      <c r="I97" s="515"/>
      <c r="Q97" s="8"/>
      <c r="BK97" s="499"/>
    </row>
    <row r="98" spans="3:90" ht="12" customHeight="1">
      <c r="C98" s="497"/>
      <c r="D98" s="540" t="s">
        <v>813</v>
      </c>
      <c r="E98" s="540"/>
      <c r="F98" s="540"/>
      <c r="G98" s="540"/>
      <c r="H98" s="540"/>
      <c r="I98" s="540"/>
      <c r="J98" s="1329"/>
      <c r="K98" s="1330"/>
      <c r="O98" s="540" t="s">
        <v>815</v>
      </c>
      <c r="P98" s="540"/>
      <c r="Q98" s="545"/>
      <c r="R98" s="540"/>
      <c r="S98" s="540"/>
      <c r="T98" s="540"/>
      <c r="U98" s="540"/>
      <c r="V98" s="540"/>
      <c r="W98" s="540"/>
      <c r="X98" s="540"/>
      <c r="Z98" s="540" t="s">
        <v>816</v>
      </c>
      <c r="AA98" s="540"/>
      <c r="AB98" s="540"/>
      <c r="AC98" s="540"/>
      <c r="AD98" s="540"/>
      <c r="AE98" s="540"/>
      <c r="AF98" s="540"/>
      <c r="AG98" s="540"/>
      <c r="AI98" s="540" t="s">
        <v>817</v>
      </c>
      <c r="AJ98" s="540"/>
      <c r="AK98" s="540"/>
      <c r="AL98" s="540"/>
      <c r="AM98" s="540"/>
      <c r="AN98" s="540"/>
      <c r="AO98" s="540"/>
      <c r="AP98" s="540"/>
      <c r="AQ98" s="540"/>
      <c r="AR98" s="540"/>
      <c r="AT98" s="540" t="s">
        <v>818</v>
      </c>
      <c r="AU98" s="540"/>
      <c r="AV98" s="540"/>
      <c r="AW98" s="540"/>
      <c r="AX98" s="540"/>
      <c r="AY98" s="540"/>
      <c r="AZ98" s="540"/>
      <c r="BA98" s="540"/>
      <c r="BB98" s="540"/>
      <c r="BC98" s="540"/>
      <c r="BK98" s="499"/>
    </row>
    <row r="99" spans="3:90" ht="12" customHeight="1">
      <c r="C99" s="497"/>
      <c r="D99" s="540"/>
      <c r="E99" s="540"/>
      <c r="F99" s="540" t="s">
        <v>819</v>
      </c>
      <c r="G99" s="540"/>
      <c r="H99" s="540"/>
      <c r="I99" s="540"/>
      <c r="J99" s="1301"/>
      <c r="K99" s="1302"/>
      <c r="L99" s="1296"/>
      <c r="M99" s="1297"/>
      <c r="N99" s="556"/>
      <c r="O99" s="562"/>
      <c r="P99" s="562"/>
      <c r="Q99" s="562"/>
      <c r="R99" s="562"/>
      <c r="S99" s="562"/>
      <c r="T99" s="562"/>
      <c r="U99" s="562"/>
      <c r="V99" s="562"/>
      <c r="W99" s="562"/>
      <c r="X99" s="563"/>
      <c r="Y99" s="498"/>
      <c r="Z99" s="1298"/>
      <c r="AA99" s="1299"/>
      <c r="AB99" s="1299"/>
      <c r="AC99" s="1300"/>
      <c r="AD99" s="556"/>
      <c r="AE99" s="562"/>
      <c r="AF99" s="562"/>
      <c r="AG99" s="563"/>
      <c r="AH99" s="498"/>
      <c r="AI99" s="1298"/>
      <c r="AJ99" s="1296"/>
      <c r="AK99" s="1296"/>
      <c r="AL99" s="1297"/>
      <c r="AM99" s="747"/>
      <c r="AN99" s="562"/>
      <c r="AO99" s="562"/>
      <c r="AP99" s="562"/>
      <c r="AQ99" s="562"/>
      <c r="AR99" s="563"/>
      <c r="AT99" s="1298"/>
      <c r="AU99" s="1296"/>
      <c r="AV99" s="1296"/>
      <c r="AW99" s="1297"/>
      <c r="AX99" s="747"/>
      <c r="AY99" s="562"/>
      <c r="AZ99" s="562"/>
      <c r="BA99" s="562"/>
      <c r="BB99" s="562"/>
      <c r="BC99" s="563"/>
      <c r="BK99" s="499"/>
    </row>
    <row r="100" spans="3:90" ht="12" customHeight="1">
      <c r="C100" s="497"/>
      <c r="D100" s="540"/>
      <c r="E100" s="540"/>
      <c r="F100" s="540" t="s">
        <v>824</v>
      </c>
      <c r="G100" s="540"/>
      <c r="H100" s="540"/>
      <c r="I100" s="540"/>
      <c r="J100" s="1295"/>
      <c r="K100" s="1296"/>
      <c r="L100" s="1296"/>
      <c r="M100" s="1297"/>
      <c r="N100" s="556"/>
      <c r="O100" s="562"/>
      <c r="P100" s="562"/>
      <c r="Q100" s="562"/>
      <c r="R100" s="562"/>
      <c r="S100" s="562"/>
      <c r="T100" s="562"/>
      <c r="U100" s="562"/>
      <c r="V100" s="562"/>
      <c r="W100" s="562"/>
      <c r="X100" s="563"/>
      <c r="Y100" s="498"/>
      <c r="Z100" s="1298"/>
      <c r="AA100" s="1299"/>
      <c r="AB100" s="1299"/>
      <c r="AC100" s="1300"/>
      <c r="AD100" s="556"/>
      <c r="AE100" s="562"/>
      <c r="AF100" s="562"/>
      <c r="AG100" s="563"/>
      <c r="AH100" s="498"/>
      <c r="AI100" s="1298"/>
      <c r="AJ100" s="1296"/>
      <c r="AK100" s="1296"/>
      <c r="AL100" s="1297"/>
      <c r="AM100" s="747"/>
      <c r="AN100" s="562"/>
      <c r="AO100" s="562"/>
      <c r="AP100" s="562"/>
      <c r="AQ100" s="562"/>
      <c r="AR100" s="563"/>
      <c r="AT100" s="1298"/>
      <c r="AU100" s="1296"/>
      <c r="AV100" s="1296"/>
      <c r="AW100" s="1297"/>
      <c r="AX100" s="747"/>
      <c r="AY100" s="562"/>
      <c r="AZ100" s="562"/>
      <c r="BA100" s="562"/>
      <c r="BB100" s="562"/>
      <c r="BC100" s="563"/>
      <c r="BK100" s="499"/>
    </row>
    <row r="101" spans="3:90" ht="12" customHeight="1">
      <c r="C101" s="497"/>
      <c r="D101" s="540"/>
      <c r="E101" s="540"/>
      <c r="F101" s="540" t="s">
        <v>827</v>
      </c>
      <c r="G101" s="540"/>
      <c r="H101" s="540"/>
      <c r="I101" s="540"/>
      <c r="J101" s="1295"/>
      <c r="K101" s="1296"/>
      <c r="L101" s="1296"/>
      <c r="M101" s="1296"/>
      <c r="N101" s="556"/>
      <c r="O101" s="562"/>
      <c r="P101" s="562"/>
      <c r="Q101" s="562"/>
      <c r="R101" s="562"/>
      <c r="S101" s="562"/>
      <c r="T101" s="562"/>
      <c r="U101" s="562"/>
      <c r="V101" s="562"/>
      <c r="W101" s="562"/>
      <c r="X101" s="563"/>
      <c r="Y101" s="498"/>
      <c r="Z101" s="1298"/>
      <c r="AA101" s="1299"/>
      <c r="AB101" s="1299"/>
      <c r="AC101" s="1300"/>
      <c r="AD101" s="556"/>
      <c r="AE101" s="562"/>
      <c r="AF101" s="562"/>
      <c r="AG101" s="563"/>
      <c r="AH101" s="498"/>
      <c r="AI101" s="1298"/>
      <c r="AJ101" s="1296"/>
      <c r="AK101" s="1296"/>
      <c r="AL101" s="1296"/>
      <c r="AM101" s="747"/>
      <c r="AN101" s="562"/>
      <c r="AO101" s="562"/>
      <c r="AP101" s="562"/>
      <c r="AQ101" s="562"/>
      <c r="AR101" s="563"/>
      <c r="AT101" s="1298"/>
      <c r="AU101" s="1296"/>
      <c r="AV101" s="1296"/>
      <c r="AW101" s="1296"/>
      <c r="AX101" s="747"/>
      <c r="AY101" s="562"/>
      <c r="AZ101" s="562"/>
      <c r="BA101" s="562"/>
      <c r="BB101" s="562"/>
      <c r="BC101" s="563"/>
      <c r="BK101" s="499"/>
    </row>
    <row r="102" spans="3:90" ht="12" customHeight="1">
      <c r="C102" s="497"/>
      <c r="D102" s="540" t="s">
        <v>831</v>
      </c>
      <c r="E102" s="540"/>
      <c r="F102" s="540"/>
      <c r="G102" s="540"/>
      <c r="H102" s="540"/>
      <c r="I102" s="540"/>
      <c r="J102" s="561"/>
      <c r="K102" s="562"/>
      <c r="L102" s="562"/>
      <c r="M102" s="562"/>
      <c r="N102" s="563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  <c r="AA102" s="567"/>
      <c r="AB102" s="567"/>
      <c r="AC102" s="567"/>
      <c r="AD102" s="567"/>
      <c r="AE102" s="567"/>
      <c r="AF102" s="567"/>
      <c r="AG102" s="567"/>
      <c r="AH102" s="567"/>
      <c r="AI102" s="567"/>
      <c r="AJ102" s="567"/>
      <c r="AK102" s="567"/>
      <c r="AL102" s="567"/>
      <c r="AM102" s="567"/>
      <c r="AN102" s="567"/>
      <c r="AO102" s="567"/>
      <c r="AP102" s="567"/>
      <c r="AQ102" s="567"/>
      <c r="AR102" s="567"/>
      <c r="AS102" s="567"/>
      <c r="AT102" s="567"/>
      <c r="AV102" s="567"/>
      <c r="AW102" s="567"/>
      <c r="AX102" s="567"/>
      <c r="AY102" s="567"/>
      <c r="AZ102" s="567"/>
      <c r="BK102" s="499"/>
    </row>
    <row r="103" spans="3:90" ht="12" customHeight="1">
      <c r="C103" s="497"/>
      <c r="D103" s="540" t="s">
        <v>1211</v>
      </c>
      <c r="E103" s="540"/>
      <c r="F103" s="540"/>
      <c r="G103" s="540"/>
      <c r="H103" s="540"/>
      <c r="I103" s="540"/>
      <c r="J103" s="498" t="s">
        <v>835</v>
      </c>
      <c r="K103" s="498"/>
      <c r="L103" s="1326"/>
      <c r="M103" s="1327"/>
      <c r="N103" s="1328"/>
      <c r="P103" s="8" t="s">
        <v>1212</v>
      </c>
      <c r="Q103" s="8"/>
      <c r="R103" s="1292"/>
      <c r="S103" s="1293"/>
      <c r="T103" s="1294"/>
      <c r="BK103" s="499"/>
      <c r="CL103" s="500" t="s">
        <v>857</v>
      </c>
    </row>
    <row r="104" spans="3:90" ht="12" customHeight="1">
      <c r="C104" s="497"/>
      <c r="D104" s="540" t="s">
        <v>843</v>
      </c>
      <c r="E104" s="540"/>
      <c r="F104" s="540"/>
      <c r="G104" s="540"/>
      <c r="H104" s="540"/>
      <c r="I104" s="540"/>
      <c r="J104" s="498" t="s">
        <v>835</v>
      </c>
      <c r="K104" s="498"/>
      <c r="L104" s="1326"/>
      <c r="M104" s="1327"/>
      <c r="N104" s="1328"/>
      <c r="Q104" s="8"/>
      <c r="R104" s="498"/>
      <c r="S104" s="498"/>
      <c r="T104" s="498"/>
      <c r="BK104" s="499"/>
      <c r="CL104" s="500" t="s">
        <v>857</v>
      </c>
    </row>
    <row r="105" spans="3:90" ht="12" customHeight="1">
      <c r="C105" s="497"/>
      <c r="D105" s="540" t="s">
        <v>844</v>
      </c>
      <c r="E105" s="540"/>
      <c r="F105" s="540"/>
      <c r="G105" s="540"/>
      <c r="H105" s="540"/>
      <c r="I105" s="540"/>
      <c r="J105" s="1171"/>
      <c r="K105" s="1172"/>
      <c r="L105" s="1172"/>
      <c r="M105" s="1172"/>
      <c r="N105" s="1285"/>
      <c r="BK105" s="499"/>
      <c r="CL105" s="500"/>
    </row>
    <row r="106" spans="3:90" ht="12" customHeight="1">
      <c r="C106" s="497"/>
      <c r="D106" s="540" t="s">
        <v>722</v>
      </c>
      <c r="E106" s="540"/>
      <c r="F106" s="540"/>
      <c r="G106" s="540"/>
      <c r="H106" s="540"/>
      <c r="I106" s="540"/>
      <c r="J106" s="1146"/>
      <c r="K106" s="1147"/>
      <c r="L106" s="1147"/>
      <c r="M106" s="1147"/>
      <c r="N106" s="1148"/>
      <c r="P106" s="540" t="s">
        <v>845</v>
      </c>
      <c r="Q106" s="540"/>
      <c r="R106" s="540"/>
      <c r="S106" s="540"/>
      <c r="T106" s="564"/>
      <c r="U106" s="565"/>
      <c r="V106" s="565"/>
      <c r="W106" s="565"/>
      <c r="X106" s="574"/>
      <c r="Z106" s="540" t="s">
        <v>847</v>
      </c>
      <c r="AA106" s="540"/>
      <c r="AB106" s="540"/>
      <c r="AC106" s="540"/>
      <c r="AD106" s="1163"/>
      <c r="AE106" s="1164"/>
      <c r="AF106" s="1164"/>
      <c r="AG106" s="1165"/>
      <c r="AH106" s="575"/>
      <c r="AI106" s="540" t="s">
        <v>848</v>
      </c>
      <c r="AJ106" s="540"/>
      <c r="AK106" s="540"/>
      <c r="AL106" s="540"/>
      <c r="AM106" s="564"/>
      <c r="AN106" s="565"/>
      <c r="AO106" s="565"/>
      <c r="AP106" s="565"/>
      <c r="AQ106" s="748"/>
      <c r="AT106" s="540" t="s">
        <v>849</v>
      </c>
      <c r="AU106" s="540"/>
      <c r="AV106" s="540"/>
      <c r="AW106" s="540"/>
      <c r="AX106" s="540"/>
      <c r="AY106" s="583"/>
      <c r="AZ106" s="584"/>
      <c r="BA106" s="584"/>
      <c r="BB106" s="584"/>
      <c r="BC106" s="578"/>
      <c r="BE106" s="8" t="s">
        <v>850</v>
      </c>
      <c r="BF106" s="10"/>
      <c r="BH106" s="10"/>
      <c r="BK106" s="499"/>
      <c r="CL106" s="500"/>
    </row>
    <row r="107" spans="3:90" ht="12" customHeight="1">
      <c r="C107" s="497"/>
      <c r="D107" s="498"/>
      <c r="E107" s="498"/>
      <c r="F107" s="498"/>
      <c r="G107" s="498"/>
      <c r="H107" s="498"/>
      <c r="I107" s="498"/>
      <c r="J107" s="891"/>
      <c r="K107" s="891"/>
      <c r="L107" s="891"/>
      <c r="M107" s="891"/>
      <c r="N107" s="498"/>
      <c r="O107" s="498"/>
      <c r="P107" s="498"/>
      <c r="Q107" s="498"/>
      <c r="R107" s="498"/>
      <c r="S107" s="498"/>
      <c r="T107" s="498"/>
      <c r="U107" s="498"/>
      <c r="V107" s="498"/>
      <c r="W107" s="498"/>
      <c r="X107" s="498"/>
      <c r="Y107" s="498"/>
      <c r="Z107" s="498"/>
      <c r="AA107" s="498"/>
      <c r="AB107" s="498"/>
      <c r="AC107" s="498"/>
      <c r="AD107" s="498"/>
      <c r="AE107" s="498"/>
      <c r="AF107" s="498"/>
      <c r="AG107" s="498"/>
      <c r="AH107" s="498"/>
      <c r="AN107" s="498"/>
      <c r="AO107" s="498"/>
      <c r="AP107" s="498"/>
      <c r="AQ107" s="498"/>
      <c r="AR107" s="498"/>
      <c r="AS107" s="498"/>
      <c r="AT107" s="498"/>
      <c r="AU107" s="498"/>
      <c r="AV107" s="498"/>
      <c r="AW107" s="498"/>
      <c r="AX107" s="498"/>
      <c r="AY107" s="498"/>
      <c r="AZ107" s="498"/>
      <c r="BA107" s="498"/>
      <c r="BI107" s="498"/>
      <c r="BK107" s="499"/>
      <c r="CL107" s="500"/>
    </row>
    <row r="108" spans="3:90" ht="12" customHeight="1">
      <c r="C108" s="497"/>
      <c r="D108" s="566" t="s">
        <v>851</v>
      </c>
      <c r="E108" s="515"/>
      <c r="F108" s="515"/>
      <c r="G108" s="515"/>
      <c r="H108" s="515"/>
      <c r="I108" s="515"/>
      <c r="Q108" s="8"/>
      <c r="BF108" s="10"/>
      <c r="BH108" s="10"/>
      <c r="BK108" s="499"/>
      <c r="CL108" s="500"/>
    </row>
    <row r="109" spans="3:90" ht="12" customHeight="1">
      <c r="C109" s="497"/>
      <c r="D109" s="540" t="s">
        <v>852</v>
      </c>
      <c r="E109" s="540"/>
      <c r="F109" s="540"/>
      <c r="G109" s="540"/>
      <c r="H109" s="540"/>
      <c r="I109" s="540"/>
      <c r="J109" s="580"/>
      <c r="K109" s="562"/>
      <c r="L109" s="562"/>
      <c r="M109" s="562"/>
      <c r="N109" s="562"/>
      <c r="O109" s="542"/>
      <c r="P109" s="543"/>
      <c r="Q109" s="543"/>
      <c r="R109" s="543"/>
      <c r="S109" s="543"/>
      <c r="T109" s="543"/>
      <c r="U109" s="543"/>
      <c r="V109" s="569"/>
      <c r="W109" s="569"/>
      <c r="X109" s="569"/>
      <c r="Y109" s="575"/>
      <c r="Z109" s="540" t="s">
        <v>854</v>
      </c>
      <c r="AA109" s="540"/>
      <c r="AB109" s="540"/>
      <c r="AC109" s="540"/>
      <c r="AD109" s="581"/>
      <c r="AE109" s="581"/>
      <c r="AF109" s="581"/>
      <c r="AG109" s="574"/>
      <c r="AH109" s="498"/>
      <c r="AI109" s="540" t="s">
        <v>855</v>
      </c>
      <c r="AJ109" s="540"/>
      <c r="AK109" s="540"/>
      <c r="AL109" s="540"/>
      <c r="AM109" s="564"/>
      <c r="AN109" s="565"/>
      <c r="AO109" s="565"/>
      <c r="AP109" s="565"/>
      <c r="AQ109" s="748"/>
      <c r="AT109" s="540" t="s">
        <v>849</v>
      </c>
      <c r="AU109" s="540"/>
      <c r="AV109" s="540"/>
      <c r="AW109" s="540"/>
      <c r="AX109" s="540"/>
      <c r="AY109" s="583"/>
      <c r="AZ109" s="584"/>
      <c r="BA109" s="584"/>
      <c r="BB109" s="584"/>
      <c r="BC109" s="578"/>
      <c r="BK109" s="499"/>
      <c r="CL109" s="500" t="s">
        <v>857</v>
      </c>
    </row>
    <row r="110" spans="3:90" ht="12" customHeight="1">
      <c r="C110" s="497"/>
      <c r="D110" s="498"/>
      <c r="E110" s="498"/>
      <c r="F110" s="498"/>
      <c r="G110" s="498"/>
      <c r="H110" s="498"/>
      <c r="I110" s="498"/>
      <c r="J110" s="891"/>
      <c r="K110" s="891"/>
      <c r="L110" s="891"/>
      <c r="M110" s="891"/>
      <c r="N110" s="498"/>
      <c r="O110" s="498"/>
      <c r="P110" s="498"/>
      <c r="Q110" s="498"/>
      <c r="R110" s="498"/>
      <c r="S110" s="498"/>
      <c r="T110" s="498"/>
      <c r="U110" s="498"/>
      <c r="V110" s="498"/>
      <c r="W110" s="498"/>
      <c r="X110" s="498"/>
      <c r="Y110" s="498"/>
      <c r="Z110" s="498"/>
      <c r="AA110" s="498"/>
      <c r="AB110" s="498"/>
      <c r="AC110" s="498"/>
      <c r="AD110" s="498"/>
      <c r="AE110" s="498"/>
      <c r="AF110" s="498"/>
      <c r="AG110" s="498"/>
      <c r="AH110" s="498"/>
      <c r="AN110" s="498"/>
      <c r="AO110" s="498"/>
      <c r="AP110" s="498"/>
      <c r="AQ110" s="498"/>
      <c r="AR110" s="498"/>
      <c r="AS110" s="498"/>
      <c r="AT110" s="498"/>
      <c r="AU110" s="498"/>
      <c r="AV110" s="498"/>
      <c r="AW110" s="498"/>
      <c r="AX110" s="498"/>
      <c r="AY110" s="498"/>
      <c r="AZ110" s="498"/>
      <c r="BA110" s="498"/>
      <c r="BI110" s="498"/>
      <c r="BK110" s="499"/>
    </row>
    <row r="111" spans="3:90" ht="12" customHeight="1">
      <c r="C111" s="497"/>
      <c r="D111" s="566" t="s">
        <v>858</v>
      </c>
      <c r="E111" s="515"/>
      <c r="F111" s="515"/>
      <c r="G111" s="515"/>
      <c r="H111" s="515"/>
      <c r="I111" s="515"/>
      <c r="BB111" s="498"/>
      <c r="BC111" s="498"/>
      <c r="BD111" s="498"/>
      <c r="BE111" s="498"/>
      <c r="BF111" s="498"/>
      <c r="BG111" s="498"/>
      <c r="BH111" s="498"/>
      <c r="BI111" s="498"/>
      <c r="BK111" s="499"/>
    </row>
    <row r="112" spans="3:90" ht="12" customHeight="1">
      <c r="C112" s="497"/>
      <c r="D112" s="540" t="s">
        <v>859</v>
      </c>
      <c r="E112" s="540"/>
      <c r="F112" s="540"/>
      <c r="G112" s="540"/>
      <c r="H112" s="540"/>
      <c r="I112" s="540"/>
      <c r="J112" s="511"/>
      <c r="K112" s="503"/>
      <c r="L112" s="503"/>
      <c r="M112" s="503"/>
      <c r="N112" s="503"/>
      <c r="O112" s="503"/>
      <c r="P112" s="503"/>
      <c r="Q112" s="503"/>
      <c r="R112" s="503"/>
      <c r="S112" s="503"/>
      <c r="T112" s="503"/>
      <c r="U112" s="503"/>
      <c r="V112" s="503"/>
      <c r="W112" s="503"/>
      <c r="X112" s="503"/>
      <c r="Y112" s="503"/>
      <c r="Z112" s="503"/>
      <c r="AA112" s="504"/>
      <c r="AD112" s="540" t="s">
        <v>861</v>
      </c>
      <c r="AE112" s="540"/>
      <c r="AF112" s="540"/>
      <c r="AG112" s="540"/>
      <c r="AH112" s="540"/>
      <c r="AI112" s="540"/>
      <c r="AJ112" s="511"/>
      <c r="AK112" s="503"/>
      <c r="AL112" s="503"/>
      <c r="AM112" s="503"/>
      <c r="AN112" s="503"/>
      <c r="AO112" s="503"/>
      <c r="AP112" s="503"/>
      <c r="AQ112" s="503"/>
      <c r="AR112" s="503"/>
      <c r="AS112" s="503"/>
      <c r="AT112" s="503"/>
      <c r="AU112" s="503"/>
      <c r="AV112" s="503"/>
      <c r="AW112" s="503"/>
      <c r="AX112" s="503"/>
      <c r="AY112" s="503"/>
      <c r="AZ112" s="503"/>
      <c r="BA112" s="504"/>
      <c r="BB112" s="498"/>
      <c r="BC112" s="498"/>
      <c r="BD112" s="498"/>
      <c r="BE112" s="498"/>
      <c r="BF112" s="498"/>
      <c r="BG112" s="498"/>
      <c r="BH112" s="498"/>
      <c r="BI112" s="498"/>
      <c r="BK112" s="499"/>
    </row>
    <row r="113" spans="3:63" ht="12" customHeight="1">
      <c r="C113" s="497"/>
      <c r="D113" s="540" t="s">
        <v>863</v>
      </c>
      <c r="E113" s="540"/>
      <c r="F113" s="540"/>
      <c r="G113" s="540"/>
      <c r="H113" s="540"/>
      <c r="I113" s="540"/>
      <c r="J113" s="511"/>
      <c r="K113" s="503"/>
      <c r="L113" s="503"/>
      <c r="M113" s="503"/>
      <c r="N113" s="503"/>
      <c r="O113" s="503"/>
      <c r="P113" s="503"/>
      <c r="Q113" s="503"/>
      <c r="R113" s="503"/>
      <c r="S113" s="503"/>
      <c r="T113" s="503"/>
      <c r="U113" s="503"/>
      <c r="V113" s="503"/>
      <c r="W113" s="503"/>
      <c r="X113" s="503"/>
      <c r="Y113" s="503"/>
      <c r="Z113" s="503"/>
      <c r="AA113" s="504"/>
      <c r="AD113" s="540" t="s">
        <v>864</v>
      </c>
      <c r="AE113" s="540"/>
      <c r="AF113" s="540"/>
      <c r="AG113" s="540"/>
      <c r="AH113" s="540"/>
      <c r="AI113" s="540"/>
      <c r="AJ113" s="511"/>
      <c r="AK113" s="503"/>
      <c r="AL113" s="503"/>
      <c r="AM113" s="503"/>
      <c r="AN113" s="503"/>
      <c r="AO113" s="503"/>
      <c r="AP113" s="503"/>
      <c r="AQ113" s="503"/>
      <c r="AR113" s="503"/>
      <c r="AS113" s="503"/>
      <c r="AT113" s="503"/>
      <c r="AU113" s="503"/>
      <c r="AV113" s="503"/>
      <c r="AW113" s="503"/>
      <c r="AX113" s="503"/>
      <c r="AY113" s="503"/>
      <c r="AZ113" s="503"/>
      <c r="BA113" s="504"/>
      <c r="BB113" s="498"/>
      <c r="BC113" s="498"/>
      <c r="BD113" s="498"/>
      <c r="BE113" s="498"/>
      <c r="BF113" s="498"/>
      <c r="BG113" s="498"/>
      <c r="BH113" s="498"/>
      <c r="BI113" s="498"/>
      <c r="BK113" s="499"/>
    </row>
    <row r="114" spans="3:63" ht="12" customHeight="1">
      <c r="C114" s="497"/>
      <c r="D114" s="540" t="s">
        <v>865</v>
      </c>
      <c r="E114" s="540"/>
      <c r="F114" s="540"/>
      <c r="G114" s="540"/>
      <c r="H114" s="540"/>
      <c r="I114" s="540"/>
      <c r="J114" s="511"/>
      <c r="K114" s="503"/>
      <c r="L114" s="503"/>
      <c r="M114" s="503"/>
      <c r="N114" s="503"/>
      <c r="O114" s="503"/>
      <c r="P114" s="503"/>
      <c r="Q114" s="503"/>
      <c r="R114" s="503"/>
      <c r="S114" s="503"/>
      <c r="T114" s="503"/>
      <c r="U114" s="503"/>
      <c r="V114" s="503"/>
      <c r="W114" s="503"/>
      <c r="X114" s="503"/>
      <c r="Y114" s="503"/>
      <c r="Z114" s="503"/>
      <c r="AA114" s="504"/>
      <c r="AD114" s="540" t="s">
        <v>867</v>
      </c>
      <c r="AE114" s="540"/>
      <c r="AF114" s="540"/>
      <c r="AG114" s="540"/>
      <c r="AH114" s="540"/>
      <c r="AI114" s="540"/>
      <c r="AJ114" s="511"/>
      <c r="AK114" s="503"/>
      <c r="AL114" s="503"/>
      <c r="AM114" s="503"/>
      <c r="AN114" s="503"/>
      <c r="AO114" s="503"/>
      <c r="AP114" s="503"/>
      <c r="AQ114" s="503"/>
      <c r="AR114" s="503"/>
      <c r="AS114" s="503"/>
      <c r="AT114" s="503"/>
      <c r="AU114" s="503"/>
      <c r="AV114" s="503"/>
      <c r="AW114" s="503"/>
      <c r="AX114" s="503"/>
      <c r="AY114" s="503"/>
      <c r="AZ114" s="503"/>
      <c r="BA114" s="504"/>
      <c r="BB114" s="498"/>
      <c r="BC114" s="498"/>
      <c r="BD114" s="498"/>
      <c r="BE114" s="498"/>
      <c r="BF114" s="498"/>
      <c r="BG114" s="498"/>
      <c r="BH114" s="498"/>
      <c r="BI114" s="498"/>
      <c r="BK114" s="499"/>
    </row>
    <row r="115" spans="3:63" ht="12" customHeight="1">
      <c r="C115" s="497"/>
      <c r="D115" s="540" t="s">
        <v>869</v>
      </c>
      <c r="E115" s="540"/>
      <c r="F115" s="540"/>
      <c r="G115" s="540"/>
      <c r="H115" s="540"/>
      <c r="I115" s="540"/>
      <c r="J115" s="511"/>
      <c r="K115" s="503"/>
      <c r="L115" s="503"/>
      <c r="M115" s="503"/>
      <c r="N115" s="503"/>
      <c r="O115" s="503"/>
      <c r="P115" s="503"/>
      <c r="Q115" s="503"/>
      <c r="R115" s="503"/>
      <c r="S115" s="503"/>
      <c r="T115" s="503"/>
      <c r="U115" s="503"/>
      <c r="V115" s="503"/>
      <c r="W115" s="503"/>
      <c r="X115" s="503"/>
      <c r="Y115" s="503"/>
      <c r="Z115" s="585"/>
      <c r="AA115" s="504"/>
      <c r="AD115" s="498"/>
      <c r="AE115" s="498"/>
      <c r="AF115" s="498"/>
      <c r="AG115" s="498"/>
      <c r="AH115" s="498"/>
      <c r="AI115" s="498"/>
      <c r="AJ115" s="586"/>
      <c r="AK115" s="586"/>
      <c r="AL115" s="586"/>
      <c r="AM115" s="586"/>
      <c r="AN115" s="586"/>
      <c r="AO115" s="586"/>
      <c r="AP115" s="586"/>
      <c r="AQ115" s="586"/>
      <c r="AR115" s="586"/>
      <c r="AS115" s="586"/>
      <c r="AT115" s="586"/>
      <c r="AU115" s="586"/>
      <c r="AV115" s="586"/>
      <c r="AW115" s="586"/>
      <c r="AX115" s="586"/>
      <c r="AY115" s="586"/>
      <c r="AZ115" s="587"/>
      <c r="BA115" s="586"/>
      <c r="BB115" s="498"/>
      <c r="BC115" s="498"/>
      <c r="BD115" s="498"/>
      <c r="BE115" s="498"/>
      <c r="BF115" s="498"/>
      <c r="BG115" s="498"/>
      <c r="BH115" s="498"/>
      <c r="BI115" s="498"/>
      <c r="BK115" s="499"/>
    </row>
    <row r="116" spans="3:63" ht="12" customHeight="1">
      <c r="C116" s="497"/>
      <c r="D116" s="498"/>
      <c r="E116" s="498"/>
      <c r="F116" s="498"/>
      <c r="G116" s="498"/>
      <c r="H116" s="498"/>
      <c r="I116" s="498"/>
      <c r="J116" s="498"/>
      <c r="K116" s="498"/>
      <c r="L116" s="498"/>
      <c r="M116" s="498"/>
      <c r="N116" s="498"/>
      <c r="O116" s="498"/>
      <c r="P116" s="498"/>
      <c r="Q116" s="498"/>
      <c r="R116" s="498"/>
      <c r="S116" s="498"/>
      <c r="T116" s="498"/>
      <c r="U116" s="498"/>
      <c r="V116" s="498"/>
      <c r="W116" s="498"/>
      <c r="X116" s="498"/>
      <c r="Y116" s="498"/>
      <c r="Z116" s="498"/>
      <c r="AA116" s="498"/>
      <c r="AB116" s="498"/>
      <c r="AC116" s="498"/>
      <c r="AD116" s="498"/>
      <c r="AE116" s="498"/>
      <c r="AF116" s="498"/>
      <c r="AG116" s="498"/>
      <c r="AH116" s="498"/>
      <c r="AI116" s="498"/>
      <c r="AJ116" s="498"/>
      <c r="AK116" s="498"/>
      <c r="AL116" s="498"/>
      <c r="AM116" s="498"/>
      <c r="AN116" s="498"/>
      <c r="AO116" s="498"/>
      <c r="AP116" s="498"/>
      <c r="AQ116" s="498"/>
      <c r="AR116" s="498"/>
      <c r="AS116" s="498"/>
      <c r="AT116" s="498"/>
      <c r="AU116" s="498"/>
      <c r="AV116" s="498"/>
      <c r="AW116" s="498"/>
      <c r="AX116" s="498"/>
      <c r="AY116" s="498"/>
      <c r="AZ116" s="498"/>
      <c r="BA116" s="498"/>
      <c r="BB116" s="498"/>
      <c r="BC116" s="498"/>
      <c r="BD116" s="498"/>
      <c r="BE116" s="498"/>
      <c r="BF116" s="498"/>
      <c r="BG116" s="498"/>
      <c r="BH116" s="498"/>
      <c r="BI116" s="498"/>
      <c r="BK116" s="499"/>
    </row>
    <row r="117" spans="3:63" ht="12" customHeight="1">
      <c r="C117" s="497"/>
      <c r="BK117" s="499"/>
    </row>
    <row r="118" spans="3:63" ht="12" customHeight="1">
      <c r="C118" s="50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7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09"/>
    </row>
    <row r="119" spans="3:63" ht="12" customHeight="1" thickBot="1">
      <c r="C119" s="531"/>
      <c r="D119" s="532"/>
      <c r="E119" s="532"/>
      <c r="F119" s="532"/>
      <c r="G119" s="532"/>
      <c r="H119" s="532"/>
      <c r="I119" s="532"/>
      <c r="J119" s="532"/>
      <c r="K119" s="532"/>
      <c r="L119" s="532"/>
      <c r="M119" s="532"/>
      <c r="N119" s="532"/>
      <c r="O119" s="532"/>
      <c r="P119" s="532"/>
      <c r="Q119" s="533"/>
      <c r="R119" s="532"/>
      <c r="S119" s="532"/>
      <c r="T119" s="532"/>
      <c r="U119" s="532"/>
      <c r="V119" s="532"/>
      <c r="W119" s="532"/>
      <c r="X119" s="532"/>
      <c r="Y119" s="532"/>
      <c r="Z119" s="532"/>
      <c r="AA119" s="532"/>
      <c r="AB119" s="532"/>
      <c r="AC119" s="532"/>
      <c r="AD119" s="532"/>
      <c r="AE119" s="532"/>
      <c r="AF119" s="532"/>
      <c r="AG119" s="532"/>
      <c r="AH119" s="532"/>
      <c r="AI119" s="532"/>
      <c r="AJ119" s="532"/>
      <c r="AK119" s="532"/>
      <c r="AL119" s="532"/>
      <c r="AM119" s="532"/>
      <c r="AN119" s="532"/>
      <c r="AO119" s="532"/>
      <c r="AP119" s="532"/>
      <c r="AQ119" s="532"/>
      <c r="AR119" s="532"/>
      <c r="AS119" s="532"/>
      <c r="AT119" s="532"/>
      <c r="AU119" s="532"/>
      <c r="AV119" s="532"/>
      <c r="AW119" s="532"/>
      <c r="AX119" s="532"/>
      <c r="AY119" s="532"/>
      <c r="AZ119" s="532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32"/>
      <c r="BK119" s="534"/>
    </row>
    <row r="137" spans="2:63" ht="28.5">
      <c r="B137" s="488" t="s">
        <v>1153</v>
      </c>
    </row>
    <row r="138" spans="2:63" ht="12" customHeight="1">
      <c r="C138" s="489"/>
    </row>
    <row r="139" spans="2:63" ht="12" customHeight="1" thickBot="1">
      <c r="C139" s="489" t="s">
        <v>781</v>
      </c>
    </row>
    <row r="140" spans="2:63" ht="12" customHeight="1">
      <c r="C140" s="535"/>
      <c r="D140" s="536" t="s">
        <v>783</v>
      </c>
      <c r="E140" s="537"/>
      <c r="F140" s="537"/>
      <c r="G140" s="537"/>
      <c r="H140" s="537"/>
      <c r="I140" s="537"/>
      <c r="J140" s="537"/>
      <c r="K140" s="537"/>
      <c r="L140" s="537"/>
      <c r="M140" s="537"/>
      <c r="N140" s="537"/>
      <c r="O140" s="537"/>
      <c r="P140" s="537"/>
      <c r="Q140" s="538"/>
      <c r="R140" s="537"/>
      <c r="S140" s="537"/>
      <c r="T140" s="537"/>
      <c r="U140" s="537"/>
      <c r="V140" s="537"/>
      <c r="W140" s="537"/>
      <c r="X140" s="537"/>
      <c r="Y140" s="537"/>
      <c r="Z140" s="537"/>
      <c r="AA140" s="537"/>
      <c r="AB140" s="537"/>
      <c r="AC140" s="537"/>
      <c r="AD140" s="537"/>
      <c r="AE140" s="537"/>
      <c r="AF140" s="537"/>
      <c r="AG140" s="537"/>
      <c r="AH140" s="537"/>
      <c r="AI140" s="537"/>
      <c r="AJ140" s="537"/>
      <c r="AK140" s="537"/>
      <c r="AL140" s="537"/>
      <c r="AM140" s="537"/>
      <c r="AN140" s="537"/>
      <c r="AO140" s="537"/>
      <c r="AP140" s="537"/>
      <c r="AQ140" s="537"/>
      <c r="AR140" s="537"/>
      <c r="AS140" s="537"/>
      <c r="AT140" s="537"/>
      <c r="AU140" s="537"/>
      <c r="AV140" s="537"/>
      <c r="AW140" s="537"/>
      <c r="AX140" s="537"/>
      <c r="AY140" s="537"/>
      <c r="AZ140" s="537"/>
      <c r="BA140" s="537"/>
      <c r="BB140" s="537"/>
      <c r="BC140" s="537"/>
      <c r="BD140" s="537"/>
      <c r="BE140" s="537"/>
      <c r="BF140" s="537"/>
      <c r="BG140" s="537"/>
      <c r="BH140" s="537"/>
      <c r="BI140" s="537"/>
      <c r="BJ140" s="537"/>
      <c r="BK140" s="493"/>
    </row>
    <row r="141" spans="2:63" ht="12" customHeight="1">
      <c r="C141" s="497"/>
      <c r="Q141" s="8"/>
      <c r="BK141" s="499"/>
    </row>
    <row r="142" spans="2:63" ht="12" customHeight="1">
      <c r="C142" s="539"/>
      <c r="D142" s="540" t="s">
        <v>245</v>
      </c>
      <c r="E142" s="540"/>
      <c r="F142" s="541"/>
      <c r="G142" s="540"/>
      <c r="H142" s="542" t="s">
        <v>761</v>
      </c>
      <c r="I142" s="543"/>
      <c r="J142" s="543"/>
      <c r="K142" s="543"/>
      <c r="L142" s="543"/>
      <c r="M142" s="544"/>
      <c r="N142" s="498"/>
      <c r="O142" s="540" t="s">
        <v>244</v>
      </c>
      <c r="P142" s="540"/>
      <c r="Q142" s="541"/>
      <c r="R142" s="540"/>
      <c r="S142" s="498"/>
      <c r="T142" s="542" t="s">
        <v>774</v>
      </c>
      <c r="U142" s="543"/>
      <c r="V142" s="543"/>
      <c r="W142" s="543"/>
      <c r="X142" s="544"/>
      <c r="AA142" s="540" t="s">
        <v>784</v>
      </c>
      <c r="AB142" s="545"/>
      <c r="AC142" s="540"/>
      <c r="AE142" s="1163">
        <v>3000</v>
      </c>
      <c r="AF142" s="1164"/>
      <c r="AG142" s="1165"/>
      <c r="AJ142" s="546" t="s">
        <v>732</v>
      </c>
      <c r="AK142" s="546"/>
      <c r="AL142" s="546"/>
      <c r="AM142" s="1166">
        <v>44627</v>
      </c>
      <c r="AN142" s="1167"/>
      <c r="AO142" s="1167"/>
      <c r="AP142" s="1167"/>
      <c r="AR142" s="1168">
        <v>0.5</v>
      </c>
      <c r="AS142" s="1169"/>
      <c r="AT142" s="1169"/>
      <c r="AU142" s="1170"/>
      <c r="AV142" s="512"/>
      <c r="BK142" s="499"/>
    </row>
    <row r="143" spans="2:63" ht="12" customHeight="1">
      <c r="C143" s="539"/>
      <c r="Q143" s="8"/>
      <c r="BK143" s="499"/>
    </row>
    <row r="144" spans="2:63" ht="12" customHeight="1">
      <c r="C144" s="539"/>
      <c r="D144" s="547" t="s">
        <v>785</v>
      </c>
      <c r="E144" s="540"/>
      <c r="F144" s="547"/>
      <c r="G144" s="540"/>
      <c r="H144" s="548" t="s">
        <v>786</v>
      </c>
      <c r="I144" s="482"/>
      <c r="J144" s="482"/>
      <c r="K144" s="483"/>
      <c r="O144" s="540" t="s">
        <v>235</v>
      </c>
      <c r="P144" s="547"/>
      <c r="Q144" s="540"/>
      <c r="R144" s="547"/>
      <c r="S144" s="540"/>
      <c r="T144" s="549" t="s">
        <v>1210</v>
      </c>
      <c r="U144" s="482"/>
      <c r="V144" s="482"/>
      <c r="W144" s="482"/>
      <c r="X144" s="482"/>
      <c r="Y144" s="483"/>
      <c r="AA144" s="540"/>
      <c r="AB144" s="540"/>
      <c r="AC144" s="541" t="s">
        <v>787</v>
      </c>
      <c r="AD144" s="540"/>
      <c r="AE144" s="540" t="s">
        <v>788</v>
      </c>
      <c r="AF144" s="810" t="s">
        <v>1259</v>
      </c>
      <c r="AG144" s="482"/>
      <c r="AH144" s="482"/>
      <c r="AI144" s="482"/>
      <c r="AJ144" s="483"/>
      <c r="AL144" s="540" t="s">
        <v>790</v>
      </c>
      <c r="AM144" s="548"/>
      <c r="AN144" s="482"/>
      <c r="AO144" s="482"/>
      <c r="AP144" s="482"/>
      <c r="AQ144" s="483"/>
      <c r="AS144" s="540" t="s">
        <v>791</v>
      </c>
      <c r="AT144" s="548"/>
      <c r="AU144" s="482"/>
      <c r="AV144" s="482"/>
      <c r="AW144" s="482"/>
      <c r="AX144" s="483"/>
      <c r="BK144" s="499"/>
    </row>
    <row r="145" spans="3:63" ht="12" customHeight="1">
      <c r="C145" s="539"/>
      <c r="D145" s="547" t="s">
        <v>715</v>
      </c>
      <c r="E145" s="540"/>
      <c r="F145" s="547"/>
      <c r="G145" s="540"/>
      <c r="H145" s="548"/>
      <c r="I145" s="482"/>
      <c r="J145" s="482"/>
      <c r="K145" s="482"/>
      <c r="L145" s="551"/>
      <c r="M145" s="483"/>
      <c r="N145" s="552"/>
      <c r="O145" s="553" t="s">
        <v>792</v>
      </c>
      <c r="P145" s="553"/>
      <c r="Q145" s="554"/>
      <c r="R145" s="553"/>
      <c r="S145" s="555"/>
      <c r="T145" s="542"/>
      <c r="U145" s="543"/>
      <c r="V145" s="543"/>
      <c r="W145" s="543"/>
      <c r="X145" s="544"/>
      <c r="BK145" s="499"/>
    </row>
    <row r="146" spans="3:63" ht="12" customHeight="1">
      <c r="C146" s="539"/>
      <c r="D146" s="547" t="s">
        <v>697</v>
      </c>
      <c r="E146" s="540"/>
      <c r="F146" s="547"/>
      <c r="G146" s="540"/>
      <c r="H146" s="548" t="s">
        <v>794</v>
      </c>
      <c r="I146" s="482"/>
      <c r="J146" s="482"/>
      <c r="K146" s="482"/>
      <c r="L146" s="482"/>
      <c r="M146" s="483"/>
      <c r="N146" s="556"/>
      <c r="O146" s="543" t="s">
        <v>762</v>
      </c>
      <c r="P146" s="543"/>
      <c r="Q146" s="543"/>
      <c r="R146" s="543"/>
      <c r="S146" s="543"/>
      <c r="T146" s="543"/>
      <c r="U146" s="543"/>
      <c r="V146" s="544"/>
      <c r="X146" s="540" t="s">
        <v>243</v>
      </c>
      <c r="Y146" s="540"/>
      <c r="Z146" s="540"/>
      <c r="AA146" s="540"/>
      <c r="AB146" s="1166">
        <v>44628</v>
      </c>
      <c r="AC146" s="1167"/>
      <c r="AD146" s="1167"/>
      <c r="AE146" s="1167"/>
      <c r="AF146" s="483"/>
      <c r="AK146" s="510"/>
      <c r="AM146" s="557"/>
      <c r="AN146" s="557"/>
      <c r="AO146" s="557"/>
      <c r="AP146" s="557"/>
      <c r="AQ146" s="557"/>
      <c r="AR146" s="557"/>
      <c r="AS146" s="557"/>
      <c r="AT146" s="557"/>
      <c r="AU146" s="557"/>
      <c r="BK146" s="499"/>
    </row>
    <row r="147" spans="3:63" ht="12" customHeight="1">
      <c r="C147" s="539"/>
      <c r="D147" s="558" t="s">
        <v>742</v>
      </c>
      <c r="E147" s="540"/>
      <c r="F147" s="547"/>
      <c r="G147" s="540"/>
      <c r="H147" s="511" t="s">
        <v>763</v>
      </c>
      <c r="I147" s="503"/>
      <c r="J147" s="503"/>
      <c r="K147" s="503"/>
      <c r="L147" s="503"/>
      <c r="M147" s="504"/>
      <c r="O147" s="540" t="s">
        <v>796</v>
      </c>
      <c r="P147" s="540"/>
      <c r="Q147" s="540"/>
      <c r="R147" s="540"/>
      <c r="S147" s="506" t="s">
        <v>797</v>
      </c>
      <c r="T147" s="559"/>
      <c r="U147" s="559"/>
      <c r="V147" s="559"/>
      <c r="W147" s="559"/>
      <c r="X147" s="559"/>
      <c r="Y147" s="559"/>
      <c r="Z147" s="559"/>
      <c r="AA147" s="559"/>
      <c r="AB147" s="503"/>
      <c r="AC147" s="503"/>
      <c r="AD147" s="503"/>
      <c r="AE147" s="503"/>
      <c r="AF147" s="504"/>
      <c r="AI147" s="540" t="s">
        <v>798</v>
      </c>
      <c r="AJ147" s="540"/>
      <c r="AK147" s="540"/>
      <c r="AL147" s="540"/>
      <c r="AM147" s="506"/>
      <c r="AN147" s="559"/>
      <c r="AO147" s="559"/>
      <c r="AP147" s="559"/>
      <c r="AQ147" s="559"/>
      <c r="AR147" s="559"/>
      <c r="AS147" s="559"/>
      <c r="AT147" s="559"/>
      <c r="AU147" s="559"/>
      <c r="AV147" s="503"/>
      <c r="AW147" s="503"/>
      <c r="AX147" s="503"/>
      <c r="AY147" s="503"/>
      <c r="AZ147" s="504"/>
      <c r="BK147" s="499"/>
    </row>
    <row r="148" spans="3:63" ht="12" customHeight="1">
      <c r="C148" s="539"/>
      <c r="D148" s="547" t="s">
        <v>799</v>
      </c>
      <c r="E148" s="540"/>
      <c r="F148" s="547"/>
      <c r="G148" s="540"/>
      <c r="H148" s="548"/>
      <c r="I148" s="482"/>
      <c r="J148" s="482"/>
      <c r="K148" s="482"/>
      <c r="L148" s="482"/>
      <c r="M148" s="483"/>
      <c r="O148" s="540" t="s">
        <v>743</v>
      </c>
      <c r="P148" s="540"/>
      <c r="Q148" s="540"/>
      <c r="R148" s="540"/>
      <c r="S148" s="506" t="s">
        <v>800</v>
      </c>
      <c r="T148" s="559"/>
      <c r="U148" s="559"/>
      <c r="V148" s="559"/>
      <c r="W148" s="559"/>
      <c r="X148" s="559"/>
      <c r="Y148" s="559"/>
      <c r="Z148" s="559"/>
      <c r="AA148" s="559"/>
      <c r="AB148" s="503"/>
      <c r="AC148" s="503"/>
      <c r="AD148" s="503"/>
      <c r="AE148" s="503"/>
      <c r="AF148" s="504"/>
      <c r="AI148" s="540" t="s">
        <v>801</v>
      </c>
      <c r="AJ148" s="540"/>
      <c r="AK148" s="540"/>
      <c r="AL148" s="540"/>
      <c r="AM148" s="506"/>
      <c r="AN148" s="559"/>
      <c r="AO148" s="559"/>
      <c r="AP148" s="559"/>
      <c r="AQ148" s="559"/>
      <c r="AR148" s="559"/>
      <c r="AS148" s="559"/>
      <c r="AT148" s="559"/>
      <c r="AU148" s="559"/>
      <c r="AV148" s="503"/>
      <c r="AW148" s="503"/>
      <c r="AX148" s="503"/>
      <c r="AY148" s="503"/>
      <c r="AZ148" s="504"/>
      <c r="BK148" s="499"/>
    </row>
    <row r="149" spans="3:63" ht="12" customHeight="1">
      <c r="C149" s="539"/>
      <c r="D149" s="547" t="s">
        <v>802</v>
      </c>
      <c r="E149" s="540"/>
      <c r="F149" s="547"/>
      <c r="G149" s="540"/>
      <c r="H149" s="511" t="s">
        <v>763</v>
      </c>
      <c r="I149" s="503"/>
      <c r="J149" s="503"/>
      <c r="K149" s="503"/>
      <c r="L149" s="503"/>
      <c r="M149" s="504"/>
      <c r="O149" s="540" t="s">
        <v>803</v>
      </c>
      <c r="P149" s="540"/>
      <c r="Q149" s="540"/>
      <c r="R149" s="540"/>
      <c r="S149" s="506"/>
      <c r="T149" s="503"/>
      <c r="U149" s="503"/>
      <c r="V149" s="503"/>
      <c r="W149" s="503"/>
      <c r="X149" s="504"/>
      <c r="BK149" s="499"/>
    </row>
    <row r="150" spans="3:63" ht="12" customHeight="1">
      <c r="C150" s="539"/>
      <c r="D150" s="560" t="s">
        <v>804</v>
      </c>
      <c r="E150" s="540"/>
      <c r="F150" s="547"/>
      <c r="G150" s="540"/>
      <c r="H150" s="548"/>
      <c r="I150" s="482"/>
      <c r="J150" s="482"/>
      <c r="K150" s="482"/>
      <c r="L150" s="482"/>
      <c r="M150" s="483"/>
      <c r="O150" s="540" t="s">
        <v>805</v>
      </c>
      <c r="P150" s="540"/>
      <c r="Q150" s="545"/>
      <c r="R150" s="540"/>
      <c r="S150" s="548"/>
      <c r="T150" s="482"/>
      <c r="U150" s="482"/>
      <c r="V150" s="482"/>
      <c r="W150" s="482"/>
      <c r="X150" s="483"/>
      <c r="BK150" s="499"/>
    </row>
    <row r="151" spans="3:63" ht="12" customHeight="1">
      <c r="C151" s="539"/>
      <c r="BK151" s="499"/>
    </row>
    <row r="152" spans="3:63" ht="12" customHeight="1">
      <c r="C152" s="539"/>
      <c r="D152" s="540" t="s">
        <v>806</v>
      </c>
      <c r="E152" s="540"/>
      <c r="H152" s="547" t="s">
        <v>287</v>
      </c>
      <c r="I152" s="540"/>
      <c r="J152" s="540"/>
      <c r="K152" s="561"/>
      <c r="L152" s="562"/>
      <c r="M152" s="563"/>
      <c r="O152" s="540" t="s">
        <v>807</v>
      </c>
      <c r="P152" s="540"/>
      <c r="Q152" s="540"/>
      <c r="R152" s="540"/>
      <c r="S152" s="561"/>
      <c r="T152" s="562"/>
      <c r="U152" s="563"/>
      <c r="Z152" s="540" t="s">
        <v>808</v>
      </c>
      <c r="AA152" s="540"/>
      <c r="AB152" s="540"/>
      <c r="AC152" s="561"/>
      <c r="AD152" s="562"/>
      <c r="AE152" s="562"/>
      <c r="AF152" s="563"/>
      <c r="AI152" s="540"/>
      <c r="AJ152" s="540"/>
      <c r="AK152" s="540"/>
      <c r="AL152" s="540"/>
      <c r="AM152" s="541" t="s">
        <v>809</v>
      </c>
      <c r="AN152" s="561"/>
      <c r="AO152" s="562"/>
      <c r="AP152" s="562"/>
      <c r="AQ152" s="563"/>
      <c r="AR152" s="556"/>
      <c r="BK152" s="499"/>
    </row>
    <row r="153" spans="3:63" ht="12" customHeight="1">
      <c r="C153" s="539"/>
      <c r="BK153" s="499"/>
    </row>
    <row r="154" spans="3:63" ht="12" customHeight="1">
      <c r="C154" s="539"/>
      <c r="D154" s="540" t="s">
        <v>810</v>
      </c>
      <c r="E154" s="540"/>
      <c r="F154" s="540"/>
      <c r="G154" s="540"/>
      <c r="H154" s="1171" t="s">
        <v>811</v>
      </c>
      <c r="I154" s="1172"/>
      <c r="J154" s="1172"/>
      <c r="K154" s="1172"/>
      <c r="L154" s="563"/>
      <c r="BK154" s="499"/>
    </row>
    <row r="155" spans="3:63" ht="12" customHeight="1">
      <c r="C155" s="539"/>
      <c r="Q155" s="8"/>
      <c r="BK155" s="499"/>
    </row>
    <row r="156" spans="3:63" ht="12" customHeight="1">
      <c r="C156" s="497"/>
      <c r="D156" s="566" t="s">
        <v>812</v>
      </c>
      <c r="E156" s="515"/>
      <c r="F156" s="515"/>
      <c r="G156" s="515"/>
      <c r="H156" s="515"/>
      <c r="I156" s="515"/>
      <c r="Q156" s="8"/>
      <c r="BK156" s="499"/>
    </row>
    <row r="157" spans="3:63" ht="12" customHeight="1">
      <c r="C157" s="497"/>
      <c r="D157" s="540" t="s">
        <v>813</v>
      </c>
      <c r="E157" s="540"/>
      <c r="F157" s="540"/>
      <c r="G157" s="540"/>
      <c r="H157" s="540"/>
      <c r="I157" s="540"/>
      <c r="J157" s="972"/>
      <c r="K157" s="974"/>
      <c r="O157" s="540" t="s">
        <v>815</v>
      </c>
      <c r="P157" s="540"/>
      <c r="Q157" s="545"/>
      <c r="R157" s="540"/>
      <c r="S157" s="540"/>
      <c r="T157" s="540"/>
      <c r="U157" s="540"/>
      <c r="V157" s="540"/>
      <c r="W157" s="540"/>
      <c r="X157" s="540"/>
      <c r="Z157" s="540" t="s">
        <v>816</v>
      </c>
      <c r="AA157" s="540"/>
      <c r="AB157" s="540"/>
      <c r="AC157" s="540"/>
      <c r="AD157" s="540"/>
      <c r="AE157" s="540"/>
      <c r="AF157" s="540"/>
      <c r="AG157" s="540"/>
      <c r="AI157" s="540" t="s">
        <v>817</v>
      </c>
      <c r="AJ157" s="540"/>
      <c r="AK157" s="540"/>
      <c r="AL157" s="540"/>
      <c r="AM157" s="540"/>
      <c r="AN157" s="540"/>
      <c r="AO157" s="540"/>
      <c r="AP157" s="540"/>
      <c r="AQ157" s="540"/>
      <c r="AR157" s="540"/>
      <c r="AT157" s="540" t="s">
        <v>818</v>
      </c>
      <c r="AU157" s="540"/>
      <c r="AV157" s="540"/>
      <c r="AW157" s="540"/>
      <c r="AX157" s="540"/>
      <c r="AY157" s="540"/>
      <c r="AZ157" s="540"/>
      <c r="BA157" s="540"/>
      <c r="BB157" s="540"/>
      <c r="BC157" s="540"/>
      <c r="BK157" s="499"/>
    </row>
    <row r="158" spans="3:63" ht="12" customHeight="1">
      <c r="C158" s="497"/>
      <c r="D158" s="540"/>
      <c r="E158" s="540"/>
      <c r="F158" s="540" t="s">
        <v>819</v>
      </c>
      <c r="G158" s="540"/>
      <c r="H158" s="540"/>
      <c r="I158" s="540"/>
      <c r="J158" s="1301" t="s">
        <v>1257</v>
      </c>
      <c r="K158" s="1302"/>
      <c r="L158" s="1296"/>
      <c r="M158" s="1297"/>
      <c r="N158" s="556"/>
      <c r="O158" s="562" t="s">
        <v>1258</v>
      </c>
      <c r="P158" s="562"/>
      <c r="Q158" s="562"/>
      <c r="R158" s="562"/>
      <c r="S158" s="562"/>
      <c r="T158" s="562"/>
      <c r="U158" s="562"/>
      <c r="V158" s="562"/>
      <c r="W158" s="562"/>
      <c r="X158" s="563"/>
      <c r="Y158" s="498"/>
      <c r="Z158" s="1298" t="s">
        <v>822</v>
      </c>
      <c r="AA158" s="1299"/>
      <c r="AB158" s="1299"/>
      <c r="AC158" s="1300"/>
      <c r="AD158" s="556"/>
      <c r="AE158" s="562"/>
      <c r="AF158" s="562"/>
      <c r="AG158" s="563"/>
      <c r="AH158" s="498"/>
      <c r="AI158" s="1298" t="s">
        <v>823</v>
      </c>
      <c r="AJ158" s="1296"/>
      <c r="AK158" s="1296"/>
      <c r="AL158" s="1297"/>
      <c r="AM158" s="747"/>
      <c r="AN158" s="562"/>
      <c r="AO158" s="562"/>
      <c r="AP158" s="562"/>
      <c r="AQ158" s="562"/>
      <c r="AR158" s="563"/>
      <c r="AT158" s="1298"/>
      <c r="AU158" s="1296"/>
      <c r="AV158" s="1296"/>
      <c r="AW158" s="1297"/>
      <c r="AX158" s="747"/>
      <c r="AY158" s="562"/>
      <c r="AZ158" s="562"/>
      <c r="BA158" s="562"/>
      <c r="BB158" s="562"/>
      <c r="BC158" s="563"/>
      <c r="BK158" s="499"/>
    </row>
    <row r="159" spans="3:63" ht="12" customHeight="1">
      <c r="C159" s="497"/>
      <c r="D159" s="540"/>
      <c r="E159" s="540"/>
      <c r="F159" s="540" t="s">
        <v>824</v>
      </c>
      <c r="G159" s="540"/>
      <c r="H159" s="540"/>
      <c r="I159" s="540"/>
      <c r="J159" s="1149"/>
      <c r="K159" s="1150"/>
      <c r="L159" s="1150"/>
      <c r="M159" s="1162"/>
      <c r="N159" s="556"/>
      <c r="O159" s="543"/>
      <c r="P159" s="543"/>
      <c r="Q159" s="543"/>
      <c r="R159" s="543"/>
      <c r="S159" s="543"/>
      <c r="T159" s="543"/>
      <c r="U159" s="543"/>
      <c r="V159" s="543"/>
      <c r="W159" s="543"/>
      <c r="X159" s="544"/>
      <c r="Y159" s="498"/>
      <c r="Z159" s="1151"/>
      <c r="AA159" s="1152"/>
      <c r="AB159" s="1152"/>
      <c r="AC159" s="1153"/>
      <c r="AD159" s="556"/>
      <c r="AE159" s="543"/>
      <c r="AF159" s="543"/>
      <c r="AG159" s="544"/>
      <c r="AH159" s="498"/>
      <c r="AI159" s="1151"/>
      <c r="AJ159" s="1150"/>
      <c r="AK159" s="1150"/>
      <c r="AL159" s="1162"/>
      <c r="AM159" s="556"/>
      <c r="AN159" s="543"/>
      <c r="AO159" s="543"/>
      <c r="AP159" s="543"/>
      <c r="AQ159" s="543"/>
      <c r="AR159" s="544"/>
      <c r="AS159" s="498"/>
      <c r="AT159" s="1151"/>
      <c r="AU159" s="1150"/>
      <c r="AV159" s="1150"/>
      <c r="AW159" s="1162"/>
      <c r="AX159" s="556"/>
      <c r="AY159" s="543"/>
      <c r="AZ159" s="543"/>
      <c r="BA159" s="543"/>
      <c r="BB159" s="543"/>
      <c r="BC159" s="544"/>
      <c r="BK159" s="499"/>
    </row>
    <row r="160" spans="3:63" ht="12" customHeight="1">
      <c r="C160" s="497"/>
      <c r="D160" s="540"/>
      <c r="E160" s="540"/>
      <c r="F160" s="540" t="s">
        <v>827</v>
      </c>
      <c r="G160" s="540"/>
      <c r="H160" s="540"/>
      <c r="I160" s="540"/>
      <c r="J160" s="1149"/>
      <c r="K160" s="1150"/>
      <c r="L160" s="1150"/>
      <c r="M160" s="1150"/>
      <c r="N160" s="556"/>
      <c r="O160" s="543"/>
      <c r="P160" s="543"/>
      <c r="Q160" s="543"/>
      <c r="R160" s="543"/>
      <c r="S160" s="543"/>
      <c r="T160" s="543"/>
      <c r="U160" s="543"/>
      <c r="V160" s="543"/>
      <c r="W160" s="543"/>
      <c r="X160" s="544"/>
      <c r="Y160" s="498"/>
      <c r="Z160" s="1151"/>
      <c r="AA160" s="1152"/>
      <c r="AB160" s="1152"/>
      <c r="AC160" s="1153"/>
      <c r="AD160" s="556"/>
      <c r="AE160" s="543"/>
      <c r="AF160" s="543"/>
      <c r="AG160" s="544"/>
      <c r="AH160" s="498"/>
      <c r="AI160" s="1151"/>
      <c r="AJ160" s="1150"/>
      <c r="AK160" s="1150"/>
      <c r="AL160" s="1150"/>
      <c r="AM160" s="556"/>
      <c r="AN160" s="543"/>
      <c r="AO160" s="543"/>
      <c r="AP160" s="543"/>
      <c r="AQ160" s="543"/>
      <c r="AR160" s="544"/>
      <c r="AS160" s="498"/>
      <c r="AT160" s="1151"/>
      <c r="AU160" s="1150"/>
      <c r="AV160" s="1150"/>
      <c r="AW160" s="1150"/>
      <c r="AX160" s="556"/>
      <c r="AY160" s="543"/>
      <c r="AZ160" s="543"/>
      <c r="BA160" s="543"/>
      <c r="BB160" s="543"/>
      <c r="BC160" s="544"/>
      <c r="BK160" s="499"/>
    </row>
    <row r="161" spans="3:90" ht="12" customHeight="1">
      <c r="C161" s="497"/>
      <c r="D161" s="540" t="s">
        <v>831</v>
      </c>
      <c r="E161" s="540"/>
      <c r="F161" s="540"/>
      <c r="G161" s="540"/>
      <c r="H161" s="540"/>
      <c r="I161" s="540"/>
      <c r="J161" s="561"/>
      <c r="K161" s="562"/>
      <c r="L161" s="562"/>
      <c r="M161" s="562"/>
      <c r="N161" s="563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  <c r="AA161" s="567"/>
      <c r="AB161" s="567"/>
      <c r="AC161" s="567"/>
      <c r="AD161" s="567"/>
      <c r="AE161" s="567"/>
      <c r="AF161" s="567"/>
      <c r="AG161" s="567"/>
      <c r="AH161" s="567"/>
      <c r="AI161" s="567"/>
      <c r="AJ161" s="567"/>
      <c r="AK161" s="567"/>
      <c r="AL161" s="567"/>
      <c r="AM161" s="567"/>
      <c r="AN161" s="567"/>
      <c r="AO161" s="567"/>
      <c r="AP161" s="567"/>
      <c r="AQ161" s="567"/>
      <c r="AR161" s="567"/>
      <c r="AS161" s="567"/>
      <c r="AT161" s="567"/>
      <c r="AV161" s="567"/>
      <c r="AW161" s="567"/>
      <c r="AX161" s="567"/>
      <c r="AY161" s="567"/>
      <c r="AZ161" s="567"/>
      <c r="BK161" s="499"/>
    </row>
    <row r="162" spans="3:90" ht="12" customHeight="1">
      <c r="C162" s="497"/>
      <c r="D162" s="540" t="s">
        <v>1211</v>
      </c>
      <c r="E162" s="540"/>
      <c r="F162" s="540"/>
      <c r="G162" s="540"/>
      <c r="H162" s="540"/>
      <c r="I162" s="540"/>
      <c r="J162" s="498" t="s">
        <v>835</v>
      </c>
      <c r="K162" s="498"/>
      <c r="L162" s="1326">
        <v>400</v>
      </c>
      <c r="M162" s="1327"/>
      <c r="N162" s="1328"/>
      <c r="P162" s="8" t="s">
        <v>1212</v>
      </c>
      <c r="Q162" s="8"/>
      <c r="R162" s="1292">
        <v>1000</v>
      </c>
      <c r="S162" s="1293"/>
      <c r="T162" s="1294"/>
      <c r="BK162" s="499"/>
      <c r="CL162" s="500" t="s">
        <v>857</v>
      </c>
    </row>
    <row r="163" spans="3:90" ht="12" customHeight="1">
      <c r="C163" s="497"/>
      <c r="D163" s="540" t="s">
        <v>843</v>
      </c>
      <c r="E163" s="540"/>
      <c r="F163" s="540"/>
      <c r="G163" s="540"/>
      <c r="H163" s="540"/>
      <c r="I163" s="540"/>
      <c r="J163" s="498" t="s">
        <v>835</v>
      </c>
      <c r="K163" s="498"/>
      <c r="L163" s="1326">
        <v>650</v>
      </c>
      <c r="M163" s="1327"/>
      <c r="N163" s="1328"/>
      <c r="Q163" s="8"/>
      <c r="R163" s="498"/>
      <c r="S163" s="498"/>
      <c r="T163" s="498"/>
      <c r="BK163" s="499"/>
      <c r="CL163" s="500" t="s">
        <v>857</v>
      </c>
    </row>
    <row r="164" spans="3:90" ht="12" customHeight="1">
      <c r="C164" s="497"/>
      <c r="D164" s="540" t="s">
        <v>844</v>
      </c>
      <c r="E164" s="540"/>
      <c r="F164" s="540"/>
      <c r="G164" s="540"/>
      <c r="H164" s="540"/>
      <c r="I164" s="540"/>
      <c r="J164" s="1171" t="s">
        <v>1220</v>
      </c>
      <c r="K164" s="1172"/>
      <c r="L164" s="1172"/>
      <c r="M164" s="1172"/>
      <c r="N164" s="1285"/>
      <c r="BK164" s="499"/>
      <c r="CL164" s="500"/>
    </row>
    <row r="165" spans="3:90" ht="12" customHeight="1">
      <c r="C165" s="497"/>
      <c r="D165" s="540" t="s">
        <v>722</v>
      </c>
      <c r="E165" s="540"/>
      <c r="F165" s="540"/>
      <c r="G165" s="540"/>
      <c r="H165" s="540"/>
      <c r="I165" s="540"/>
      <c r="J165" s="1146">
        <v>1</v>
      </c>
      <c r="K165" s="1147"/>
      <c r="L165" s="1147"/>
      <c r="M165" s="1147"/>
      <c r="N165" s="1148"/>
      <c r="P165" s="540" t="s">
        <v>845</v>
      </c>
      <c r="Q165" s="540"/>
      <c r="R165" s="540"/>
      <c r="S165" s="540"/>
      <c r="T165" s="564"/>
      <c r="U165" s="565"/>
      <c r="V165" s="565"/>
      <c r="W165" s="565" t="s">
        <v>1214</v>
      </c>
      <c r="X165" s="574"/>
      <c r="Z165" s="540" t="s">
        <v>847</v>
      </c>
      <c r="AA165" s="540"/>
      <c r="AB165" s="540"/>
      <c r="AC165" s="540"/>
      <c r="AD165" s="1163">
        <v>100</v>
      </c>
      <c r="AE165" s="1164"/>
      <c r="AF165" s="1164"/>
      <c r="AG165" s="1165"/>
      <c r="AH165" s="575"/>
      <c r="AI165" s="540" t="s">
        <v>848</v>
      </c>
      <c r="AJ165" s="540"/>
      <c r="AK165" s="540"/>
      <c r="AL165" s="540"/>
      <c r="AM165" s="564"/>
      <c r="AN165" s="565"/>
      <c r="AO165" s="565"/>
      <c r="AP165" s="565"/>
      <c r="AQ165" s="748"/>
      <c r="AT165" s="540" t="s">
        <v>849</v>
      </c>
      <c r="AU165" s="540"/>
      <c r="AV165" s="540"/>
      <c r="AW165" s="540"/>
      <c r="AX165" s="540"/>
      <c r="AY165" s="583"/>
      <c r="AZ165" s="584"/>
      <c r="BA165" s="584"/>
      <c r="BB165" s="584" t="s">
        <v>1215</v>
      </c>
      <c r="BC165" s="578"/>
      <c r="BE165" s="8" t="s">
        <v>850</v>
      </c>
      <c r="BF165" s="10"/>
      <c r="BH165" s="10"/>
      <c r="BK165" s="499"/>
      <c r="CL165" s="500"/>
    </row>
    <row r="166" spans="3:90" ht="12" customHeight="1">
      <c r="C166" s="497"/>
      <c r="D166" s="498"/>
      <c r="E166" s="498"/>
      <c r="F166" s="498"/>
      <c r="G166" s="498"/>
      <c r="H166" s="498"/>
      <c r="I166" s="498"/>
      <c r="J166" s="891"/>
      <c r="K166" s="891"/>
      <c r="L166" s="891"/>
      <c r="M166" s="891"/>
      <c r="N166" s="498"/>
      <c r="O166" s="498"/>
      <c r="P166" s="498"/>
      <c r="Q166" s="498"/>
      <c r="R166" s="498"/>
      <c r="S166" s="498"/>
      <c r="T166" s="498"/>
      <c r="U166" s="498"/>
      <c r="V166" s="498"/>
      <c r="W166" s="498"/>
      <c r="X166" s="498"/>
      <c r="Y166" s="498"/>
      <c r="Z166" s="498"/>
      <c r="AA166" s="498"/>
      <c r="AB166" s="498"/>
      <c r="AC166" s="498"/>
      <c r="AD166" s="498"/>
      <c r="AE166" s="498"/>
      <c r="AF166" s="498"/>
      <c r="AG166" s="498"/>
      <c r="AH166" s="498"/>
      <c r="AN166" s="498"/>
      <c r="AO166" s="498"/>
      <c r="AP166" s="498"/>
      <c r="AQ166" s="498"/>
      <c r="AR166" s="498"/>
      <c r="AS166" s="498"/>
      <c r="AT166" s="498"/>
      <c r="AU166" s="498"/>
      <c r="AV166" s="498"/>
      <c r="AW166" s="498"/>
      <c r="AX166" s="498"/>
      <c r="AY166" s="498"/>
      <c r="AZ166" s="498"/>
      <c r="BA166" s="498"/>
      <c r="BI166" s="498"/>
      <c r="BK166" s="499"/>
      <c r="CL166" s="500"/>
    </row>
    <row r="167" spans="3:90" ht="12" customHeight="1">
      <c r="C167" s="497"/>
      <c r="D167" s="566" t="s">
        <v>851</v>
      </c>
      <c r="E167" s="515"/>
      <c r="F167" s="515"/>
      <c r="G167" s="515"/>
      <c r="H167" s="515"/>
      <c r="I167" s="515"/>
      <c r="Q167" s="8"/>
      <c r="BF167" s="10"/>
      <c r="BH167" s="10"/>
      <c r="BK167" s="499"/>
      <c r="CL167" s="500"/>
    </row>
    <row r="168" spans="3:90" ht="12" customHeight="1">
      <c r="C168" s="497"/>
      <c r="D168" s="540" t="s">
        <v>852</v>
      </c>
      <c r="E168" s="540"/>
      <c r="F168" s="540"/>
      <c r="G168" s="540"/>
      <c r="H168" s="540"/>
      <c r="I168" s="540"/>
      <c r="J168" s="580" t="s">
        <v>718</v>
      </c>
      <c r="K168" s="562"/>
      <c r="L168" s="562"/>
      <c r="M168" s="562"/>
      <c r="N168" s="562"/>
      <c r="O168" s="542"/>
      <c r="P168" s="543" t="s">
        <v>853</v>
      </c>
      <c r="Q168" s="543"/>
      <c r="R168" s="543"/>
      <c r="S168" s="543"/>
      <c r="T168" s="543"/>
      <c r="U168" s="543"/>
      <c r="V168" s="569"/>
      <c r="W168" s="569"/>
      <c r="X168" s="569"/>
      <c r="Y168" s="575"/>
      <c r="Z168" s="540" t="s">
        <v>854</v>
      </c>
      <c r="AA168" s="540"/>
      <c r="AB168" s="540"/>
      <c r="AC168" s="540"/>
      <c r="AD168" s="581"/>
      <c r="AE168" s="581"/>
      <c r="AF168" s="581" t="s">
        <v>1214</v>
      </c>
      <c r="AG168" s="574"/>
      <c r="AH168" s="498"/>
      <c r="AI168" s="540" t="s">
        <v>855</v>
      </c>
      <c r="AJ168" s="540"/>
      <c r="AK168" s="540"/>
      <c r="AL168" s="540"/>
      <c r="AM168" s="564"/>
      <c r="AN168" s="565"/>
      <c r="AO168" s="565"/>
      <c r="AP168" s="565"/>
      <c r="AQ168" s="748"/>
      <c r="AT168" s="540" t="s">
        <v>849</v>
      </c>
      <c r="AU168" s="540"/>
      <c r="AV168" s="540"/>
      <c r="AW168" s="540"/>
      <c r="AX168" s="540"/>
      <c r="AY168" s="583"/>
      <c r="AZ168" s="584"/>
      <c r="BA168" s="584"/>
      <c r="BB168" s="584" t="s">
        <v>1215</v>
      </c>
      <c r="BC168" s="578"/>
      <c r="BK168" s="499"/>
      <c r="CL168" s="500" t="s">
        <v>857</v>
      </c>
    </row>
    <row r="169" spans="3:90" ht="12" customHeight="1">
      <c r="C169" s="497"/>
      <c r="D169" s="498"/>
      <c r="E169" s="498"/>
      <c r="F169" s="498"/>
      <c r="G169" s="498"/>
      <c r="H169" s="498"/>
      <c r="I169" s="498"/>
      <c r="J169" s="891"/>
      <c r="K169" s="891"/>
      <c r="L169" s="891"/>
      <c r="M169" s="891"/>
      <c r="N169" s="498"/>
      <c r="O169" s="498"/>
      <c r="P169" s="498"/>
      <c r="Q169" s="498"/>
      <c r="R169" s="498"/>
      <c r="S169" s="498"/>
      <c r="T169" s="498"/>
      <c r="U169" s="498"/>
      <c r="V169" s="498"/>
      <c r="W169" s="498"/>
      <c r="X169" s="498"/>
      <c r="Y169" s="498"/>
      <c r="Z169" s="498"/>
      <c r="AA169" s="498"/>
      <c r="AB169" s="498"/>
      <c r="AC169" s="498"/>
      <c r="AD169" s="498"/>
      <c r="AE169" s="498"/>
      <c r="AF169" s="498"/>
      <c r="AG169" s="498"/>
      <c r="AH169" s="498"/>
      <c r="AN169" s="498"/>
      <c r="AO169" s="498"/>
      <c r="AP169" s="498"/>
      <c r="AQ169" s="498"/>
      <c r="AR169" s="498"/>
      <c r="AS169" s="498"/>
      <c r="AT169" s="498"/>
      <c r="AU169" s="498"/>
      <c r="AV169" s="498"/>
      <c r="AW169" s="498"/>
      <c r="AX169" s="498"/>
      <c r="AY169" s="498"/>
      <c r="AZ169" s="498"/>
      <c r="BA169" s="498"/>
      <c r="BI169" s="498"/>
      <c r="BK169" s="499"/>
    </row>
    <row r="170" spans="3:90" ht="12" customHeight="1">
      <c r="C170" s="497"/>
      <c r="D170" s="566" t="s">
        <v>858</v>
      </c>
      <c r="E170" s="515"/>
      <c r="F170" s="515"/>
      <c r="G170" s="515"/>
      <c r="H170" s="515"/>
      <c r="I170" s="515"/>
      <c r="BB170" s="498"/>
      <c r="BC170" s="498"/>
      <c r="BD170" s="498"/>
      <c r="BE170" s="498"/>
      <c r="BF170" s="498"/>
      <c r="BG170" s="498"/>
      <c r="BH170" s="498"/>
      <c r="BI170" s="498"/>
      <c r="BK170" s="499"/>
    </row>
    <row r="171" spans="3:90" ht="12" customHeight="1">
      <c r="C171" s="497"/>
      <c r="D171" s="540" t="s">
        <v>859</v>
      </c>
      <c r="E171" s="540"/>
      <c r="F171" s="540"/>
      <c r="G171" s="540"/>
      <c r="H171" s="540"/>
      <c r="I171" s="540"/>
      <c r="J171" s="511" t="s">
        <v>860</v>
      </c>
      <c r="K171" s="503"/>
      <c r="L171" s="503"/>
      <c r="M171" s="503"/>
      <c r="N171" s="503"/>
      <c r="O171" s="503"/>
      <c r="P171" s="503"/>
      <c r="Q171" s="503"/>
      <c r="R171" s="503"/>
      <c r="S171" s="503"/>
      <c r="T171" s="503"/>
      <c r="U171" s="503"/>
      <c r="V171" s="503"/>
      <c r="W171" s="503"/>
      <c r="X171" s="503"/>
      <c r="Y171" s="503"/>
      <c r="Z171" s="503"/>
      <c r="AA171" s="504"/>
      <c r="AD171" s="540" t="s">
        <v>861</v>
      </c>
      <c r="AE171" s="540"/>
      <c r="AF171" s="540"/>
      <c r="AG171" s="540"/>
      <c r="AH171" s="540"/>
      <c r="AI171" s="540"/>
      <c r="AJ171" s="511" t="s">
        <v>862</v>
      </c>
      <c r="AK171" s="503"/>
      <c r="AL171" s="503"/>
      <c r="AM171" s="503"/>
      <c r="AN171" s="503"/>
      <c r="AO171" s="503"/>
      <c r="AP171" s="503"/>
      <c r="AQ171" s="503"/>
      <c r="AR171" s="503"/>
      <c r="AS171" s="503"/>
      <c r="AT171" s="503"/>
      <c r="AU171" s="503"/>
      <c r="AV171" s="503"/>
      <c r="AW171" s="503"/>
      <c r="AX171" s="503"/>
      <c r="AY171" s="503"/>
      <c r="AZ171" s="503"/>
      <c r="BA171" s="504"/>
      <c r="BB171" s="498"/>
      <c r="BC171" s="498"/>
      <c r="BD171" s="498"/>
      <c r="BE171" s="498"/>
      <c r="BF171" s="498"/>
      <c r="BG171" s="498"/>
      <c r="BH171" s="498"/>
      <c r="BI171" s="498"/>
      <c r="BK171" s="499"/>
    </row>
    <row r="172" spans="3:90" ht="12" customHeight="1">
      <c r="C172" s="497"/>
      <c r="D172" s="540" t="s">
        <v>863</v>
      </c>
      <c r="E172" s="540"/>
      <c r="F172" s="540"/>
      <c r="G172" s="540"/>
      <c r="H172" s="540"/>
      <c r="I172" s="540"/>
      <c r="J172" s="511" t="s">
        <v>862</v>
      </c>
      <c r="K172" s="503"/>
      <c r="L172" s="503"/>
      <c r="M172" s="503"/>
      <c r="N172" s="503"/>
      <c r="O172" s="503"/>
      <c r="P172" s="503"/>
      <c r="Q172" s="503"/>
      <c r="R172" s="503"/>
      <c r="S172" s="503"/>
      <c r="T172" s="503"/>
      <c r="U172" s="503"/>
      <c r="V172" s="503"/>
      <c r="W172" s="503"/>
      <c r="X172" s="503"/>
      <c r="Y172" s="503"/>
      <c r="Z172" s="503"/>
      <c r="AA172" s="504"/>
      <c r="AD172" s="540" t="s">
        <v>864</v>
      </c>
      <c r="AE172" s="540"/>
      <c r="AF172" s="540"/>
      <c r="AG172" s="540"/>
      <c r="AH172" s="540"/>
      <c r="AI172" s="540"/>
      <c r="AJ172" s="511"/>
      <c r="AK172" s="503"/>
      <c r="AL172" s="503"/>
      <c r="AM172" s="503"/>
      <c r="AN172" s="503"/>
      <c r="AO172" s="503"/>
      <c r="AP172" s="503"/>
      <c r="AQ172" s="503"/>
      <c r="AR172" s="503"/>
      <c r="AS172" s="503"/>
      <c r="AT172" s="503"/>
      <c r="AU172" s="503"/>
      <c r="AV172" s="503"/>
      <c r="AW172" s="503"/>
      <c r="AX172" s="503"/>
      <c r="AY172" s="503"/>
      <c r="AZ172" s="503"/>
      <c r="BA172" s="504"/>
      <c r="BB172" s="498"/>
      <c r="BC172" s="498"/>
      <c r="BD172" s="498"/>
      <c r="BE172" s="498"/>
      <c r="BF172" s="498"/>
      <c r="BG172" s="498"/>
      <c r="BH172" s="498"/>
      <c r="BI172" s="498"/>
      <c r="BK172" s="499"/>
    </row>
    <row r="173" spans="3:90" ht="12" customHeight="1">
      <c r="C173" s="497"/>
      <c r="D173" s="540" t="s">
        <v>865</v>
      </c>
      <c r="E173" s="540"/>
      <c r="F173" s="540"/>
      <c r="G173" s="540"/>
      <c r="H173" s="540"/>
      <c r="I173" s="540"/>
      <c r="J173" s="511" t="s">
        <v>866</v>
      </c>
      <c r="K173" s="503"/>
      <c r="L173" s="503"/>
      <c r="M173" s="503"/>
      <c r="N173" s="503"/>
      <c r="O173" s="503"/>
      <c r="P173" s="503"/>
      <c r="Q173" s="503"/>
      <c r="R173" s="503"/>
      <c r="S173" s="503"/>
      <c r="T173" s="503"/>
      <c r="U173" s="503"/>
      <c r="V173" s="503"/>
      <c r="W173" s="503"/>
      <c r="X173" s="503"/>
      <c r="Y173" s="503"/>
      <c r="Z173" s="503"/>
      <c r="AA173" s="504"/>
      <c r="AD173" s="540" t="s">
        <v>867</v>
      </c>
      <c r="AE173" s="540"/>
      <c r="AF173" s="540"/>
      <c r="AG173" s="540"/>
      <c r="AH173" s="540"/>
      <c r="AI173" s="540"/>
      <c r="AJ173" s="511" t="s">
        <v>868</v>
      </c>
      <c r="AK173" s="503"/>
      <c r="AL173" s="503"/>
      <c r="AM173" s="503"/>
      <c r="AN173" s="503"/>
      <c r="AO173" s="503"/>
      <c r="AP173" s="503"/>
      <c r="AQ173" s="503"/>
      <c r="AR173" s="503"/>
      <c r="AS173" s="503"/>
      <c r="AT173" s="503"/>
      <c r="AU173" s="503"/>
      <c r="AV173" s="503"/>
      <c r="AW173" s="503"/>
      <c r="AX173" s="503"/>
      <c r="AY173" s="503"/>
      <c r="AZ173" s="503"/>
      <c r="BA173" s="504"/>
      <c r="BB173" s="498"/>
      <c r="BC173" s="498"/>
      <c r="BD173" s="498"/>
      <c r="BE173" s="498"/>
      <c r="BF173" s="498"/>
      <c r="BG173" s="498"/>
      <c r="BH173" s="498"/>
      <c r="BI173" s="498"/>
      <c r="BK173" s="499"/>
    </row>
    <row r="174" spans="3:90" ht="12" customHeight="1">
      <c r="C174" s="497"/>
      <c r="D174" s="540" t="s">
        <v>869</v>
      </c>
      <c r="E174" s="540"/>
      <c r="F174" s="540"/>
      <c r="G174" s="540"/>
      <c r="H174" s="540"/>
      <c r="I174" s="540"/>
      <c r="J174" s="511"/>
      <c r="K174" s="503"/>
      <c r="L174" s="503"/>
      <c r="M174" s="503"/>
      <c r="N174" s="503"/>
      <c r="O174" s="503"/>
      <c r="P174" s="503"/>
      <c r="Q174" s="503"/>
      <c r="R174" s="503"/>
      <c r="S174" s="503"/>
      <c r="T174" s="503"/>
      <c r="U174" s="503"/>
      <c r="V174" s="503"/>
      <c r="W174" s="503"/>
      <c r="X174" s="503"/>
      <c r="Y174" s="503"/>
      <c r="Z174" s="585" t="s">
        <v>870</v>
      </c>
      <c r="AA174" s="504"/>
      <c r="AD174" s="498"/>
      <c r="AE174" s="498"/>
      <c r="AF174" s="498"/>
      <c r="AG174" s="498"/>
      <c r="AH174" s="498"/>
      <c r="AI174" s="498"/>
      <c r="AJ174" s="586"/>
      <c r="AK174" s="586"/>
      <c r="AL174" s="586"/>
      <c r="AM174" s="586"/>
      <c r="AN174" s="586"/>
      <c r="AO174" s="586"/>
      <c r="AP174" s="586"/>
      <c r="AQ174" s="586"/>
      <c r="AR174" s="586"/>
      <c r="AS174" s="586"/>
      <c r="AT174" s="586"/>
      <c r="AU174" s="586"/>
      <c r="AV174" s="586"/>
      <c r="AW174" s="586"/>
      <c r="AX174" s="586"/>
      <c r="AY174" s="586"/>
      <c r="AZ174" s="587"/>
      <c r="BA174" s="586"/>
      <c r="BB174" s="498"/>
      <c r="BC174" s="498"/>
      <c r="BD174" s="498"/>
      <c r="BE174" s="498"/>
      <c r="BF174" s="498"/>
      <c r="BG174" s="498"/>
      <c r="BH174" s="498"/>
      <c r="BI174" s="498"/>
      <c r="BK174" s="499"/>
    </row>
    <row r="175" spans="3:90" ht="12" customHeight="1">
      <c r="C175" s="497"/>
      <c r="D175" s="498"/>
      <c r="E175" s="498"/>
      <c r="F175" s="498"/>
      <c r="G175" s="498"/>
      <c r="H175" s="498"/>
      <c r="I175" s="498"/>
      <c r="J175" s="498"/>
      <c r="K175" s="498"/>
      <c r="L175" s="498"/>
      <c r="M175" s="498"/>
      <c r="N175" s="498"/>
      <c r="O175" s="498"/>
      <c r="P175" s="498"/>
      <c r="Q175" s="498"/>
      <c r="R175" s="498"/>
      <c r="S175" s="498"/>
      <c r="T175" s="498"/>
      <c r="U175" s="498"/>
      <c r="V175" s="498"/>
      <c r="W175" s="498"/>
      <c r="X175" s="498"/>
      <c r="Y175" s="498"/>
      <c r="Z175" s="498"/>
      <c r="AA175" s="498"/>
      <c r="AB175" s="498"/>
      <c r="AC175" s="498"/>
      <c r="AD175" s="498"/>
      <c r="AE175" s="498"/>
      <c r="AF175" s="498"/>
      <c r="AG175" s="498"/>
      <c r="AH175" s="498"/>
      <c r="AI175" s="498"/>
      <c r="AJ175" s="498"/>
      <c r="AK175" s="498"/>
      <c r="AL175" s="498"/>
      <c r="AM175" s="498"/>
      <c r="AN175" s="498"/>
      <c r="AO175" s="498"/>
      <c r="AP175" s="498"/>
      <c r="AQ175" s="498"/>
      <c r="AR175" s="498"/>
      <c r="AS175" s="498"/>
      <c r="AT175" s="498"/>
      <c r="AU175" s="498"/>
      <c r="AV175" s="498"/>
      <c r="AW175" s="498"/>
      <c r="AX175" s="498"/>
      <c r="AY175" s="498"/>
      <c r="AZ175" s="498"/>
      <c r="BA175" s="498"/>
      <c r="BB175" s="498"/>
      <c r="BC175" s="498"/>
      <c r="BD175" s="498"/>
      <c r="BE175" s="498"/>
      <c r="BF175" s="498"/>
      <c r="BG175" s="498"/>
      <c r="BH175" s="498"/>
      <c r="BI175" s="498"/>
      <c r="BK175" s="499"/>
    </row>
    <row r="176" spans="3:90" ht="12" customHeight="1">
      <c r="C176" s="497"/>
      <c r="BK176" s="499"/>
    </row>
    <row r="177" spans="2:80" ht="12" customHeight="1">
      <c r="C177" s="50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7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09"/>
    </row>
    <row r="178" spans="2:80" ht="12" customHeight="1" thickBot="1">
      <c r="C178" s="531"/>
      <c r="D178" s="532"/>
      <c r="E178" s="532"/>
      <c r="F178" s="532"/>
      <c r="G178" s="532"/>
      <c r="H178" s="532"/>
      <c r="I178" s="532"/>
      <c r="J178" s="532"/>
      <c r="K178" s="532"/>
      <c r="L178" s="532"/>
      <c r="M178" s="532"/>
      <c r="N178" s="532"/>
      <c r="O178" s="532"/>
      <c r="P178" s="532"/>
      <c r="Q178" s="533"/>
      <c r="R178" s="532"/>
      <c r="S178" s="532"/>
      <c r="T178" s="532"/>
      <c r="U178" s="532"/>
      <c r="V178" s="532"/>
      <c r="W178" s="532"/>
      <c r="X178" s="532"/>
      <c r="Y178" s="532"/>
      <c r="Z178" s="532"/>
      <c r="AA178" s="532"/>
      <c r="AB178" s="532"/>
      <c r="AC178" s="532"/>
      <c r="AD178" s="532"/>
      <c r="AE178" s="532"/>
      <c r="AF178" s="532"/>
      <c r="AG178" s="532"/>
      <c r="AH178" s="532"/>
      <c r="AI178" s="532"/>
      <c r="AJ178" s="532"/>
      <c r="AK178" s="532"/>
      <c r="AL178" s="532"/>
      <c r="AM178" s="532"/>
      <c r="AN178" s="532"/>
      <c r="AO178" s="532"/>
      <c r="AP178" s="532"/>
      <c r="AQ178" s="532"/>
      <c r="AR178" s="532"/>
      <c r="AS178" s="532"/>
      <c r="AT178" s="532"/>
      <c r="AU178" s="532"/>
      <c r="AV178" s="532"/>
      <c r="AW178" s="532"/>
      <c r="AX178" s="532"/>
      <c r="AY178" s="532"/>
      <c r="AZ178" s="532"/>
      <c r="BA178" s="532"/>
      <c r="BB178" s="532"/>
      <c r="BC178" s="532"/>
      <c r="BD178" s="532"/>
      <c r="BE178" s="532"/>
      <c r="BF178" s="532"/>
      <c r="BG178" s="532"/>
      <c r="BH178" s="532"/>
      <c r="BI178" s="532"/>
      <c r="BJ178" s="532"/>
      <c r="BK178" s="534"/>
    </row>
    <row r="186" spans="2:80" ht="28.5">
      <c r="B186" s="488" t="s">
        <v>871</v>
      </c>
      <c r="Z186" s="852"/>
    </row>
    <row r="187" spans="2:80" ht="12" customHeight="1">
      <c r="C187" s="489" t="s">
        <v>872</v>
      </c>
      <c r="D187" s="588"/>
    </row>
    <row r="188" spans="2:80" ht="12" customHeight="1" thickBot="1">
      <c r="C188" s="489" t="s">
        <v>1154</v>
      </c>
      <c r="D188" s="588"/>
    </row>
    <row r="189" spans="2:80" ht="12" customHeight="1">
      <c r="C189" s="490"/>
      <c r="D189" s="589" t="s">
        <v>735</v>
      </c>
      <c r="E189" s="589"/>
      <c r="F189" s="589"/>
      <c r="G189" s="548" t="s">
        <v>795</v>
      </c>
      <c r="H189" s="590"/>
      <c r="I189" s="590"/>
      <c r="J189" s="590"/>
      <c r="K189" s="590"/>
      <c r="L189" s="591"/>
      <c r="M189" s="491"/>
      <c r="N189" s="589" t="s">
        <v>697</v>
      </c>
      <c r="O189" s="589"/>
      <c r="P189" s="589"/>
      <c r="Q189" s="592" t="s">
        <v>794</v>
      </c>
      <c r="R189" s="590"/>
      <c r="S189" s="590"/>
      <c r="T189" s="590"/>
      <c r="U189" s="594" t="s">
        <v>1155</v>
      </c>
      <c r="V189" s="591"/>
      <c r="W189" s="491"/>
      <c r="X189" s="589" t="s">
        <v>874</v>
      </c>
      <c r="Y189" s="589"/>
      <c r="Z189" s="589"/>
      <c r="AA189" s="589"/>
      <c r="AB189" s="589"/>
      <c r="AC189" s="589"/>
      <c r="AD189" s="593" t="s">
        <v>326</v>
      </c>
      <c r="AE189" s="590"/>
      <c r="AF189" s="590"/>
      <c r="AG189" s="590"/>
      <c r="AH189" s="590"/>
      <c r="AI189" s="590"/>
      <c r="AJ189" s="590"/>
      <c r="AK189" s="590"/>
      <c r="AL189" s="590"/>
      <c r="AM189" s="590"/>
      <c r="AN189" s="590"/>
      <c r="AO189" s="590"/>
      <c r="AP189" s="590"/>
      <c r="AQ189" s="590"/>
      <c r="AR189" s="590"/>
      <c r="AS189" s="590"/>
      <c r="AT189" s="590"/>
      <c r="AU189" s="590"/>
      <c r="AV189" s="590"/>
      <c r="AW189" s="590"/>
      <c r="AX189" s="590"/>
      <c r="AY189" s="590"/>
      <c r="AZ189" s="590"/>
      <c r="BA189" s="590"/>
      <c r="BB189" s="590"/>
      <c r="BC189" s="590"/>
      <c r="BD189" s="590"/>
      <c r="BE189" s="590"/>
      <c r="BF189" s="590"/>
      <c r="BG189" s="591"/>
      <c r="BH189" s="491"/>
      <c r="BI189" s="589" t="s">
        <v>875</v>
      </c>
      <c r="BJ189" s="589"/>
      <c r="BK189" s="589"/>
      <c r="BL189" s="594" t="s">
        <v>876</v>
      </c>
      <c r="BM189" s="590"/>
      <c r="BN189" s="590"/>
      <c r="BO189" s="590"/>
      <c r="BP189" s="590"/>
      <c r="BQ189" s="591"/>
      <c r="BR189" s="491"/>
      <c r="BS189" s="491"/>
      <c r="BT189" s="491"/>
      <c r="BU189" s="491"/>
      <c r="BV189" s="491"/>
      <c r="BW189" s="491"/>
      <c r="BX189" s="491"/>
      <c r="BY189" s="491"/>
      <c r="BZ189" s="491"/>
      <c r="CA189" s="491"/>
      <c r="CB189" s="493"/>
    </row>
    <row r="190" spans="2:80" ht="12" customHeight="1" thickBot="1">
      <c r="C190" s="497"/>
      <c r="D190" s="588" t="s">
        <v>877</v>
      </c>
      <c r="CB190" s="499"/>
    </row>
    <row r="191" spans="2:80" ht="12" customHeight="1">
      <c r="C191" s="497"/>
      <c r="D191" s="1122" t="s">
        <v>878</v>
      </c>
      <c r="E191" s="1123"/>
      <c r="F191" s="1128" t="s">
        <v>879</v>
      </c>
      <c r="G191" s="1129"/>
      <c r="H191" s="1130"/>
      <c r="I191" s="1128" t="s">
        <v>880</v>
      </c>
      <c r="J191" s="1129"/>
      <c r="K191" s="1129"/>
      <c r="L191" s="1129"/>
      <c r="M191" s="1129"/>
      <c r="N191" s="1130"/>
      <c r="O191" s="1128" t="s">
        <v>881</v>
      </c>
      <c r="P191" s="1130"/>
      <c r="Q191" s="1128" t="s">
        <v>882</v>
      </c>
      <c r="R191" s="1129"/>
      <c r="S191" s="1129"/>
      <c r="T191" s="1129"/>
      <c r="U191" s="1129"/>
      <c r="V191" s="1113" t="s">
        <v>883</v>
      </c>
      <c r="W191" s="1130"/>
      <c r="X191" s="1113" t="s">
        <v>884</v>
      </c>
      <c r="Y191" s="1114"/>
      <c r="Z191" s="1114"/>
      <c r="AA191" s="1115"/>
      <c r="AB191" s="1138" t="s">
        <v>885</v>
      </c>
      <c r="AC191" s="1138"/>
      <c r="AD191" s="1138"/>
      <c r="AE191" s="1138"/>
      <c r="AF191" s="1139" t="s">
        <v>886</v>
      </c>
      <c r="AG191" s="1138"/>
      <c r="AH191" s="1138"/>
      <c r="AI191" s="1138"/>
      <c r="AJ191" s="1138"/>
      <c r="AK191" s="1138"/>
      <c r="AL191" s="1138"/>
      <c r="AM191" s="1138"/>
      <c r="AN191" s="1138"/>
      <c r="AO191" s="1138"/>
      <c r="AP191" s="1138"/>
      <c r="AQ191" s="1138"/>
      <c r="AR191" s="1138"/>
      <c r="AS191" s="1138"/>
      <c r="AT191" s="1138"/>
      <c r="AU191" s="1138"/>
      <c r="AV191" s="1138"/>
      <c r="AW191" s="1138"/>
      <c r="AX191" s="1138"/>
      <c r="AY191" s="1138"/>
      <c r="AZ191" s="1138"/>
      <c r="BA191" s="1138"/>
      <c r="BB191" s="1138"/>
      <c r="BC191" s="1138"/>
      <c r="BD191" s="1138"/>
      <c r="BE191" s="1138"/>
      <c r="BF191" s="1138"/>
      <c r="BG191" s="1138"/>
      <c r="BH191" s="1138" t="s">
        <v>887</v>
      </c>
      <c r="BI191" s="1138"/>
      <c r="BJ191" s="1138"/>
      <c r="BK191" s="1138"/>
      <c r="BL191" s="1138" t="s">
        <v>888</v>
      </c>
      <c r="BM191" s="1138"/>
      <c r="BN191" s="1138"/>
      <c r="BO191" s="1138"/>
      <c r="BP191" s="1138" t="s">
        <v>889</v>
      </c>
      <c r="BQ191" s="1138"/>
      <c r="BR191" s="1138"/>
      <c r="BS191" s="1138"/>
      <c r="BT191" s="1129" t="s">
        <v>890</v>
      </c>
      <c r="BU191" s="1129"/>
      <c r="BV191" s="1129"/>
      <c r="BW191" s="1129"/>
      <c r="BX191" s="1129"/>
      <c r="BY191" s="1137"/>
      <c r="BZ191" s="595" t="s">
        <v>891</v>
      </c>
      <c r="CB191" s="499"/>
    </row>
    <row r="192" spans="2:80" ht="12" customHeight="1">
      <c r="C192" s="497"/>
      <c r="D192" s="1124"/>
      <c r="E192" s="1125"/>
      <c r="F192" s="1131"/>
      <c r="G192" s="1132"/>
      <c r="H192" s="1133"/>
      <c r="I192" s="1131"/>
      <c r="J192" s="1132"/>
      <c r="K192" s="1132"/>
      <c r="L192" s="1132"/>
      <c r="M192" s="1132"/>
      <c r="N192" s="1133"/>
      <c r="O192" s="1131"/>
      <c r="P192" s="1133"/>
      <c r="Q192" s="1131"/>
      <c r="R192" s="1132"/>
      <c r="S192" s="1132"/>
      <c r="T192" s="1132"/>
      <c r="U192" s="1132"/>
      <c r="V192" s="1131"/>
      <c r="W192" s="1133"/>
      <c r="X192" s="1116"/>
      <c r="Y192" s="1117"/>
      <c r="Z192" s="1117"/>
      <c r="AA192" s="1118"/>
      <c r="AB192" s="1101" t="s">
        <v>885</v>
      </c>
      <c r="AC192" s="1105"/>
      <c r="AD192" s="1105"/>
      <c r="AE192" s="1102"/>
      <c r="AF192" s="1081" t="s">
        <v>892</v>
      </c>
      <c r="AG192" s="1082"/>
      <c r="AH192" s="1082"/>
      <c r="AI192" s="1083"/>
      <c r="AJ192" s="1081" t="s">
        <v>893</v>
      </c>
      <c r="AK192" s="1082"/>
      <c r="AL192" s="1082"/>
      <c r="AM192" s="1083"/>
      <c r="AN192" s="1081" t="s">
        <v>894</v>
      </c>
      <c r="AO192" s="1082"/>
      <c r="AP192" s="1082"/>
      <c r="AQ192" s="1083"/>
      <c r="AR192" s="1081" t="s">
        <v>895</v>
      </c>
      <c r="AS192" s="1082"/>
      <c r="AT192" s="1082"/>
      <c r="AU192" s="1082"/>
      <c r="AV192" s="1081" t="s">
        <v>896</v>
      </c>
      <c r="AW192" s="1082"/>
      <c r="AX192" s="1082"/>
      <c r="AY192" s="1083"/>
      <c r="AZ192" s="1081" t="s">
        <v>897</v>
      </c>
      <c r="BA192" s="1082"/>
      <c r="BB192" s="1082"/>
      <c r="BC192" s="1083"/>
      <c r="BD192" s="1081" t="s">
        <v>898</v>
      </c>
      <c r="BE192" s="1082"/>
      <c r="BF192" s="1082"/>
      <c r="BG192" s="1083"/>
      <c r="BH192" s="1101" t="s">
        <v>899</v>
      </c>
      <c r="BI192" s="1105"/>
      <c r="BJ192" s="1105"/>
      <c r="BK192" s="1102"/>
      <c r="BL192" s="1101" t="s">
        <v>900</v>
      </c>
      <c r="BM192" s="1105"/>
      <c r="BN192" s="1105"/>
      <c r="BO192" s="1102"/>
      <c r="BP192" s="1101" t="s">
        <v>901</v>
      </c>
      <c r="BQ192" s="1105"/>
      <c r="BR192" s="1105"/>
      <c r="BS192" s="1102"/>
      <c r="BT192" s="1101" t="s">
        <v>902</v>
      </c>
      <c r="BU192" s="1102"/>
      <c r="BV192" s="1105" t="s">
        <v>903</v>
      </c>
      <c r="BW192" s="1102"/>
      <c r="BX192" s="1101" t="s">
        <v>904</v>
      </c>
      <c r="BY192" s="1107"/>
      <c r="BZ192" s="596"/>
      <c r="CB192" s="499"/>
    </row>
    <row r="193" spans="2:80" ht="12" customHeight="1" thickBot="1">
      <c r="C193" s="497"/>
      <c r="D193" s="1126"/>
      <c r="E193" s="1127"/>
      <c r="F193" s="1134"/>
      <c r="G193" s="1135"/>
      <c r="H193" s="1136"/>
      <c r="I193" s="1134"/>
      <c r="J193" s="1135"/>
      <c r="K193" s="1135"/>
      <c r="L193" s="1135"/>
      <c r="M193" s="1135"/>
      <c r="N193" s="1136"/>
      <c r="O193" s="1134"/>
      <c r="P193" s="1136"/>
      <c r="Q193" s="1134"/>
      <c r="R193" s="1135"/>
      <c r="S193" s="1135"/>
      <c r="T193" s="1135"/>
      <c r="U193" s="1135"/>
      <c r="V193" s="1134"/>
      <c r="W193" s="1136"/>
      <c r="X193" s="1119"/>
      <c r="Y193" s="1120"/>
      <c r="Z193" s="1120"/>
      <c r="AA193" s="1121"/>
      <c r="AB193" s="1103"/>
      <c r="AC193" s="1106"/>
      <c r="AD193" s="1106"/>
      <c r="AE193" s="1104"/>
      <c r="AF193" s="597" t="s">
        <v>905</v>
      </c>
      <c r="AG193" s="598"/>
      <c r="AH193" s="598"/>
      <c r="AI193" s="598"/>
      <c r="AJ193" s="598"/>
      <c r="AK193" s="598"/>
      <c r="AL193" s="598"/>
      <c r="AM193" s="598"/>
      <c r="AN193" s="598"/>
      <c r="AO193" s="598"/>
      <c r="AP193" s="598"/>
      <c r="AQ193" s="598"/>
      <c r="AR193" s="598"/>
      <c r="AS193" s="598"/>
      <c r="AT193" s="598"/>
      <c r="AU193" s="598"/>
      <c r="AV193" s="597" t="s">
        <v>906</v>
      </c>
      <c r="AW193" s="598"/>
      <c r="AX193" s="598"/>
      <c r="AY193" s="598"/>
      <c r="AZ193" s="598"/>
      <c r="BA193" s="598"/>
      <c r="BB193" s="598"/>
      <c r="BC193" s="598"/>
      <c r="BD193" s="598"/>
      <c r="BE193" s="598"/>
      <c r="BF193" s="598"/>
      <c r="BG193" s="599"/>
      <c r="BH193" s="1103"/>
      <c r="BI193" s="1106"/>
      <c r="BJ193" s="1106"/>
      <c r="BK193" s="1104"/>
      <c r="BL193" s="1103"/>
      <c r="BM193" s="1106"/>
      <c r="BN193" s="1106"/>
      <c r="BO193" s="1104"/>
      <c r="BP193" s="1109" t="s">
        <v>907</v>
      </c>
      <c r="BQ193" s="1110"/>
      <c r="BR193" s="1110"/>
      <c r="BS193" s="1111"/>
      <c r="BT193" s="1103"/>
      <c r="BU193" s="1104"/>
      <c r="BV193" s="1106"/>
      <c r="BW193" s="1104"/>
      <c r="BX193" s="1103"/>
      <c r="BY193" s="1108"/>
      <c r="BZ193" s="595"/>
      <c r="CB193" s="499"/>
    </row>
    <row r="194" spans="2:80" ht="12" customHeight="1">
      <c r="C194" s="497"/>
      <c r="D194" s="1277" t="s">
        <v>1221</v>
      </c>
      <c r="E194" s="1278"/>
      <c r="F194" s="981" t="s">
        <v>1222</v>
      </c>
      <c r="G194" s="982"/>
      <c r="H194" s="983"/>
      <c r="I194" s="990" t="s">
        <v>1223</v>
      </c>
      <c r="J194" s="991"/>
      <c r="K194" s="996" t="s">
        <v>1224</v>
      </c>
      <c r="L194" s="997"/>
      <c r="M194" s="997"/>
      <c r="N194" s="997"/>
      <c r="O194" s="1100">
        <v>30</v>
      </c>
      <c r="P194" s="1025"/>
      <c r="Q194" s="1011" t="s">
        <v>1225</v>
      </c>
      <c r="R194" s="1012"/>
      <c r="S194" s="1012"/>
      <c r="T194" s="1012"/>
      <c r="U194" s="1013"/>
      <c r="V194" s="602" t="s">
        <v>928</v>
      </c>
      <c r="W194" s="699"/>
      <c r="X194" s="602" t="s">
        <v>928</v>
      </c>
      <c r="Y194" s="699"/>
      <c r="Z194" s="602" t="s">
        <v>928</v>
      </c>
      <c r="AA194" s="699"/>
      <c r="AB194" s="1068"/>
      <c r="AC194" s="1024"/>
      <c r="AD194" s="1024"/>
      <c r="AE194" s="1025"/>
      <c r="AF194" s="604" t="s">
        <v>1226</v>
      </c>
      <c r="AG194" s="605"/>
      <c r="AH194" s="605"/>
      <c r="AI194" s="605"/>
      <c r="AJ194" s="604" t="s">
        <v>1227</v>
      </c>
      <c r="AK194" s="605"/>
      <c r="AL194" s="605"/>
      <c r="AM194" s="606"/>
      <c r="AN194" s="700" t="s">
        <v>1228</v>
      </c>
      <c r="AO194" s="701"/>
      <c r="AP194" s="701"/>
      <c r="AQ194" s="702"/>
      <c r="AR194" s="700"/>
      <c r="AS194" s="701"/>
      <c r="AT194" s="701"/>
      <c r="AU194" s="702"/>
      <c r="AV194" s="700"/>
      <c r="AW194" s="701"/>
      <c r="AX194" s="701"/>
      <c r="AY194" s="702"/>
      <c r="AZ194" s="700"/>
      <c r="BA194" s="701"/>
      <c r="BB194" s="701"/>
      <c r="BC194" s="702"/>
      <c r="BD194" s="605"/>
      <c r="BE194" s="605"/>
      <c r="BF194" s="605"/>
      <c r="BG194" s="605"/>
      <c r="BH194" s="960"/>
      <c r="BI194" s="961"/>
      <c r="BJ194" s="961"/>
      <c r="BK194" s="962"/>
      <c r="BL194" s="960"/>
      <c r="BM194" s="961"/>
      <c r="BN194" s="961"/>
      <c r="BO194" s="962"/>
      <c r="BP194" s="607"/>
      <c r="BQ194" s="608"/>
      <c r="BR194" s="608"/>
      <c r="BS194" s="609"/>
      <c r="BT194" s="612"/>
      <c r="BU194" s="613"/>
      <c r="BV194" s="612"/>
      <c r="BW194" s="613"/>
      <c r="BX194" s="600"/>
      <c r="BY194" s="703"/>
      <c r="BZ194" s="595"/>
      <c r="CB194" s="499"/>
    </row>
    <row r="195" spans="2:80" ht="12" customHeight="1">
      <c r="C195" s="497"/>
      <c r="D195" s="1279"/>
      <c r="E195" s="1280"/>
      <c r="F195" s="984"/>
      <c r="G195" s="985"/>
      <c r="H195" s="986"/>
      <c r="I195" s="992"/>
      <c r="J195" s="993"/>
      <c r="K195" s="999"/>
      <c r="L195" s="1000"/>
      <c r="M195" s="1000"/>
      <c r="N195" s="1000"/>
      <c r="O195" s="1096"/>
      <c r="P195" s="1070"/>
      <c r="Q195" s="1014"/>
      <c r="R195" s="1015"/>
      <c r="S195" s="1015"/>
      <c r="T195" s="1015"/>
      <c r="U195" s="1016"/>
      <c r="V195" s="617"/>
      <c r="W195" s="647"/>
      <c r="X195" s="617"/>
      <c r="Y195" s="647"/>
      <c r="Z195" s="617"/>
      <c r="AA195" s="647"/>
      <c r="AB195" s="1069"/>
      <c r="AC195" s="891"/>
      <c r="AD195" s="891"/>
      <c r="AE195" s="1070"/>
      <c r="AF195" s="658">
        <v>2</v>
      </c>
      <c r="AG195" s="659"/>
      <c r="AH195" s="659"/>
      <c r="AI195" s="660"/>
      <c r="AJ195" s="1323">
        <v>400</v>
      </c>
      <c r="AK195" s="1324"/>
      <c r="AL195" s="1324"/>
      <c r="AM195" s="1325"/>
      <c r="AN195" s="818" t="s">
        <v>1229</v>
      </c>
      <c r="AO195" s="659"/>
      <c r="AP195" s="659"/>
      <c r="AQ195" s="660"/>
      <c r="AR195" s="658"/>
      <c r="AS195" s="659"/>
      <c r="AT195" s="659"/>
      <c r="AU195" s="660"/>
      <c r="AV195" s="658"/>
      <c r="AW195" s="659"/>
      <c r="AX195" s="659"/>
      <c r="AY195" s="660"/>
      <c r="AZ195" s="661"/>
      <c r="BA195" s="659"/>
      <c r="BB195" s="659"/>
      <c r="BC195" s="660"/>
      <c r="BD195" s="658"/>
      <c r="BE195" s="659"/>
      <c r="BF195" s="659"/>
      <c r="BG195" s="660"/>
      <c r="BH195" s="972"/>
      <c r="BI195" s="973"/>
      <c r="BJ195" s="973"/>
      <c r="BK195" s="974"/>
      <c r="BL195" s="972"/>
      <c r="BM195" s="973"/>
      <c r="BN195" s="973"/>
      <c r="BO195" s="974"/>
      <c r="BP195" s="623"/>
      <c r="BQ195" s="624"/>
      <c r="BR195" s="624"/>
      <c r="BS195" s="625"/>
      <c r="BT195" s="628"/>
      <c r="BU195" s="629"/>
      <c r="BV195" s="628"/>
      <c r="BW195" s="629"/>
      <c r="BX195" s="614"/>
      <c r="BY195" s="704"/>
      <c r="BZ195" s="595"/>
      <c r="CB195" s="499"/>
    </row>
    <row r="196" spans="2:80" ht="12" customHeight="1" thickBot="1">
      <c r="C196" s="497"/>
      <c r="D196" s="1281"/>
      <c r="E196" s="1282"/>
      <c r="F196" s="987"/>
      <c r="G196" s="988"/>
      <c r="H196" s="989"/>
      <c r="I196" s="994"/>
      <c r="J196" s="995"/>
      <c r="K196" s="1002"/>
      <c r="L196" s="1003"/>
      <c r="M196" s="1003"/>
      <c r="N196" s="1003"/>
      <c r="O196" s="1112"/>
      <c r="P196" s="1073"/>
      <c r="Q196" s="1017"/>
      <c r="R196" s="1018"/>
      <c r="S196" s="1018"/>
      <c r="T196" s="1018"/>
      <c r="U196" s="1019"/>
      <c r="V196" s="632"/>
      <c r="W196" s="819"/>
      <c r="X196" s="632"/>
      <c r="Y196" s="819"/>
      <c r="Z196" s="632"/>
      <c r="AA196" s="819"/>
      <c r="AB196" s="1071"/>
      <c r="AC196" s="1072"/>
      <c r="AD196" s="1072"/>
      <c r="AE196" s="1073"/>
      <c r="AF196" s="1044"/>
      <c r="AG196" s="1044"/>
      <c r="AH196" s="1044"/>
      <c r="AI196" s="1044"/>
      <c r="AJ196" s="1044"/>
      <c r="AK196" s="1044"/>
      <c r="AL196" s="1044"/>
      <c r="AM196" s="1044"/>
      <c r="AN196" s="1044"/>
      <c r="AO196" s="1044"/>
      <c r="AP196" s="1044"/>
      <c r="AQ196" s="1044"/>
      <c r="AR196" s="1044"/>
      <c r="AS196" s="1044"/>
      <c r="AT196" s="1044"/>
      <c r="AU196" s="1044"/>
      <c r="AV196" s="1035"/>
      <c r="AW196" s="1036"/>
      <c r="AX196" s="1036"/>
      <c r="AY196" s="1036"/>
      <c r="AZ196" s="1036"/>
      <c r="BA196" s="1036"/>
      <c r="BB196" s="1036"/>
      <c r="BC196" s="1036"/>
      <c r="BD196" s="1036"/>
      <c r="BE196" s="1036"/>
      <c r="BF196" s="1036"/>
      <c r="BG196" s="1037"/>
      <c r="BH196" s="952"/>
      <c r="BI196" s="953"/>
      <c r="BJ196" s="953"/>
      <c r="BK196" s="954"/>
      <c r="BL196" s="952"/>
      <c r="BM196" s="953"/>
      <c r="BN196" s="953"/>
      <c r="BO196" s="954"/>
      <c r="BP196" s="640"/>
      <c r="BQ196" s="641"/>
      <c r="BR196" s="641"/>
      <c r="BS196" s="642"/>
      <c r="BT196" s="645"/>
      <c r="BU196" s="646"/>
      <c r="BV196" s="645"/>
      <c r="BW196" s="646"/>
      <c r="BX196" s="630"/>
      <c r="BY196" s="820"/>
      <c r="BZ196" s="595"/>
      <c r="CB196" s="499"/>
    </row>
    <row r="197" spans="2:80" ht="12" customHeight="1">
      <c r="C197" s="497"/>
      <c r="D197" s="588"/>
      <c r="CB197" s="499"/>
    </row>
    <row r="198" spans="2:80" ht="12" customHeight="1">
      <c r="C198" s="712"/>
      <c r="D198" s="713"/>
      <c r="E198" s="714"/>
      <c r="F198" s="714"/>
      <c r="G198" s="715"/>
      <c r="H198" s="715"/>
      <c r="I198" s="715"/>
      <c r="J198" s="716"/>
      <c r="K198" s="616"/>
      <c r="L198" s="616"/>
      <c r="M198" s="616"/>
      <c r="N198" s="616"/>
      <c r="O198" s="579"/>
      <c r="P198" s="579"/>
      <c r="Q198" s="616"/>
      <c r="R198" s="616"/>
      <c r="S198" s="616"/>
      <c r="T198" s="616"/>
      <c r="U198" s="616"/>
      <c r="V198" s="579"/>
      <c r="W198" s="579"/>
      <c r="X198" s="579"/>
      <c r="Y198" s="579"/>
      <c r="Z198" s="579"/>
      <c r="AA198" s="579"/>
      <c r="AB198" s="579"/>
      <c r="AC198" s="579"/>
      <c r="AD198" s="717"/>
      <c r="AE198" s="717"/>
      <c r="AF198" s="717"/>
      <c r="AG198" s="579"/>
      <c r="AH198" s="579"/>
      <c r="AI198" s="579"/>
      <c r="AJ198" s="579"/>
      <c r="AK198" s="579"/>
      <c r="AL198" s="579"/>
      <c r="AM198" s="579"/>
      <c r="AN198" s="579"/>
      <c r="AO198" s="579"/>
      <c r="AP198" s="579"/>
      <c r="AQ198" s="579"/>
      <c r="AR198" s="579"/>
      <c r="AS198" s="579"/>
      <c r="AT198" s="579"/>
      <c r="AU198" s="579"/>
      <c r="AV198" s="579"/>
      <c r="AW198" s="579"/>
      <c r="AX198" s="718"/>
      <c r="AY198" s="718"/>
      <c r="AZ198" s="718"/>
      <c r="BA198" s="718"/>
      <c r="BB198" s="718"/>
      <c r="BC198" s="718"/>
      <c r="BD198" s="718"/>
      <c r="BE198" s="718"/>
      <c r="BF198" s="718"/>
      <c r="BG198" s="718"/>
      <c r="BH198" s="718"/>
      <c r="BI198" s="718"/>
      <c r="BJ198" s="579"/>
      <c r="BK198" s="579"/>
      <c r="BL198" s="579"/>
      <c r="BM198" s="579"/>
      <c r="BN198" s="579"/>
      <c r="BO198" s="719"/>
      <c r="BP198" s="719"/>
      <c r="BQ198" s="719"/>
      <c r="BR198" s="719"/>
      <c r="BS198" s="719"/>
      <c r="BT198" s="719"/>
      <c r="BU198" s="719"/>
      <c r="BV198" s="719"/>
      <c r="BW198" s="719"/>
      <c r="BX198" s="719"/>
      <c r="BY198" s="719"/>
      <c r="BZ198" s="719"/>
      <c r="CA198" s="719"/>
      <c r="CB198" s="499"/>
    </row>
    <row r="199" spans="2:80" ht="12" customHeight="1">
      <c r="C199" s="50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7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09"/>
    </row>
    <row r="200" spans="2:80" ht="12" customHeight="1" thickBot="1">
      <c r="C200" s="531"/>
      <c r="D200" s="532"/>
      <c r="E200" s="532"/>
      <c r="F200" s="532"/>
      <c r="G200" s="532"/>
      <c r="H200" s="532"/>
      <c r="I200" s="532"/>
      <c r="J200" s="532"/>
      <c r="K200" s="532"/>
      <c r="L200" s="532"/>
      <c r="M200" s="532"/>
      <c r="N200" s="532"/>
      <c r="O200" s="532"/>
      <c r="P200" s="532"/>
      <c r="Q200" s="532"/>
      <c r="R200" s="532"/>
      <c r="S200" s="532"/>
      <c r="T200" s="532"/>
      <c r="U200" s="532"/>
      <c r="V200" s="532"/>
      <c r="W200" s="532"/>
      <c r="X200" s="532"/>
      <c r="Y200" s="532"/>
      <c r="Z200" s="532"/>
      <c r="AA200" s="532"/>
      <c r="AB200" s="532"/>
      <c r="AC200" s="532"/>
      <c r="AD200" s="532"/>
      <c r="AE200" s="532"/>
      <c r="AF200" s="532"/>
      <c r="AG200" s="532"/>
      <c r="AH200" s="532"/>
      <c r="AI200" s="532"/>
      <c r="AJ200" s="532"/>
      <c r="AK200" s="532"/>
      <c r="AL200" s="532"/>
      <c r="AM200" s="532"/>
      <c r="AN200" s="532"/>
      <c r="AO200" s="532"/>
      <c r="AP200" s="532"/>
      <c r="AQ200" s="532"/>
      <c r="AR200" s="532"/>
      <c r="AS200" s="532"/>
      <c r="AT200" s="532"/>
      <c r="AU200" s="532"/>
      <c r="AV200" s="532"/>
      <c r="AW200" s="532"/>
      <c r="AX200" s="532"/>
      <c r="AY200" s="532"/>
      <c r="AZ200" s="532"/>
      <c r="BA200" s="532"/>
      <c r="BB200" s="532"/>
      <c r="BC200" s="532"/>
      <c r="BD200" s="532"/>
      <c r="BE200" s="532"/>
      <c r="BF200" s="532"/>
      <c r="BG200" s="532"/>
      <c r="BH200" s="532"/>
      <c r="BI200" s="532"/>
      <c r="BJ200" s="532"/>
      <c r="BK200" s="532"/>
      <c r="BL200" s="532"/>
      <c r="BM200" s="532"/>
      <c r="BN200" s="532"/>
      <c r="BO200" s="532"/>
      <c r="BP200" s="532"/>
      <c r="BQ200" s="532"/>
      <c r="BR200" s="532"/>
      <c r="BS200" s="532"/>
      <c r="BT200" s="532"/>
      <c r="BU200" s="532"/>
      <c r="BV200" s="532"/>
      <c r="BW200" s="532"/>
      <c r="BX200" s="532"/>
      <c r="BY200" s="532"/>
      <c r="BZ200" s="532"/>
      <c r="CA200" s="532"/>
      <c r="CB200" s="534"/>
    </row>
    <row r="206" spans="2:80" ht="28.5">
      <c r="B206" s="488" t="s">
        <v>1093</v>
      </c>
    </row>
    <row r="209" spans="3:65" ht="12" customHeight="1">
      <c r="C209" s="489" t="s">
        <v>1094</v>
      </c>
      <c r="D209" s="588"/>
    </row>
    <row r="212" spans="3:65" ht="12" customHeight="1" thickBot="1"/>
    <row r="213" spans="3:65" ht="12" customHeight="1">
      <c r="C213" s="753"/>
      <c r="D213" s="589" t="s">
        <v>735</v>
      </c>
      <c r="E213" s="589"/>
      <c r="F213" s="589"/>
      <c r="G213" s="754" t="s">
        <v>795</v>
      </c>
      <c r="H213" s="590"/>
      <c r="I213" s="590"/>
      <c r="J213" s="590"/>
      <c r="K213" s="590"/>
      <c r="L213" s="591"/>
      <c r="M213" s="491"/>
      <c r="N213" s="589" t="s">
        <v>697</v>
      </c>
      <c r="O213" s="589"/>
      <c r="P213" s="589"/>
      <c r="Q213" s="592" t="s">
        <v>794</v>
      </c>
      <c r="R213" s="590"/>
      <c r="S213" s="590"/>
      <c r="T213" s="590"/>
      <c r="U213" s="594" t="s">
        <v>1155</v>
      </c>
      <c r="V213" s="590"/>
      <c r="W213" s="590"/>
      <c r="X213" s="590"/>
      <c r="Y213" s="591"/>
      <c r="Z213" s="491"/>
      <c r="AA213" s="589" t="s">
        <v>874</v>
      </c>
      <c r="AB213" s="589"/>
      <c r="AC213" s="589"/>
      <c r="AD213" s="589"/>
      <c r="AE213" s="589"/>
      <c r="AF213" s="589"/>
      <c r="AG213" s="593" t="s">
        <v>326</v>
      </c>
      <c r="AH213" s="590"/>
      <c r="AI213" s="590"/>
      <c r="AJ213" s="590"/>
      <c r="AK213" s="590"/>
      <c r="AL213" s="590"/>
      <c r="AM213" s="590"/>
      <c r="AN213" s="590"/>
      <c r="AO213" s="590"/>
      <c r="AP213" s="590"/>
      <c r="AQ213" s="590"/>
      <c r="AR213" s="590"/>
      <c r="AS213" s="590"/>
      <c r="AT213" s="590"/>
      <c r="AU213" s="590"/>
      <c r="AV213" s="590"/>
      <c r="AW213" s="590"/>
      <c r="AX213" s="590"/>
      <c r="AY213" s="590"/>
      <c r="AZ213" s="590"/>
      <c r="BA213" s="590"/>
      <c r="BB213" s="590"/>
      <c r="BC213" s="590"/>
      <c r="BD213" s="590"/>
      <c r="BE213" s="590"/>
      <c r="BF213" s="590"/>
      <c r="BG213" s="590"/>
      <c r="BH213" s="590"/>
      <c r="BI213" s="755"/>
      <c r="BJ213" s="755"/>
      <c r="BK213" s="756"/>
      <c r="BL213" s="757"/>
      <c r="BM213" s="758"/>
    </row>
    <row r="214" spans="3:65" ht="12" customHeight="1">
      <c r="C214" s="539"/>
      <c r="D214" s="540" t="s">
        <v>878</v>
      </c>
      <c r="E214" s="540"/>
      <c r="F214" s="540"/>
      <c r="G214" s="759" t="s">
        <v>1230</v>
      </c>
      <c r="H214" s="482"/>
      <c r="I214" s="482"/>
      <c r="J214" s="482"/>
      <c r="K214" s="483"/>
      <c r="L214" s="543"/>
      <c r="M214" s="543"/>
      <c r="N214" s="543"/>
      <c r="O214" s="543"/>
      <c r="P214" s="543"/>
      <c r="Q214" s="543"/>
      <c r="R214" s="543"/>
      <c r="S214" s="543"/>
      <c r="T214" s="543"/>
      <c r="U214" s="543"/>
      <c r="V214" s="543"/>
      <c r="W214" s="543"/>
      <c r="X214" s="543"/>
      <c r="Y214" s="544"/>
      <c r="Z214" s="647"/>
      <c r="AA214" s="498"/>
      <c r="AB214" s="498"/>
      <c r="AC214" s="498"/>
      <c r="AD214" s="498"/>
      <c r="AE214" s="498"/>
      <c r="AF214" s="498"/>
      <c r="AG214" s="498"/>
      <c r="AH214" s="498"/>
      <c r="AI214" s="498"/>
      <c r="AJ214" s="498"/>
      <c r="AK214" s="498"/>
      <c r="AL214" s="498"/>
      <c r="AM214" s="498"/>
      <c r="AN214" s="498"/>
      <c r="AO214" s="498"/>
      <c r="AP214" s="498"/>
      <c r="AQ214" s="498"/>
      <c r="AR214" s="498"/>
      <c r="AS214" s="498"/>
      <c r="AT214" s="498"/>
      <c r="AU214" s="498"/>
      <c r="AV214" s="498"/>
      <c r="AW214" s="498"/>
      <c r="AX214" s="498"/>
      <c r="AY214" s="498"/>
      <c r="AZ214" s="498"/>
      <c r="BA214" s="498"/>
      <c r="BB214" s="498"/>
      <c r="BC214" s="498"/>
      <c r="BD214" s="498"/>
      <c r="BE214" s="498"/>
      <c r="BF214" s="498"/>
      <c r="BG214" s="498"/>
      <c r="BH214" s="498"/>
      <c r="BI214" s="498"/>
      <c r="BJ214" s="498"/>
      <c r="BK214" s="498"/>
      <c r="BL214" s="498"/>
      <c r="BM214" s="760"/>
    </row>
    <row r="215" spans="3:65" ht="12" customHeight="1">
      <c r="C215" s="539"/>
      <c r="D215" s="498"/>
      <c r="E215" s="498"/>
      <c r="F215" s="498"/>
      <c r="G215" s="498"/>
      <c r="H215" s="498"/>
      <c r="I215" s="498"/>
      <c r="J215" s="498"/>
      <c r="K215" s="498"/>
      <c r="L215" s="498"/>
      <c r="M215" s="498"/>
      <c r="N215" s="498"/>
      <c r="O215" s="498"/>
      <c r="P215" s="498"/>
      <c r="Q215" s="498"/>
      <c r="R215" s="498"/>
      <c r="S215" s="498"/>
      <c r="T215" s="498"/>
      <c r="U215" s="498"/>
      <c r="V215" s="498"/>
      <c r="W215" s="498"/>
      <c r="X215" s="498"/>
      <c r="Y215" s="498"/>
      <c r="Z215" s="498"/>
      <c r="AA215" s="498"/>
      <c r="AB215" s="498"/>
      <c r="AC215" s="498"/>
      <c r="AD215" s="498"/>
      <c r="AE215" s="498"/>
      <c r="AF215" s="498"/>
      <c r="AG215" s="498"/>
      <c r="AH215" s="498"/>
      <c r="AI215" s="498"/>
      <c r="AJ215" s="498"/>
      <c r="AK215" s="498"/>
      <c r="AL215" s="498"/>
      <c r="AM215" s="498"/>
      <c r="AN215" s="498"/>
      <c r="AO215" s="498"/>
      <c r="AP215" s="498"/>
      <c r="AQ215" s="498"/>
      <c r="AR215" s="498"/>
      <c r="AS215" s="498"/>
      <c r="AT215" s="498"/>
      <c r="AU215" s="498"/>
      <c r="AV215" s="498"/>
      <c r="AW215" s="498"/>
      <c r="AX215" s="498"/>
      <c r="AY215" s="498"/>
      <c r="AZ215" s="498"/>
      <c r="BA215" s="498"/>
      <c r="BB215" s="498"/>
      <c r="BC215" s="498"/>
      <c r="BD215" s="498"/>
      <c r="BE215" s="498"/>
      <c r="BF215" s="498"/>
      <c r="BG215" s="498"/>
      <c r="BH215" s="498"/>
      <c r="BI215" s="498"/>
      <c r="BJ215" s="498"/>
      <c r="BK215" s="498"/>
      <c r="BL215" s="498"/>
      <c r="BM215" s="760"/>
    </row>
    <row r="216" spans="3:65" ht="12" customHeight="1">
      <c r="C216" s="539"/>
      <c r="D216" s="1268" t="s">
        <v>1158</v>
      </c>
      <c r="E216" s="1268"/>
      <c r="F216" s="1268"/>
      <c r="G216" s="1268"/>
      <c r="H216" s="1268"/>
      <c r="I216" s="1268"/>
      <c r="J216" s="1268"/>
      <c r="K216" s="1268"/>
      <c r="L216" s="1269" t="s">
        <v>1231</v>
      </c>
      <c r="M216" s="1269"/>
      <c r="N216" s="1269"/>
      <c r="O216" s="1269"/>
      <c r="P216" s="761" t="s">
        <v>1232</v>
      </c>
      <c r="Q216" s="762"/>
      <c r="R216" s="762"/>
      <c r="S216" s="762"/>
      <c r="T216" s="762"/>
      <c r="U216" s="762"/>
      <c r="V216" s="762"/>
      <c r="W216" s="762"/>
      <c r="X216" s="762"/>
      <c r="Y216" s="763"/>
      <c r="Z216" s="1268" t="s">
        <v>1161</v>
      </c>
      <c r="AA216" s="1268"/>
      <c r="AB216" s="1268"/>
      <c r="AC216" s="1268"/>
      <c r="AD216" s="1268"/>
      <c r="AE216" s="1268"/>
      <c r="AF216" s="1268"/>
      <c r="AG216" s="1270"/>
      <c r="AH216" s="764"/>
      <c r="AI216" s="765" t="s">
        <v>755</v>
      </c>
      <c r="AJ216" s="766"/>
      <c r="AK216" s="1268" t="s">
        <v>1162</v>
      </c>
      <c r="AL216" s="1268"/>
      <c r="AM216" s="1268"/>
      <c r="AN216" s="1268"/>
      <c r="AO216" s="1268"/>
      <c r="AP216" s="1268"/>
      <c r="AQ216" s="1268"/>
      <c r="AR216" s="1270"/>
      <c r="AS216" s="767"/>
      <c r="AT216" s="768"/>
      <c r="AU216" s="768"/>
      <c r="AV216" s="768"/>
      <c r="AW216" s="768"/>
      <c r="AX216" s="768"/>
      <c r="AY216" s="769"/>
      <c r="AZ216" s="498"/>
      <c r="BA216" s="498"/>
      <c r="BB216" s="498"/>
      <c r="BC216" s="498"/>
      <c r="BD216" s="498"/>
      <c r="BE216" s="498"/>
      <c r="BF216" s="498"/>
      <c r="BG216" s="498"/>
      <c r="BH216" s="498"/>
      <c r="BI216" s="498"/>
      <c r="BJ216" s="498"/>
      <c r="BK216" s="498"/>
      <c r="BL216" s="498"/>
      <c r="BM216" s="760"/>
    </row>
    <row r="217" spans="3:65" ht="12" customHeight="1" thickBot="1">
      <c r="C217" s="539"/>
      <c r="D217" s="498"/>
      <c r="E217" s="498"/>
      <c r="F217" s="498"/>
      <c r="G217" s="498"/>
      <c r="H217" s="498"/>
      <c r="I217" s="498"/>
      <c r="J217" s="498"/>
      <c r="K217" s="498"/>
      <c r="L217" s="498"/>
      <c r="M217" s="498"/>
      <c r="N217" s="498"/>
      <c r="O217" s="498"/>
      <c r="P217" s="498"/>
      <c r="Q217" s="498"/>
      <c r="R217" s="498"/>
      <c r="S217" s="498"/>
      <c r="T217" s="498"/>
      <c r="U217" s="498"/>
      <c r="V217" s="498"/>
      <c r="W217" s="498"/>
      <c r="X217" s="498"/>
      <c r="Y217" s="498"/>
      <c r="Z217" s="498"/>
      <c r="AA217" s="498"/>
      <c r="AB217" s="498"/>
      <c r="AC217" s="498"/>
      <c r="AD217" s="498"/>
      <c r="AE217" s="498"/>
      <c r="AF217" s="498"/>
      <c r="AG217" s="498"/>
      <c r="AH217" s="498"/>
      <c r="AI217" s="498"/>
      <c r="AJ217" s="498"/>
      <c r="AK217" s="498"/>
      <c r="AL217" s="498"/>
      <c r="AM217" s="498"/>
      <c r="AN217" s="498"/>
      <c r="AO217" s="498"/>
      <c r="AP217" s="498"/>
      <c r="AQ217" s="498"/>
      <c r="AR217" s="498"/>
      <c r="AS217" s="498"/>
      <c r="AT217" s="498"/>
      <c r="AU217" s="498"/>
      <c r="AV217" s="498"/>
      <c r="AW217" s="498"/>
      <c r="AX217" s="498"/>
      <c r="AY217" s="498"/>
      <c r="AZ217" s="498"/>
      <c r="BA217" s="498"/>
      <c r="BB217" s="498"/>
      <c r="BC217" s="498"/>
      <c r="BD217" s="498"/>
      <c r="BE217" s="498"/>
      <c r="BF217" s="498"/>
      <c r="BG217" s="498"/>
      <c r="BH217" s="498"/>
      <c r="BI217" s="498"/>
      <c r="BJ217" s="498"/>
      <c r="BK217" s="498"/>
      <c r="BL217" s="498"/>
      <c r="BM217" s="760"/>
    </row>
    <row r="218" spans="3:65" ht="12" customHeight="1" thickBot="1">
      <c r="C218" s="539"/>
      <c r="D218" s="1246" t="s">
        <v>1163</v>
      </c>
      <c r="E218" s="1247"/>
      <c r="F218" s="1246" t="s">
        <v>880</v>
      </c>
      <c r="G218" s="1252"/>
      <c r="H218" s="1252"/>
      <c r="I218" s="1252"/>
      <c r="J218" s="1252"/>
      <c r="K218" s="1252"/>
      <c r="L218" s="1252"/>
      <c r="M218" s="1247"/>
      <c r="N218" s="1252" t="s">
        <v>1164</v>
      </c>
      <c r="O218" s="1252"/>
      <c r="P218" s="1252"/>
      <c r="Q218" s="1252"/>
      <c r="R218" s="1252"/>
      <c r="S218" s="1252"/>
      <c r="T218" s="1252"/>
      <c r="U218" s="1252"/>
      <c r="V218" s="1252"/>
      <c r="W218" s="1252"/>
      <c r="X218" s="1252"/>
      <c r="Y218" s="1252"/>
      <c r="Z218" s="1252"/>
      <c r="AA218" s="1252"/>
      <c r="AB218" s="1252"/>
      <c r="AC218" s="1252"/>
      <c r="AD218" s="1252"/>
      <c r="AE218" s="1252"/>
      <c r="AF218" s="1252"/>
      <c r="AG218" s="1252"/>
      <c r="AH218" s="1252"/>
      <c r="AI218" s="1252"/>
      <c r="AJ218" s="1252"/>
      <c r="AK218" s="1252"/>
      <c r="AL218" s="1252"/>
      <c r="AM218" s="1252"/>
      <c r="AN218" s="1252"/>
      <c r="AO218" s="1247"/>
      <c r="AP218" s="1254" t="s">
        <v>887</v>
      </c>
      <c r="AQ218" s="1255"/>
      <c r="AR218" s="1255"/>
      <c r="AS218" s="1255"/>
      <c r="AT218" s="1255"/>
      <c r="AU218" s="1256"/>
      <c r="AV218" s="1254" t="s">
        <v>888</v>
      </c>
      <c r="AW218" s="1255"/>
      <c r="AX218" s="1255"/>
      <c r="AY218" s="1255"/>
      <c r="AZ218" s="1255"/>
      <c r="BA218" s="1256"/>
      <c r="BB218" s="498"/>
      <c r="BC218" s="498"/>
      <c r="BD218" s="498"/>
      <c r="BE218" s="498"/>
      <c r="BF218" s="498"/>
      <c r="BG218" s="498"/>
      <c r="BH218" s="498"/>
      <c r="BI218" s="498"/>
      <c r="BJ218" s="498"/>
      <c r="BK218" s="498"/>
      <c r="BL218" s="498"/>
      <c r="BM218" s="760"/>
    </row>
    <row r="219" spans="3:65" ht="12" customHeight="1" thickBot="1">
      <c r="C219" s="539"/>
      <c r="D219" s="1248"/>
      <c r="E219" s="1249"/>
      <c r="F219" s="1248"/>
      <c r="G219" s="1132"/>
      <c r="H219" s="1132"/>
      <c r="I219" s="1132"/>
      <c r="J219" s="1132"/>
      <c r="K219" s="1132"/>
      <c r="L219" s="1132"/>
      <c r="M219" s="1249"/>
      <c r="N219" s="1263" t="s">
        <v>892</v>
      </c>
      <c r="O219" s="1264"/>
      <c r="P219" s="1264"/>
      <c r="Q219" s="1265"/>
      <c r="R219" s="1266" t="s">
        <v>893</v>
      </c>
      <c r="S219" s="1264"/>
      <c r="T219" s="1264"/>
      <c r="U219" s="1265"/>
      <c r="V219" s="1266" t="s">
        <v>894</v>
      </c>
      <c r="W219" s="1264"/>
      <c r="X219" s="1264"/>
      <c r="Y219" s="1265"/>
      <c r="Z219" s="1266" t="s">
        <v>895</v>
      </c>
      <c r="AA219" s="1264"/>
      <c r="AB219" s="1264"/>
      <c r="AC219" s="1265"/>
      <c r="AD219" s="1266" t="s">
        <v>896</v>
      </c>
      <c r="AE219" s="1264"/>
      <c r="AF219" s="1264"/>
      <c r="AG219" s="1265"/>
      <c r="AH219" s="1266" t="s">
        <v>897</v>
      </c>
      <c r="AI219" s="1264"/>
      <c r="AJ219" s="1264"/>
      <c r="AK219" s="1265"/>
      <c r="AL219" s="1266" t="s">
        <v>898</v>
      </c>
      <c r="AM219" s="1264"/>
      <c r="AN219" s="1264"/>
      <c r="AO219" s="1267"/>
      <c r="AP219" s="1257"/>
      <c r="AQ219" s="1258"/>
      <c r="AR219" s="1258"/>
      <c r="AS219" s="1258"/>
      <c r="AT219" s="1258"/>
      <c r="AU219" s="1259"/>
      <c r="AV219" s="1257"/>
      <c r="AW219" s="1258"/>
      <c r="AX219" s="1258"/>
      <c r="AY219" s="1258"/>
      <c r="AZ219" s="1258"/>
      <c r="BA219" s="1259"/>
      <c r="BB219" s="498"/>
      <c r="BC219" s="498"/>
      <c r="BD219" s="498"/>
      <c r="BE219" s="498"/>
      <c r="BF219" s="498"/>
      <c r="BG219" s="498"/>
      <c r="BH219" s="498"/>
      <c r="BI219" s="498"/>
      <c r="BJ219" s="498"/>
      <c r="BK219" s="498"/>
      <c r="BL219" s="498"/>
      <c r="BM219" s="760"/>
    </row>
    <row r="220" spans="3:65" ht="12" customHeight="1" thickBot="1">
      <c r="C220" s="539"/>
      <c r="D220" s="1250"/>
      <c r="E220" s="1251"/>
      <c r="F220" s="770"/>
      <c r="G220" s="772"/>
      <c r="H220" s="772"/>
      <c r="I220" s="772"/>
      <c r="J220" s="772"/>
      <c r="K220" s="772"/>
      <c r="L220" s="772"/>
      <c r="M220" s="771"/>
      <c r="N220" s="773" t="s">
        <v>905</v>
      </c>
      <c r="O220" s="774"/>
      <c r="P220" s="774"/>
      <c r="Q220" s="774"/>
      <c r="R220" s="774"/>
      <c r="S220" s="774"/>
      <c r="T220" s="774"/>
      <c r="U220" s="774"/>
      <c r="V220" s="774"/>
      <c r="W220" s="774"/>
      <c r="X220" s="774"/>
      <c r="Y220" s="774"/>
      <c r="Z220" s="774"/>
      <c r="AA220" s="774"/>
      <c r="AB220" s="774"/>
      <c r="AC220" s="774"/>
      <c r="AD220" s="773" t="s">
        <v>906</v>
      </c>
      <c r="AE220" s="774"/>
      <c r="AF220" s="774"/>
      <c r="AG220" s="774"/>
      <c r="AH220" s="774"/>
      <c r="AI220" s="774"/>
      <c r="AJ220" s="774"/>
      <c r="AK220" s="774"/>
      <c r="AL220" s="774"/>
      <c r="AM220" s="774"/>
      <c r="AN220" s="774"/>
      <c r="AO220" s="775"/>
      <c r="AP220" s="1260"/>
      <c r="AQ220" s="1261"/>
      <c r="AR220" s="1261"/>
      <c r="AS220" s="1261"/>
      <c r="AT220" s="1261"/>
      <c r="AU220" s="1262"/>
      <c r="AV220" s="1260"/>
      <c r="AW220" s="1261"/>
      <c r="AX220" s="1261"/>
      <c r="AY220" s="1261"/>
      <c r="AZ220" s="1261"/>
      <c r="BA220" s="1262"/>
      <c r="BB220" s="498"/>
      <c r="BC220" s="498"/>
      <c r="BD220" s="498"/>
      <c r="BE220" s="498"/>
      <c r="BF220" s="498"/>
      <c r="BG220" s="498"/>
      <c r="BH220" s="498"/>
      <c r="BI220" s="498"/>
      <c r="BJ220" s="498"/>
      <c r="BK220" s="498"/>
      <c r="BL220" s="498"/>
      <c r="BM220" s="760"/>
    </row>
    <row r="221" spans="3:65" ht="12" customHeight="1">
      <c r="C221" s="539"/>
      <c r="D221" s="1212" t="s">
        <v>1165</v>
      </c>
      <c r="E221" s="1213"/>
      <c r="F221" s="1212">
        <v>1</v>
      </c>
      <c r="G221" s="1218"/>
      <c r="H221" s="1221" t="s">
        <v>1233</v>
      </c>
      <c r="I221" s="1222"/>
      <c r="J221" s="1222"/>
      <c r="K221" s="1222"/>
      <c r="L221" s="1222"/>
      <c r="M221" s="1223"/>
      <c r="N221" s="604" t="s">
        <v>1226</v>
      </c>
      <c r="O221" s="605"/>
      <c r="P221" s="605"/>
      <c r="Q221" s="605"/>
      <c r="R221" s="604" t="s">
        <v>1227</v>
      </c>
      <c r="S221" s="605"/>
      <c r="T221" s="605"/>
      <c r="U221" s="606"/>
      <c r="V221" s="700" t="s">
        <v>1228</v>
      </c>
      <c r="W221" s="701"/>
      <c r="X221" s="701"/>
      <c r="Y221" s="702"/>
      <c r="Z221" s="700"/>
      <c r="AA221" s="701"/>
      <c r="AB221" s="701"/>
      <c r="AC221" s="702"/>
      <c r="AD221" s="700"/>
      <c r="AE221" s="701"/>
      <c r="AF221" s="701"/>
      <c r="AG221" s="702"/>
      <c r="AH221" s="700"/>
      <c r="AI221" s="701"/>
      <c r="AJ221" s="701"/>
      <c r="AK221" s="702"/>
      <c r="AL221" s="605"/>
      <c r="AM221" s="605"/>
      <c r="AN221" s="605"/>
      <c r="AO221" s="605"/>
      <c r="AP221" s="1230"/>
      <c r="AQ221" s="1231"/>
      <c r="AR221" s="1231"/>
      <c r="AS221" s="1231"/>
      <c r="AT221" s="1231"/>
      <c r="AU221" s="1232"/>
      <c r="AV221" s="1230"/>
      <c r="AW221" s="1231"/>
      <c r="AX221" s="1231"/>
      <c r="AY221" s="1231"/>
      <c r="AZ221" s="1231"/>
      <c r="BA221" s="1232"/>
      <c r="BB221" s="498"/>
      <c r="BC221" s="498"/>
      <c r="BD221" s="498"/>
      <c r="BE221" s="498"/>
      <c r="BF221" s="498"/>
      <c r="BG221" s="498"/>
      <c r="BH221" s="498"/>
      <c r="BI221" s="498"/>
      <c r="BJ221" s="498"/>
      <c r="BK221" s="498"/>
      <c r="BL221" s="498"/>
      <c r="BM221" s="760"/>
    </row>
    <row r="222" spans="3:65" ht="12" customHeight="1">
      <c r="C222" s="539"/>
      <c r="D222" s="1214"/>
      <c r="E222" s="1215"/>
      <c r="F222" s="1214"/>
      <c r="G222" s="1219"/>
      <c r="H222" s="1014"/>
      <c r="I222" s="1015"/>
      <c r="J222" s="1015"/>
      <c r="K222" s="1015"/>
      <c r="L222" s="1015"/>
      <c r="M222" s="1224"/>
      <c r="N222" s="658">
        <v>2</v>
      </c>
      <c r="O222" s="659"/>
      <c r="P222" s="659"/>
      <c r="Q222" s="660"/>
      <c r="R222" s="1323">
        <v>400</v>
      </c>
      <c r="S222" s="1324"/>
      <c r="T222" s="1324"/>
      <c r="U222" s="1325"/>
      <c r="V222" s="818" t="s">
        <v>1229</v>
      </c>
      <c r="W222" s="659"/>
      <c r="X222" s="659"/>
      <c r="Y222" s="660"/>
      <c r="Z222" s="658"/>
      <c r="AA222" s="659"/>
      <c r="AB222" s="659"/>
      <c r="AC222" s="660"/>
      <c r="AD222" s="658"/>
      <c r="AE222" s="659"/>
      <c r="AF222" s="659"/>
      <c r="AG222" s="660"/>
      <c r="AH222" s="661"/>
      <c r="AI222" s="659"/>
      <c r="AJ222" s="659"/>
      <c r="AK222" s="660"/>
      <c r="AL222" s="658"/>
      <c r="AM222" s="659"/>
      <c r="AN222" s="659"/>
      <c r="AO222" s="660"/>
      <c r="AP222" s="1236"/>
      <c r="AQ222" s="1237"/>
      <c r="AR222" s="1237"/>
      <c r="AS222" s="1237"/>
      <c r="AT222" s="1237"/>
      <c r="AU222" s="1238"/>
      <c r="AV222" s="1236"/>
      <c r="AW222" s="1237"/>
      <c r="AX222" s="1237"/>
      <c r="AY222" s="1237"/>
      <c r="AZ222" s="1237"/>
      <c r="BA222" s="1238"/>
      <c r="BB222" s="498"/>
      <c r="BC222" s="498"/>
      <c r="BD222" s="498"/>
      <c r="BE222" s="498"/>
      <c r="BF222" s="498"/>
      <c r="BG222" s="498"/>
      <c r="BH222" s="498"/>
      <c r="BI222" s="498"/>
      <c r="BJ222" s="498"/>
      <c r="BK222" s="498"/>
      <c r="BL222" s="498"/>
      <c r="BM222" s="760"/>
    </row>
    <row r="223" spans="3:65" ht="12" customHeight="1" thickBot="1">
      <c r="C223" s="539"/>
      <c r="D223" s="1216"/>
      <c r="E223" s="1217"/>
      <c r="F223" s="1216"/>
      <c r="G223" s="1220"/>
      <c r="H223" s="1225"/>
      <c r="I223" s="1226"/>
      <c r="J223" s="1226"/>
      <c r="K223" s="1226"/>
      <c r="L223" s="1226"/>
      <c r="M223" s="1227"/>
      <c r="N223" s="1331"/>
      <c r="O223" s="1332"/>
      <c r="P223" s="1332"/>
      <c r="Q223" s="1332"/>
      <c r="R223" s="1332"/>
      <c r="S223" s="1332"/>
      <c r="T223" s="1332"/>
      <c r="U223" s="1332"/>
      <c r="V223" s="1332"/>
      <c r="W223" s="1332"/>
      <c r="X223" s="1332"/>
      <c r="Y223" s="1332"/>
      <c r="Z223" s="1332"/>
      <c r="AA223" s="1332"/>
      <c r="AB223" s="1332"/>
      <c r="AC223" s="1332"/>
      <c r="AD223" s="1333"/>
      <c r="AE223" s="1334"/>
      <c r="AF223" s="1334"/>
      <c r="AG223" s="1334"/>
      <c r="AH223" s="1334"/>
      <c r="AI223" s="1334"/>
      <c r="AJ223" s="1334"/>
      <c r="AK223" s="1334"/>
      <c r="AL223" s="1334"/>
      <c r="AM223" s="1334"/>
      <c r="AN223" s="1334"/>
      <c r="AO223" s="1335"/>
      <c r="AP223" s="1203"/>
      <c r="AQ223" s="1204"/>
      <c r="AR223" s="1204"/>
      <c r="AS223" s="1204"/>
      <c r="AT223" s="1204"/>
      <c r="AU223" s="1205"/>
      <c r="AV223" s="1203"/>
      <c r="AW223" s="1204"/>
      <c r="AX223" s="1204"/>
      <c r="AY223" s="1204"/>
      <c r="AZ223" s="1204"/>
      <c r="BA223" s="1205"/>
      <c r="BB223" s="498"/>
      <c r="BC223" s="498"/>
      <c r="BD223" s="498"/>
      <c r="BE223" s="498"/>
      <c r="BF223" s="498"/>
      <c r="BG223" s="498"/>
      <c r="BH223" s="498"/>
      <c r="BI223" s="498"/>
      <c r="BJ223" s="498"/>
      <c r="BK223" s="498"/>
      <c r="BL223" s="498"/>
      <c r="BM223" s="760"/>
    </row>
    <row r="224" spans="3:65" ht="12" customHeight="1" thickBot="1">
      <c r="C224" s="539"/>
      <c r="D224" s="498"/>
      <c r="E224" s="498"/>
      <c r="F224" s="498"/>
      <c r="G224" s="498"/>
      <c r="H224" s="498"/>
      <c r="I224" s="498"/>
      <c r="J224" s="498"/>
      <c r="K224" s="498"/>
      <c r="L224" s="498"/>
      <c r="M224" s="498"/>
      <c r="N224" s="498"/>
      <c r="O224" s="647"/>
      <c r="P224" s="498"/>
      <c r="Q224" s="498"/>
      <c r="R224" s="498"/>
      <c r="S224" s="498"/>
      <c r="T224" s="498"/>
      <c r="U224" s="498"/>
      <c r="V224" s="498"/>
      <c r="W224" s="498"/>
      <c r="X224" s="498"/>
      <c r="Y224" s="498"/>
      <c r="Z224" s="498"/>
      <c r="AA224" s="498"/>
      <c r="AB224" s="498"/>
      <c r="AC224" s="498"/>
      <c r="AD224" s="498"/>
      <c r="AE224" s="498"/>
      <c r="AF224" s="498"/>
      <c r="AG224" s="498"/>
      <c r="AH224" s="498"/>
      <c r="AI224" s="498"/>
      <c r="AJ224" s="498"/>
      <c r="AK224" s="498"/>
      <c r="AL224" s="498"/>
      <c r="AM224" s="498"/>
      <c r="AN224" s="498"/>
      <c r="AO224" s="498"/>
      <c r="AP224" s="498"/>
      <c r="AQ224" s="498"/>
      <c r="AR224" s="498"/>
      <c r="AS224" s="498"/>
      <c r="AT224" s="498"/>
      <c r="AU224" s="498"/>
      <c r="AV224" s="498"/>
      <c r="AW224" s="498"/>
      <c r="AX224" s="498"/>
      <c r="AY224" s="498"/>
      <c r="AZ224" s="498"/>
      <c r="BA224" s="498"/>
      <c r="BB224" s="498"/>
      <c r="BC224" s="498"/>
      <c r="BD224" s="498"/>
      <c r="BE224" s="498"/>
      <c r="BF224" s="498"/>
      <c r="BG224" s="498"/>
      <c r="BH224" s="498"/>
      <c r="BI224" s="498"/>
      <c r="BJ224" s="498"/>
      <c r="BK224" s="498"/>
      <c r="BL224" s="498"/>
      <c r="BM224" s="760"/>
    </row>
    <row r="225" spans="3:65" ht="12" customHeight="1">
      <c r="C225" s="539"/>
      <c r="D225" s="1206" t="s">
        <v>1178</v>
      </c>
      <c r="E225" s="1207"/>
      <c r="F225" s="1207"/>
      <c r="G225" s="1207"/>
      <c r="H225" s="1207"/>
      <c r="I225" s="1207"/>
      <c r="J225" s="1207"/>
      <c r="K225" s="1207"/>
      <c r="L225" s="1207"/>
      <c r="M225" s="1207"/>
      <c r="N225" s="1207"/>
      <c r="O225" s="1207"/>
      <c r="P225" s="1207"/>
      <c r="Q225" s="1207"/>
      <c r="R225" s="1207"/>
      <c r="S225" s="1207"/>
      <c r="T225" s="1207"/>
      <c r="U225" s="1207"/>
      <c r="V225" s="1207"/>
      <c r="W225" s="1207"/>
      <c r="X225" s="1207"/>
      <c r="Y225" s="1207"/>
      <c r="Z225" s="1207"/>
      <c r="AA225" s="1207"/>
      <c r="AB225" s="1208"/>
      <c r="AC225" s="498"/>
      <c r="AD225" s="1209" t="s">
        <v>1179</v>
      </c>
      <c r="AE225" s="1207"/>
      <c r="AF225" s="1207"/>
      <c r="AG225" s="1207"/>
      <c r="AH225" s="1207"/>
      <c r="AI225" s="1207"/>
      <c r="AJ225" s="1207"/>
      <c r="AK225" s="1208"/>
      <c r="AL225" s="1209" t="s">
        <v>1180</v>
      </c>
      <c r="AM225" s="1207"/>
      <c r="AN225" s="1207"/>
      <c r="AO225" s="1207"/>
      <c r="AP225" s="1207"/>
      <c r="AQ225" s="1207"/>
      <c r="AR225" s="1207"/>
      <c r="AS225" s="1208"/>
      <c r="AT225" s="498"/>
      <c r="AU225" s="498"/>
      <c r="AV225" s="498"/>
      <c r="AW225" s="498"/>
      <c r="AX225" s="498"/>
      <c r="AY225" s="498"/>
      <c r="AZ225" s="498"/>
      <c r="BA225" s="498"/>
      <c r="BB225" s="498"/>
      <c r="BC225" s="498"/>
      <c r="BD225" s="498"/>
      <c r="BE225" s="498"/>
      <c r="BF225" s="498"/>
      <c r="BG225" s="498"/>
      <c r="BH225" s="498"/>
      <c r="BI225" s="498"/>
      <c r="BJ225" s="498"/>
      <c r="BK225" s="498"/>
      <c r="BL225" s="498"/>
      <c r="BM225" s="760"/>
    </row>
    <row r="226" spans="3:65" ht="12" customHeight="1" thickBot="1">
      <c r="C226" s="539"/>
      <c r="D226" s="1210" t="s">
        <v>1181</v>
      </c>
      <c r="E226" s="1211"/>
      <c r="F226" s="1211"/>
      <c r="G226" s="1211"/>
      <c r="H226" s="1211"/>
      <c r="I226" s="1196" t="s">
        <v>1159</v>
      </c>
      <c r="J226" s="1196"/>
      <c r="K226" s="1196"/>
      <c r="L226" s="1196"/>
      <c r="M226" s="1211" t="s">
        <v>1182</v>
      </c>
      <c r="N226" s="1211"/>
      <c r="O226" s="1211"/>
      <c r="P226" s="1211"/>
      <c r="Q226" s="1196" t="s">
        <v>1159</v>
      </c>
      <c r="R226" s="1196"/>
      <c r="S226" s="1196"/>
      <c r="T226" s="1196"/>
      <c r="U226" s="1211" t="s">
        <v>1183</v>
      </c>
      <c r="V226" s="1211"/>
      <c r="W226" s="1211"/>
      <c r="X226" s="1211"/>
      <c r="Y226" s="1196" t="s">
        <v>1159</v>
      </c>
      <c r="Z226" s="1196"/>
      <c r="AA226" s="1196"/>
      <c r="AB226" s="1197"/>
      <c r="AC226" s="498"/>
      <c r="AD226" s="1198" t="s">
        <v>901</v>
      </c>
      <c r="AE226" s="1199"/>
      <c r="AF226" s="1199"/>
      <c r="AG226" s="1199"/>
      <c r="AH226" s="1200"/>
      <c r="AI226" s="1200"/>
      <c r="AJ226" s="1200"/>
      <c r="AK226" s="1201"/>
      <c r="AL226" s="1198" t="s">
        <v>1184</v>
      </c>
      <c r="AM226" s="1199"/>
      <c r="AN226" s="1199"/>
      <c r="AO226" s="1199"/>
      <c r="AP226" s="1200"/>
      <c r="AQ226" s="1200"/>
      <c r="AR226" s="1200"/>
      <c r="AS226" s="1201"/>
      <c r="AT226" s="498"/>
      <c r="AU226" s="498"/>
      <c r="AV226" s="498"/>
      <c r="AW226" s="498"/>
      <c r="AX226" s="498"/>
      <c r="AY226" s="498"/>
      <c r="AZ226" s="498"/>
      <c r="BA226" s="498"/>
      <c r="BB226" s="498"/>
      <c r="BC226" s="498"/>
      <c r="BD226" s="498"/>
      <c r="BE226" s="498"/>
      <c r="BF226" s="498"/>
      <c r="BG226" s="498"/>
      <c r="BH226" s="498"/>
      <c r="BI226" s="498"/>
      <c r="BJ226" s="498"/>
      <c r="BK226" s="498"/>
      <c r="BL226" s="498"/>
      <c r="BM226" s="760"/>
    </row>
    <row r="227" spans="3:65" ht="12" customHeight="1">
      <c r="C227" s="539"/>
      <c r="D227" s="498"/>
      <c r="E227" s="498"/>
      <c r="F227" s="498"/>
      <c r="G227" s="498"/>
      <c r="H227" s="498"/>
      <c r="I227" s="498"/>
      <c r="J227" s="498"/>
      <c r="K227" s="498"/>
      <c r="L227" s="498"/>
      <c r="M227" s="498"/>
      <c r="N227" s="498"/>
      <c r="O227" s="647"/>
      <c r="P227" s="498"/>
      <c r="Q227" s="498"/>
      <c r="R227" s="498"/>
      <c r="S227" s="498"/>
      <c r="T227" s="498"/>
      <c r="U227" s="498"/>
      <c r="V227" s="498"/>
      <c r="W227" s="498"/>
      <c r="X227" s="498"/>
      <c r="Y227" s="498"/>
      <c r="Z227" s="498"/>
      <c r="AA227" s="498"/>
      <c r="AB227" s="498"/>
      <c r="AC227" s="498"/>
      <c r="AD227" s="498"/>
      <c r="AE227" s="498"/>
      <c r="AF227" s="498"/>
      <c r="AG227" s="498"/>
      <c r="AH227" s="498"/>
      <c r="AI227" s="498"/>
      <c r="AJ227" s="498"/>
      <c r="AK227" s="498"/>
      <c r="AL227" s="498"/>
      <c r="AM227" s="498"/>
      <c r="AN227" s="498"/>
      <c r="AO227" s="498"/>
      <c r="AP227" s="498"/>
      <c r="AQ227" s="498"/>
      <c r="AR227" s="498"/>
      <c r="AS227" s="498"/>
      <c r="AT227" s="498"/>
      <c r="AU227" s="498"/>
      <c r="AV227" s="498"/>
      <c r="AW227" s="498"/>
      <c r="AX227" s="498"/>
      <c r="AY227" s="498"/>
      <c r="AZ227" s="498"/>
      <c r="BA227" s="498"/>
      <c r="BB227" s="498"/>
      <c r="BC227" s="498"/>
      <c r="BD227" s="498"/>
      <c r="BE227" s="498"/>
      <c r="BF227" s="498"/>
      <c r="BG227" s="498"/>
      <c r="BH227" s="498"/>
      <c r="BI227" s="498"/>
      <c r="BJ227" s="498"/>
      <c r="BK227" s="498"/>
      <c r="BL227" s="498"/>
      <c r="BM227" s="760"/>
    </row>
    <row r="228" spans="3:65" ht="12" customHeight="1">
      <c r="C228" s="539"/>
      <c r="D228" s="498"/>
      <c r="E228" s="498"/>
      <c r="F228" s="498"/>
      <c r="G228" s="498"/>
      <c r="H228" s="498"/>
      <c r="I228" s="498"/>
      <c r="J228" s="498"/>
      <c r="K228" s="498"/>
      <c r="L228" s="498"/>
      <c r="M228" s="498"/>
      <c r="N228" s="498"/>
      <c r="O228" s="647"/>
      <c r="P228" s="498"/>
      <c r="Q228" s="498"/>
      <c r="R228" s="498"/>
      <c r="S228" s="498"/>
      <c r="T228" s="498"/>
      <c r="U228" s="498"/>
      <c r="V228" s="498"/>
      <c r="W228" s="498"/>
      <c r="X228" s="498"/>
      <c r="Y228" s="498"/>
      <c r="Z228" s="498"/>
      <c r="AA228" s="498"/>
      <c r="AB228" s="498"/>
      <c r="AC228" s="498"/>
      <c r="AD228" s="498"/>
      <c r="AE228" s="498"/>
      <c r="AF228" s="498"/>
      <c r="AG228" s="498"/>
      <c r="AH228" s="498"/>
      <c r="AI228" s="498"/>
      <c r="AJ228" s="498"/>
      <c r="AK228" s="498"/>
      <c r="AL228" s="498"/>
      <c r="AM228" s="498"/>
      <c r="AN228" s="498"/>
      <c r="AO228" s="498"/>
      <c r="AP228" s="498"/>
      <c r="AQ228" s="498"/>
      <c r="AR228" s="498"/>
      <c r="AS228" s="498"/>
      <c r="AT228" s="498"/>
      <c r="AU228" s="498"/>
      <c r="AV228" s="498"/>
      <c r="AW228" s="498"/>
      <c r="AX228" s="498"/>
      <c r="AY228" s="498"/>
      <c r="AZ228" s="498"/>
      <c r="BA228" s="498"/>
      <c r="BB228" s="498"/>
      <c r="BC228" s="498"/>
      <c r="BD228" s="498"/>
      <c r="BE228" s="498"/>
      <c r="BF228" s="498"/>
      <c r="BG228" s="498"/>
      <c r="BH228" s="498"/>
      <c r="BI228" s="498"/>
      <c r="BJ228" s="498"/>
      <c r="BK228" s="498"/>
      <c r="BL228" s="498"/>
      <c r="BM228" s="760"/>
    </row>
    <row r="229" spans="3:65" ht="12" customHeight="1">
      <c r="C229" s="539"/>
      <c r="D229" s="1202" t="s">
        <v>1185</v>
      </c>
      <c r="E229" s="1202"/>
      <c r="F229" s="1202"/>
      <c r="G229" s="1202"/>
      <c r="H229" s="782" t="s">
        <v>1234</v>
      </c>
      <c r="I229" s="783"/>
      <c r="J229" s="783"/>
      <c r="K229" s="783"/>
      <c r="L229" s="783"/>
      <c r="M229" s="783"/>
      <c r="N229" s="783"/>
      <c r="O229" s="783"/>
      <c r="P229" s="783"/>
      <c r="Q229" s="783"/>
      <c r="R229" s="783"/>
      <c r="S229" s="783"/>
      <c r="T229" s="762"/>
      <c r="U229" s="762"/>
      <c r="V229" s="762"/>
      <c r="W229" s="762"/>
      <c r="X229" s="762"/>
      <c r="Y229" s="763"/>
      <c r="Z229" s="498"/>
      <c r="AA229" s="498"/>
      <c r="AB229" s="498"/>
      <c r="AC229" s="498"/>
      <c r="AD229" s="498"/>
      <c r="AE229" s="498"/>
      <c r="AF229" s="498"/>
      <c r="AG229" s="498"/>
      <c r="AH229" s="498"/>
      <c r="AI229" s="498"/>
      <c r="AJ229" s="498"/>
      <c r="AK229" s="498"/>
      <c r="AL229" s="498"/>
      <c r="AM229" s="498"/>
      <c r="AN229" s="498"/>
      <c r="AO229" s="498"/>
      <c r="AP229" s="498"/>
      <c r="AQ229" s="498"/>
      <c r="AR229" s="498"/>
      <c r="AS229" s="498"/>
      <c r="AT229" s="498"/>
      <c r="AU229" s="498"/>
      <c r="AV229" s="498"/>
      <c r="AW229" s="498"/>
      <c r="AX229" s="498"/>
      <c r="AY229" s="498"/>
      <c r="AZ229" s="498"/>
      <c r="BA229" s="498"/>
      <c r="BB229" s="498"/>
      <c r="BC229" s="498"/>
      <c r="BD229" s="498"/>
      <c r="BE229" s="498"/>
      <c r="BF229" s="498"/>
      <c r="BG229" s="498"/>
      <c r="BH229" s="498"/>
      <c r="BI229" s="498"/>
      <c r="BJ229" s="498"/>
      <c r="BK229" s="498"/>
      <c r="BL229" s="498"/>
      <c r="BM229" s="760"/>
    </row>
    <row r="230" spans="3:65" ht="12" customHeight="1">
      <c r="C230" s="539"/>
      <c r="D230" s="498"/>
      <c r="E230" s="498"/>
      <c r="F230" s="498"/>
      <c r="G230" s="498"/>
      <c r="H230" s="498"/>
      <c r="I230" s="498"/>
      <c r="J230" s="498"/>
      <c r="K230" s="498"/>
      <c r="L230" s="498"/>
      <c r="M230" s="498"/>
      <c r="N230" s="498"/>
      <c r="O230" s="647"/>
      <c r="P230" s="498"/>
      <c r="Q230" s="498"/>
      <c r="R230" s="498"/>
      <c r="S230" s="498"/>
      <c r="T230" s="498"/>
      <c r="U230" s="498"/>
      <c r="V230" s="498"/>
      <c r="W230" s="498"/>
      <c r="X230" s="498"/>
      <c r="Y230" s="498"/>
      <c r="Z230" s="498"/>
      <c r="AA230" s="498"/>
      <c r="AB230" s="498"/>
      <c r="AC230" s="498"/>
      <c r="AD230" s="498"/>
      <c r="AE230" s="498"/>
      <c r="AF230" s="498"/>
      <c r="AG230" s="498"/>
      <c r="AH230" s="498"/>
      <c r="AI230" s="498"/>
      <c r="AJ230" s="498"/>
      <c r="AK230" s="498"/>
      <c r="AL230" s="498"/>
      <c r="AM230" s="498"/>
      <c r="AN230" s="498"/>
      <c r="AO230" s="498"/>
      <c r="AP230" s="498"/>
      <c r="AQ230" s="498"/>
      <c r="AR230" s="498"/>
      <c r="AS230" s="498"/>
      <c r="AT230" s="498"/>
      <c r="AU230" s="498"/>
      <c r="AV230" s="498"/>
      <c r="AW230" s="498"/>
      <c r="AX230" s="498"/>
      <c r="AY230" s="498"/>
      <c r="AZ230" s="498"/>
      <c r="BA230" s="498"/>
      <c r="BB230" s="498"/>
      <c r="BC230" s="498"/>
      <c r="BD230" s="498"/>
      <c r="BE230" s="498"/>
      <c r="BF230" s="498"/>
      <c r="BG230" s="498"/>
      <c r="BH230" s="498"/>
      <c r="BI230" s="498"/>
      <c r="BJ230" s="498"/>
      <c r="BK230" s="498"/>
      <c r="BL230" s="498"/>
      <c r="BM230" s="760"/>
    </row>
    <row r="231" spans="3:65" ht="12" customHeight="1">
      <c r="C231" s="539"/>
      <c r="D231" s="498"/>
      <c r="E231" s="498"/>
      <c r="F231" s="498"/>
      <c r="G231" s="498"/>
      <c r="H231" s="498"/>
      <c r="I231" s="498"/>
      <c r="J231" s="498"/>
      <c r="K231" s="498"/>
      <c r="L231" s="498"/>
      <c r="M231" s="498"/>
      <c r="N231" s="498"/>
      <c r="O231" s="647"/>
      <c r="P231" s="498"/>
      <c r="Q231" s="498"/>
      <c r="R231" s="498"/>
      <c r="S231" s="498"/>
      <c r="T231" s="498"/>
      <c r="U231" s="498"/>
      <c r="V231" s="498"/>
      <c r="W231" s="498"/>
      <c r="X231" s="498"/>
      <c r="Y231" s="498"/>
      <c r="Z231" s="498"/>
      <c r="AA231" s="498"/>
      <c r="AB231" s="498"/>
      <c r="AC231" s="498"/>
      <c r="AD231" s="498"/>
      <c r="AE231" s="498"/>
      <c r="AF231" s="498"/>
      <c r="AG231" s="498"/>
      <c r="AH231" s="498"/>
      <c r="AI231" s="498"/>
      <c r="AJ231" s="498"/>
      <c r="AK231" s="498"/>
      <c r="AL231" s="498"/>
      <c r="AM231" s="498"/>
      <c r="AN231" s="498"/>
      <c r="AO231" s="498"/>
      <c r="AP231" s="498"/>
      <c r="AQ231" s="498"/>
      <c r="AR231" s="498"/>
      <c r="AS231" s="498"/>
      <c r="AT231" s="498"/>
      <c r="AU231" s="498"/>
      <c r="AV231" s="498"/>
      <c r="AW231" s="498"/>
      <c r="AX231" s="498"/>
      <c r="AY231" s="498"/>
      <c r="AZ231" s="498"/>
      <c r="BA231" s="498"/>
      <c r="BB231" s="498"/>
      <c r="BC231" s="498"/>
      <c r="BD231" s="498"/>
      <c r="BE231" s="498"/>
      <c r="BF231" s="498"/>
      <c r="BG231" s="498"/>
      <c r="BH231" s="498"/>
      <c r="BI231" s="498"/>
      <c r="BJ231" s="498"/>
      <c r="BK231" s="498"/>
      <c r="BL231" s="498"/>
      <c r="BM231" s="760"/>
    </row>
    <row r="232" spans="3:65" ht="12" customHeight="1">
      <c r="C232" s="539"/>
      <c r="D232" s="498"/>
      <c r="E232" s="498"/>
      <c r="F232" s="498"/>
      <c r="G232" s="498"/>
      <c r="H232" s="498"/>
      <c r="I232" s="498"/>
      <c r="J232" s="498"/>
      <c r="K232" s="498"/>
      <c r="L232" s="498"/>
      <c r="M232" s="498"/>
      <c r="N232" s="498"/>
      <c r="O232" s="647"/>
      <c r="P232" s="498"/>
      <c r="Q232" s="498"/>
      <c r="R232" s="498"/>
      <c r="S232" s="498"/>
      <c r="T232" s="498"/>
      <c r="U232" s="498"/>
      <c r="V232" s="498"/>
      <c r="W232" s="498"/>
      <c r="X232" s="498"/>
      <c r="Y232" s="498"/>
      <c r="Z232" s="498"/>
      <c r="AA232" s="498"/>
      <c r="AB232" s="498"/>
      <c r="AC232" s="498"/>
      <c r="AD232" s="498"/>
      <c r="AE232" s="498"/>
      <c r="AF232" s="498"/>
      <c r="AG232" s="498"/>
      <c r="AH232" s="498"/>
      <c r="AI232" s="498"/>
      <c r="AJ232" s="498"/>
      <c r="AK232" s="498"/>
      <c r="AL232" s="498"/>
      <c r="AM232" s="498"/>
      <c r="AN232" s="498"/>
      <c r="AO232" s="498"/>
      <c r="AP232" s="498"/>
      <c r="AQ232" s="498"/>
      <c r="AR232" s="498"/>
      <c r="AS232" s="498"/>
      <c r="AT232" s="498"/>
      <c r="AU232" s="498"/>
      <c r="AV232" s="498"/>
      <c r="AW232" s="498"/>
      <c r="AX232" s="498"/>
      <c r="AY232" s="498"/>
      <c r="AZ232" s="498"/>
      <c r="BA232" s="498"/>
      <c r="BB232" s="498"/>
      <c r="BC232" s="498"/>
      <c r="BD232" s="498"/>
      <c r="BE232" s="498"/>
      <c r="BF232" s="498"/>
      <c r="BG232" s="498"/>
      <c r="BH232" s="498"/>
      <c r="BI232" s="498"/>
      <c r="BJ232" s="498"/>
      <c r="BK232" s="498"/>
      <c r="BL232" s="498"/>
      <c r="BM232" s="760"/>
    </row>
    <row r="233" spans="3:65" ht="12" customHeight="1">
      <c r="C233" s="539"/>
      <c r="D233" s="498"/>
      <c r="E233" s="498"/>
      <c r="F233" s="498"/>
      <c r="G233" s="498"/>
      <c r="H233" s="498"/>
      <c r="I233" s="498"/>
      <c r="J233" s="498"/>
      <c r="K233" s="498"/>
      <c r="L233" s="498"/>
      <c r="M233" s="498"/>
      <c r="N233" s="498"/>
      <c r="O233" s="647"/>
      <c r="P233" s="498"/>
      <c r="Q233" s="498"/>
      <c r="R233" s="498"/>
      <c r="S233" s="498"/>
      <c r="T233" s="498"/>
      <c r="U233" s="498"/>
      <c r="V233" s="498"/>
      <c r="W233" s="498"/>
      <c r="X233" s="498"/>
      <c r="Y233" s="498"/>
      <c r="Z233" s="498"/>
      <c r="AA233" s="498"/>
      <c r="AB233" s="498"/>
      <c r="AC233" s="498"/>
      <c r="AD233" s="498"/>
      <c r="AE233" s="498"/>
      <c r="AF233" s="498"/>
      <c r="AG233" s="498"/>
      <c r="AH233" s="498"/>
      <c r="AI233" s="498"/>
      <c r="AJ233" s="498"/>
      <c r="AK233" s="498"/>
      <c r="AL233" s="498"/>
      <c r="AM233" s="498"/>
      <c r="AN233" s="498"/>
      <c r="AO233" s="498"/>
      <c r="AP233" s="498"/>
      <c r="AQ233" s="498"/>
      <c r="AR233" s="498"/>
      <c r="AS233" s="498"/>
      <c r="AT233" s="498"/>
      <c r="AU233" s="498"/>
      <c r="AV233" s="498"/>
      <c r="AW233" s="498"/>
      <c r="AX233" s="498"/>
      <c r="AY233" s="498"/>
      <c r="AZ233" s="498"/>
      <c r="BA233" s="498"/>
      <c r="BB233" s="498"/>
      <c r="BC233" s="498"/>
      <c r="BD233" s="498"/>
      <c r="BE233" s="498"/>
      <c r="BF233" s="498"/>
      <c r="BG233" s="498"/>
      <c r="BH233" s="498"/>
      <c r="BI233" s="498"/>
      <c r="BJ233" s="498"/>
      <c r="BK233" s="498"/>
      <c r="BL233" s="498"/>
      <c r="BM233" s="760"/>
    </row>
    <row r="234" spans="3:65" ht="12" customHeight="1" thickBot="1">
      <c r="C234" s="784"/>
      <c r="D234" s="785"/>
      <c r="E234" s="785"/>
      <c r="F234" s="785"/>
      <c r="G234" s="785"/>
      <c r="H234" s="785"/>
      <c r="I234" s="785"/>
      <c r="J234" s="785"/>
      <c r="K234" s="785"/>
      <c r="L234" s="785"/>
      <c r="M234" s="785"/>
      <c r="N234" s="785"/>
      <c r="O234" s="786"/>
      <c r="P234" s="785"/>
      <c r="Q234" s="785"/>
      <c r="R234" s="785"/>
      <c r="S234" s="785"/>
      <c r="T234" s="785"/>
      <c r="U234" s="785"/>
      <c r="V234" s="785"/>
      <c r="W234" s="785"/>
      <c r="X234" s="785"/>
      <c r="Y234" s="785"/>
      <c r="Z234" s="785"/>
      <c r="AA234" s="785"/>
      <c r="AB234" s="785"/>
      <c r="AC234" s="785"/>
      <c r="AD234" s="785"/>
      <c r="AE234" s="785"/>
      <c r="AF234" s="785"/>
      <c r="AG234" s="785"/>
      <c r="AH234" s="785"/>
      <c r="AI234" s="785"/>
      <c r="AJ234" s="785"/>
      <c r="AK234" s="785"/>
      <c r="AL234" s="785"/>
      <c r="AM234" s="785"/>
      <c r="AN234" s="785"/>
      <c r="AO234" s="785"/>
      <c r="AP234" s="785"/>
      <c r="AQ234" s="785"/>
      <c r="AR234" s="785"/>
      <c r="AS234" s="785"/>
      <c r="AT234" s="785"/>
      <c r="AU234" s="785"/>
      <c r="AV234" s="785"/>
      <c r="AW234" s="785"/>
      <c r="AX234" s="785"/>
      <c r="AY234" s="785"/>
      <c r="AZ234" s="785"/>
      <c r="BA234" s="785"/>
      <c r="BB234" s="785"/>
      <c r="BC234" s="785"/>
      <c r="BD234" s="785"/>
      <c r="BE234" s="785"/>
      <c r="BF234" s="785"/>
      <c r="BG234" s="785"/>
      <c r="BH234" s="785"/>
      <c r="BI234" s="785"/>
      <c r="BJ234" s="785"/>
      <c r="BK234" s="785"/>
      <c r="BL234" s="785"/>
      <c r="BM234" s="787"/>
    </row>
    <row r="245" spans="2:53" ht="28.5">
      <c r="B245" s="488" t="s">
        <v>1096</v>
      </c>
    </row>
    <row r="246" spans="2:53" ht="28.5">
      <c r="B246" s="488"/>
      <c r="D246" s="8" t="s">
        <v>1187</v>
      </c>
    </row>
    <row r="247" spans="2:53" ht="12" customHeight="1" thickBot="1">
      <c r="C247" s="489" t="s">
        <v>1098</v>
      </c>
      <c r="D247" s="588"/>
      <c r="Q247" s="8"/>
      <c r="S247" s="10"/>
      <c r="X247" s="10"/>
    </row>
    <row r="248" spans="2:53" ht="12" customHeight="1">
      <c r="C248" s="490"/>
      <c r="D248" s="589" t="s">
        <v>735</v>
      </c>
      <c r="E248" s="589"/>
      <c r="F248" s="589"/>
      <c r="G248" s="589"/>
      <c r="H248" s="589"/>
      <c r="I248" s="589"/>
      <c r="J248" s="548" t="s">
        <v>795</v>
      </c>
      <c r="K248" s="720"/>
      <c r="L248" s="590"/>
      <c r="M248" s="590"/>
      <c r="N248" s="591"/>
      <c r="O248" s="491"/>
      <c r="P248" s="589" t="s">
        <v>697</v>
      </c>
      <c r="Q248" s="589"/>
      <c r="R248" s="589"/>
      <c r="S248" s="592" t="s">
        <v>794</v>
      </c>
      <c r="T248" s="590"/>
      <c r="U248" s="590"/>
      <c r="V248" s="590"/>
      <c r="W248" s="590"/>
      <c r="X248" s="594" t="s">
        <v>1155</v>
      </c>
      <c r="Y248" s="590"/>
      <c r="Z248" s="590"/>
      <c r="AA248" s="590"/>
      <c r="AB248" s="590"/>
      <c r="AC248" s="591"/>
      <c r="AD248" s="491"/>
      <c r="AE248" s="589" t="s">
        <v>874</v>
      </c>
      <c r="AF248" s="589"/>
      <c r="AG248" s="589"/>
      <c r="AH248" s="589"/>
      <c r="AI248" s="589"/>
      <c r="AJ248" s="589"/>
      <c r="AK248" s="593" t="s">
        <v>326</v>
      </c>
      <c r="AL248" s="590"/>
      <c r="AM248" s="590"/>
      <c r="AN248" s="590"/>
      <c r="AO248" s="590"/>
      <c r="AP248" s="590"/>
      <c r="AQ248" s="590"/>
      <c r="AR248" s="590"/>
      <c r="AS248" s="590"/>
      <c r="AT248" s="590"/>
      <c r="AU248" s="590"/>
      <c r="AV248" s="590"/>
      <c r="AW248" s="721"/>
      <c r="AX248" s="491"/>
      <c r="AY248" s="491"/>
      <c r="AZ248" s="491"/>
      <c r="BA248" s="493"/>
    </row>
    <row r="249" spans="2:53" ht="12" customHeight="1" thickBot="1">
      <c r="C249" s="497"/>
      <c r="D249" s="588"/>
      <c r="Q249" s="8"/>
      <c r="S249" s="10"/>
      <c r="X249" s="10"/>
      <c r="BA249" s="499"/>
    </row>
    <row r="250" spans="2:53" ht="12" customHeight="1">
      <c r="C250" s="712"/>
      <c r="D250" s="955" t="s">
        <v>878</v>
      </c>
      <c r="E250" s="956"/>
      <c r="F250" s="722" t="s">
        <v>879</v>
      </c>
      <c r="G250" s="723"/>
      <c r="H250" s="723"/>
      <c r="I250" s="723"/>
      <c r="J250" s="723"/>
      <c r="K250" s="723"/>
      <c r="L250" s="724"/>
      <c r="M250" s="722" t="s">
        <v>1102</v>
      </c>
      <c r="N250" s="723"/>
      <c r="O250" s="723"/>
      <c r="P250" s="723"/>
      <c r="Q250" s="723"/>
      <c r="R250" s="723"/>
      <c r="S250" s="723"/>
      <c r="T250" s="723"/>
      <c r="U250" s="723"/>
      <c r="V250" s="723"/>
      <c r="W250" s="722" t="s">
        <v>1103</v>
      </c>
      <c r="X250" s="723"/>
      <c r="Y250" s="723"/>
      <c r="Z250" s="723"/>
      <c r="AA250" s="723"/>
      <c r="AB250" s="723"/>
      <c r="AC250" s="723"/>
      <c r="AD250" s="723"/>
      <c r="AE250" s="723"/>
      <c r="AF250" s="723"/>
      <c r="AG250" s="723"/>
      <c r="AH250" s="723"/>
      <c r="AI250" s="723"/>
      <c r="AJ250" s="723"/>
      <c r="AK250" s="725" t="s">
        <v>1104</v>
      </c>
      <c r="AL250" s="723"/>
      <c r="AM250" s="723"/>
      <c r="AN250" s="723"/>
      <c r="AO250" s="723"/>
      <c r="AP250" s="723"/>
      <c r="AQ250" s="726"/>
      <c r="AR250" s="725" t="s">
        <v>1105</v>
      </c>
      <c r="AS250" s="723"/>
      <c r="AT250" s="723"/>
      <c r="AU250" s="723"/>
      <c r="AV250" s="723"/>
      <c r="AW250" s="723"/>
      <c r="AX250" s="726"/>
      <c r="AY250" s="595" t="s">
        <v>891</v>
      </c>
      <c r="BA250" s="499"/>
    </row>
    <row r="251" spans="2:53" ht="12" customHeight="1">
      <c r="C251" s="712"/>
      <c r="D251" s="788" t="s">
        <v>946</v>
      </c>
      <c r="E251" s="789"/>
      <c r="F251" s="790" t="s">
        <v>947</v>
      </c>
      <c r="G251" s="791"/>
      <c r="H251" s="791"/>
      <c r="I251" s="791"/>
      <c r="J251" s="791"/>
      <c r="K251" s="791"/>
      <c r="L251" s="792"/>
      <c r="M251" s="793"/>
      <c r="N251" s="562"/>
      <c r="O251" s="562"/>
      <c r="P251" s="562"/>
      <c r="Q251" s="562"/>
      <c r="R251" s="562"/>
      <c r="S251" s="562"/>
      <c r="T251" s="562"/>
      <c r="U251" s="562"/>
      <c r="V251" s="562"/>
      <c r="W251" s="793" t="s">
        <v>1219</v>
      </c>
      <c r="X251" s="562"/>
      <c r="Y251" s="562"/>
      <c r="Z251" s="562"/>
      <c r="AA251" s="562"/>
      <c r="AB251" s="562"/>
      <c r="AC251" s="562"/>
      <c r="AD251" s="562"/>
      <c r="AE251" s="562"/>
      <c r="AF251" s="562"/>
      <c r="AG251" s="562"/>
      <c r="AH251" s="562"/>
      <c r="AI251" s="562"/>
      <c r="AJ251" s="562"/>
      <c r="AK251" s="794"/>
      <c r="AL251" s="562"/>
      <c r="AM251" s="562"/>
      <c r="AN251" s="562"/>
      <c r="AO251" s="562"/>
      <c r="AP251" s="562"/>
      <c r="AQ251" s="563"/>
      <c r="AR251" s="794"/>
      <c r="AS251" s="562"/>
      <c r="AT251" s="562"/>
      <c r="AU251" s="562"/>
      <c r="AV251" s="562"/>
      <c r="AW251" s="562"/>
      <c r="AX251" s="563"/>
      <c r="AY251" s="596"/>
      <c r="AZ251" s="735"/>
      <c r="BA251" s="499"/>
    </row>
    <row r="252" spans="2:53" ht="12" customHeight="1" thickBot="1">
      <c r="C252" s="712"/>
      <c r="D252" s="797"/>
      <c r="E252" s="798"/>
      <c r="F252" s="799"/>
      <c r="G252" s="800"/>
      <c r="H252" s="800"/>
      <c r="I252" s="800"/>
      <c r="J252" s="800"/>
      <c r="K252" s="800"/>
      <c r="L252" s="801"/>
      <c r="M252" s="802"/>
      <c r="N252" s="803"/>
      <c r="O252" s="803"/>
      <c r="P252" s="803"/>
      <c r="Q252" s="803"/>
      <c r="R252" s="803"/>
      <c r="S252" s="803"/>
      <c r="T252" s="803"/>
      <c r="U252" s="803"/>
      <c r="V252" s="803"/>
      <c r="W252" s="802"/>
      <c r="X252" s="803"/>
      <c r="Y252" s="803"/>
      <c r="Z252" s="803"/>
      <c r="AA252" s="803"/>
      <c r="AB252" s="803"/>
      <c r="AC252" s="803"/>
      <c r="AD252" s="803"/>
      <c r="AE252" s="803"/>
      <c r="AF252" s="803"/>
      <c r="AG252" s="803"/>
      <c r="AH252" s="803"/>
      <c r="AI252" s="803"/>
      <c r="AJ252" s="803"/>
      <c r="AK252" s="804"/>
      <c r="AL252" s="803"/>
      <c r="AM252" s="803"/>
      <c r="AN252" s="803"/>
      <c r="AO252" s="803"/>
      <c r="AP252" s="803"/>
      <c r="AQ252" s="805"/>
      <c r="AR252" s="804"/>
      <c r="AS252" s="803"/>
      <c r="AT252" s="803"/>
      <c r="AU252" s="803"/>
      <c r="AV252" s="803"/>
      <c r="AW252" s="803"/>
      <c r="AX252" s="805"/>
      <c r="AY252" s="596"/>
      <c r="AZ252" s="735"/>
      <c r="BA252" s="499"/>
    </row>
    <row r="253" spans="2:53" ht="12" customHeight="1">
      <c r="C253" s="497"/>
      <c r="Q253" s="8"/>
      <c r="S253" s="10"/>
      <c r="BA253" s="499"/>
    </row>
    <row r="254" spans="2:53" ht="12" customHeight="1">
      <c r="C254" s="50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7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09"/>
    </row>
    <row r="255" spans="2:53" ht="12" customHeight="1" thickBot="1">
      <c r="C255" s="531"/>
      <c r="D255" s="532"/>
      <c r="E255" s="532"/>
      <c r="F255" s="532"/>
      <c r="G255" s="532"/>
      <c r="H255" s="532"/>
      <c r="I255" s="532"/>
      <c r="J255" s="532"/>
      <c r="K255" s="532"/>
      <c r="L255" s="532"/>
      <c r="M255" s="532"/>
      <c r="N255" s="532"/>
      <c r="O255" s="532"/>
      <c r="P255" s="532"/>
      <c r="Q255" s="532"/>
      <c r="R255" s="532"/>
      <c r="S255" s="532"/>
      <c r="T255" s="532"/>
      <c r="U255" s="532"/>
      <c r="V255" s="532"/>
      <c r="W255" s="532"/>
      <c r="X255" s="532"/>
      <c r="Y255" s="532"/>
      <c r="Z255" s="532"/>
      <c r="AA255" s="532"/>
      <c r="AB255" s="532"/>
      <c r="AC255" s="532"/>
      <c r="AD255" s="532"/>
      <c r="AE255" s="532"/>
      <c r="AF255" s="532"/>
      <c r="AG255" s="532"/>
      <c r="AH255" s="532"/>
      <c r="AI255" s="532"/>
      <c r="AJ255" s="532"/>
      <c r="AK255" s="532"/>
      <c r="AL255" s="532"/>
      <c r="AM255" s="532"/>
      <c r="AN255" s="532"/>
      <c r="AO255" s="532"/>
      <c r="AP255" s="532"/>
      <c r="AQ255" s="532"/>
      <c r="AR255" s="532"/>
      <c r="AS255" s="532"/>
      <c r="AT255" s="532"/>
      <c r="AU255" s="532"/>
      <c r="AV255" s="532"/>
      <c r="AW255" s="532"/>
      <c r="AX255" s="532"/>
      <c r="AY255" s="532"/>
      <c r="AZ255" s="532"/>
      <c r="BA255" s="534"/>
    </row>
  </sheetData>
  <mergeCells count="350">
    <mergeCell ref="A3:BK3"/>
    <mergeCell ref="CA24:ET24"/>
    <mergeCell ref="BZ25:DP25"/>
    <mergeCell ref="EL25:EN25"/>
    <mergeCell ref="EO25:EQ25"/>
    <mergeCell ref="ER25:ET25"/>
    <mergeCell ref="BZ27:DP27"/>
    <mergeCell ref="DQ27:DS27"/>
    <mergeCell ref="DT27:DV27"/>
    <mergeCell ref="DW27:DY27"/>
    <mergeCell ref="DZ27:EB27"/>
    <mergeCell ref="BZ26:DP26"/>
    <mergeCell ref="DQ26:DS26"/>
    <mergeCell ref="DT26:DV26"/>
    <mergeCell ref="DW26:DY26"/>
    <mergeCell ref="DZ26:EB26"/>
    <mergeCell ref="EC27:EE27"/>
    <mergeCell ref="EF27:EH27"/>
    <mergeCell ref="EI27:EK27"/>
    <mergeCell ref="EL27:EN27"/>
    <mergeCell ref="EO27:EQ27"/>
    <mergeCell ref="ER27:ET27"/>
    <mergeCell ref="EF26:EH26"/>
    <mergeCell ref="EI26:EK26"/>
    <mergeCell ref="EL26:EN26"/>
    <mergeCell ref="EO26:EQ26"/>
    <mergeCell ref="ER26:ET26"/>
    <mergeCell ref="EC26:EE26"/>
    <mergeCell ref="CS32:CU32"/>
    <mergeCell ref="CV32:CX32"/>
    <mergeCell ref="CY32:DA32"/>
    <mergeCell ref="DB32:DD32"/>
    <mergeCell ref="DE32:DG32"/>
    <mergeCell ref="DH32:DJ32"/>
    <mergeCell ref="BZ28:DP28"/>
    <mergeCell ref="BZ29:DP29"/>
    <mergeCell ref="BZ30:DP30"/>
    <mergeCell ref="BZ31:DP31"/>
    <mergeCell ref="CA32:CC32"/>
    <mergeCell ref="CD32:CF32"/>
    <mergeCell ref="CG32:CI32"/>
    <mergeCell ref="CJ32:CL32"/>
    <mergeCell ref="CM32:CO32"/>
    <mergeCell ref="CP32:CR32"/>
    <mergeCell ref="EC32:EE32"/>
    <mergeCell ref="EF32:EH32"/>
    <mergeCell ref="EI32:EK32"/>
    <mergeCell ref="EL32:EN32"/>
    <mergeCell ref="EO32:EQ32"/>
    <mergeCell ref="ER32:ET32"/>
    <mergeCell ref="DK32:DM32"/>
    <mergeCell ref="DN32:DP32"/>
    <mergeCell ref="DQ32:DS32"/>
    <mergeCell ref="DT32:DV32"/>
    <mergeCell ref="DW32:DY32"/>
    <mergeCell ref="DZ32:EB32"/>
    <mergeCell ref="BZ33:DP33"/>
    <mergeCell ref="BZ34:DP34"/>
    <mergeCell ref="CA35:CC35"/>
    <mergeCell ref="CD35:CF35"/>
    <mergeCell ref="CG35:CI35"/>
    <mergeCell ref="CJ35:CL35"/>
    <mergeCell ref="CM35:CO35"/>
    <mergeCell ref="CP35:CR35"/>
    <mergeCell ref="CS35:CU35"/>
    <mergeCell ref="CV35:CX35"/>
    <mergeCell ref="DZ35:EB35"/>
    <mergeCell ref="EC35:EE35"/>
    <mergeCell ref="EF35:EH35"/>
    <mergeCell ref="CY35:DA35"/>
    <mergeCell ref="DB35:DD35"/>
    <mergeCell ref="DE35:DG35"/>
    <mergeCell ref="DH35:DJ35"/>
    <mergeCell ref="DK35:DM35"/>
    <mergeCell ref="DN35:DP35"/>
    <mergeCell ref="CA36:CC36"/>
    <mergeCell ref="CD36:CF36"/>
    <mergeCell ref="CG36:CI36"/>
    <mergeCell ref="CJ36:CL36"/>
    <mergeCell ref="CM36:CO36"/>
    <mergeCell ref="CP36:CR36"/>
    <mergeCell ref="DQ35:DS35"/>
    <mergeCell ref="DT35:DV35"/>
    <mergeCell ref="DW35:DY35"/>
    <mergeCell ref="CS36:CU36"/>
    <mergeCell ref="CV36:CX36"/>
    <mergeCell ref="CY36:DA36"/>
    <mergeCell ref="DB36:DD36"/>
    <mergeCell ref="DE36:DG36"/>
    <mergeCell ref="EI35:EK35"/>
    <mergeCell ref="EL35:EN35"/>
    <mergeCell ref="EO35:EQ35"/>
    <mergeCell ref="EC36:EE36"/>
    <mergeCell ref="EF36:EH36"/>
    <mergeCell ref="EI36:EK36"/>
    <mergeCell ref="EL36:EN36"/>
    <mergeCell ref="EO36:EQ36"/>
    <mergeCell ref="ER35:ET35"/>
    <mergeCell ref="ER36:ET36"/>
    <mergeCell ref="DK36:DM36"/>
    <mergeCell ref="DN36:DP36"/>
    <mergeCell ref="DQ36:DS36"/>
    <mergeCell ref="DT36:DV36"/>
    <mergeCell ref="DW36:DY36"/>
    <mergeCell ref="DZ36:EB36"/>
    <mergeCell ref="CS37:CU37"/>
    <mergeCell ref="CV37:CX37"/>
    <mergeCell ref="CY37:DA37"/>
    <mergeCell ref="DB37:DD37"/>
    <mergeCell ref="DE37:DG37"/>
    <mergeCell ref="DH37:DJ37"/>
    <mergeCell ref="EL37:EN37"/>
    <mergeCell ref="EO37:EQ37"/>
    <mergeCell ref="ER37:ET37"/>
    <mergeCell ref="DH36:DJ36"/>
    <mergeCell ref="CA37:CC37"/>
    <mergeCell ref="CD37:CF37"/>
    <mergeCell ref="CG37:CI37"/>
    <mergeCell ref="CJ37:CL37"/>
    <mergeCell ref="CM37:CO37"/>
    <mergeCell ref="CP37:CR37"/>
    <mergeCell ref="EC37:EE37"/>
    <mergeCell ref="EF37:EH37"/>
    <mergeCell ref="EI37:EK37"/>
    <mergeCell ref="DK37:DM37"/>
    <mergeCell ref="DN37:DP37"/>
    <mergeCell ref="DQ37:DS37"/>
    <mergeCell ref="DT37:DV37"/>
    <mergeCell ref="DW37:DY37"/>
    <mergeCell ref="DZ37:EB37"/>
    <mergeCell ref="EL38:EN38"/>
    <mergeCell ref="EO38:EQ38"/>
    <mergeCell ref="ER38:ET38"/>
    <mergeCell ref="DK38:DM38"/>
    <mergeCell ref="DN38:DP38"/>
    <mergeCell ref="DQ38:DS38"/>
    <mergeCell ref="DT38:DV38"/>
    <mergeCell ref="DW38:DY38"/>
    <mergeCell ref="DZ38:EB38"/>
    <mergeCell ref="CA39:CC39"/>
    <mergeCell ref="CD39:CF39"/>
    <mergeCell ref="CG39:CI39"/>
    <mergeCell ref="CJ39:CL39"/>
    <mergeCell ref="CM39:CO39"/>
    <mergeCell ref="CP39:CR39"/>
    <mergeCell ref="EC38:EE38"/>
    <mergeCell ref="EF38:EH38"/>
    <mergeCell ref="EI38:EK38"/>
    <mergeCell ref="CS38:CU38"/>
    <mergeCell ref="CV38:CX38"/>
    <mergeCell ref="CY38:DA38"/>
    <mergeCell ref="DB38:DD38"/>
    <mergeCell ref="DE38:DG38"/>
    <mergeCell ref="DH38:DJ38"/>
    <mergeCell ref="CA38:CC38"/>
    <mergeCell ref="CD38:CF38"/>
    <mergeCell ref="CG38:CI38"/>
    <mergeCell ref="CJ38:CL38"/>
    <mergeCell ref="CM38:CO38"/>
    <mergeCell ref="CP38:CR38"/>
    <mergeCell ref="ER39:ET39"/>
    <mergeCell ref="DK39:DM39"/>
    <mergeCell ref="DN39:DP39"/>
    <mergeCell ref="DQ39:DS39"/>
    <mergeCell ref="DT39:DV39"/>
    <mergeCell ref="DW39:DY39"/>
    <mergeCell ref="DZ39:EB39"/>
    <mergeCell ref="CS39:CU39"/>
    <mergeCell ref="CV39:CX39"/>
    <mergeCell ref="CY39:DA39"/>
    <mergeCell ref="DB39:DD39"/>
    <mergeCell ref="DE39:DG39"/>
    <mergeCell ref="DH39:DJ39"/>
    <mergeCell ref="CG40:CI40"/>
    <mergeCell ref="CJ40:CL40"/>
    <mergeCell ref="CM40:CO40"/>
    <mergeCell ref="CP40:CR40"/>
    <mergeCell ref="EC39:EE39"/>
    <mergeCell ref="EF39:EH39"/>
    <mergeCell ref="EI39:EK39"/>
    <mergeCell ref="EL39:EN39"/>
    <mergeCell ref="EO39:EQ39"/>
    <mergeCell ref="ER41:ET41"/>
    <mergeCell ref="AH60:AK60"/>
    <mergeCell ref="AH61:AK61"/>
    <mergeCell ref="AS61:AX61"/>
    <mergeCell ref="EC40:EE40"/>
    <mergeCell ref="EF40:EH40"/>
    <mergeCell ref="EI40:EK40"/>
    <mergeCell ref="EL40:EN40"/>
    <mergeCell ref="EO40:EQ40"/>
    <mergeCell ref="ER40:ET40"/>
    <mergeCell ref="DK40:DM40"/>
    <mergeCell ref="DN40:DP40"/>
    <mergeCell ref="DQ40:DS40"/>
    <mergeCell ref="DT40:DV40"/>
    <mergeCell ref="DW40:DY40"/>
    <mergeCell ref="DZ40:EB40"/>
    <mergeCell ref="CS40:CU40"/>
    <mergeCell ref="CV40:CX40"/>
    <mergeCell ref="CY40:DA40"/>
    <mergeCell ref="DB40:DD40"/>
    <mergeCell ref="DE40:DG40"/>
    <mergeCell ref="DH40:DJ40"/>
    <mergeCell ref="CA40:CC40"/>
    <mergeCell ref="CD40:CF40"/>
    <mergeCell ref="AC64:AF64"/>
    <mergeCell ref="AH64:AK64"/>
    <mergeCell ref="AE83:AG83"/>
    <mergeCell ref="AM83:AP83"/>
    <mergeCell ref="AR83:AU83"/>
    <mergeCell ref="AB87:AE87"/>
    <mergeCell ref="BZ41:DP42"/>
    <mergeCell ref="EL41:EN41"/>
    <mergeCell ref="EO41:EQ41"/>
    <mergeCell ref="J100:M100"/>
    <mergeCell ref="Z100:AC100"/>
    <mergeCell ref="AI100:AL100"/>
    <mergeCell ref="AT100:AW100"/>
    <mergeCell ref="J101:M101"/>
    <mergeCell ref="Z101:AC101"/>
    <mergeCell ref="AI101:AL101"/>
    <mergeCell ref="AT101:AW101"/>
    <mergeCell ref="H95:K95"/>
    <mergeCell ref="J98:K98"/>
    <mergeCell ref="J99:M99"/>
    <mergeCell ref="Z99:AC99"/>
    <mergeCell ref="AI99:AL99"/>
    <mergeCell ref="AT99:AW99"/>
    <mergeCell ref="J107:M107"/>
    <mergeCell ref="J110:M110"/>
    <mergeCell ref="AE142:AG142"/>
    <mergeCell ref="AM142:AP142"/>
    <mergeCell ref="AR142:AU142"/>
    <mergeCell ref="AB146:AE146"/>
    <mergeCell ref="L103:N103"/>
    <mergeCell ref="R103:T103"/>
    <mergeCell ref="L104:N104"/>
    <mergeCell ref="J105:N105"/>
    <mergeCell ref="J106:N106"/>
    <mergeCell ref="AD106:AG106"/>
    <mergeCell ref="AT159:AW159"/>
    <mergeCell ref="J160:M160"/>
    <mergeCell ref="Z160:AC160"/>
    <mergeCell ref="AI160:AL160"/>
    <mergeCell ref="AT160:AW160"/>
    <mergeCell ref="H154:K154"/>
    <mergeCell ref="J157:K157"/>
    <mergeCell ref="J158:M158"/>
    <mergeCell ref="Z158:AC158"/>
    <mergeCell ref="AI158:AL158"/>
    <mergeCell ref="AT158:AW158"/>
    <mergeCell ref="L162:N162"/>
    <mergeCell ref="R162:T162"/>
    <mergeCell ref="L163:N163"/>
    <mergeCell ref="J164:N164"/>
    <mergeCell ref="J165:N165"/>
    <mergeCell ref="AD165:AG165"/>
    <mergeCell ref="J159:M159"/>
    <mergeCell ref="Z159:AC159"/>
    <mergeCell ref="AI159:AL159"/>
    <mergeCell ref="BH191:BK191"/>
    <mergeCell ref="BD192:BG192"/>
    <mergeCell ref="BH192:BK193"/>
    <mergeCell ref="J166:M166"/>
    <mergeCell ref="J169:M169"/>
    <mergeCell ref="D191:E193"/>
    <mergeCell ref="F191:H193"/>
    <mergeCell ref="I191:N193"/>
    <mergeCell ref="O191:P193"/>
    <mergeCell ref="AB192:AE193"/>
    <mergeCell ref="AF192:AI192"/>
    <mergeCell ref="AJ192:AM192"/>
    <mergeCell ref="AN192:AQ192"/>
    <mergeCell ref="AR192:AU192"/>
    <mergeCell ref="AV192:AY192"/>
    <mergeCell ref="AZ192:BC192"/>
    <mergeCell ref="Q191:U193"/>
    <mergeCell ref="V191:W193"/>
    <mergeCell ref="X191:AA193"/>
    <mergeCell ref="AB191:AE191"/>
    <mergeCell ref="AF191:BG191"/>
    <mergeCell ref="BL192:BO193"/>
    <mergeCell ref="BP192:BS192"/>
    <mergeCell ref="BT192:BU193"/>
    <mergeCell ref="BV192:BW193"/>
    <mergeCell ref="BX192:BY193"/>
    <mergeCell ref="BP193:BS193"/>
    <mergeCell ref="BL191:BO191"/>
    <mergeCell ref="BP191:BS191"/>
    <mergeCell ref="BT191:BY191"/>
    <mergeCell ref="BH194:BK194"/>
    <mergeCell ref="BL194:BO194"/>
    <mergeCell ref="AJ195:AM195"/>
    <mergeCell ref="BH195:BK195"/>
    <mergeCell ref="BL195:BO195"/>
    <mergeCell ref="AF196:AU196"/>
    <mergeCell ref="AV196:BG196"/>
    <mergeCell ref="BH196:BK196"/>
    <mergeCell ref="BL196:BO196"/>
    <mergeCell ref="D216:K216"/>
    <mergeCell ref="L216:O216"/>
    <mergeCell ref="Z216:AG216"/>
    <mergeCell ref="AK216:AR216"/>
    <mergeCell ref="D218:E220"/>
    <mergeCell ref="F218:M219"/>
    <mergeCell ref="N218:AO218"/>
    <mergeCell ref="AP218:AU220"/>
    <mergeCell ref="AB194:AE196"/>
    <mergeCell ref="D194:E196"/>
    <mergeCell ref="F194:H196"/>
    <mergeCell ref="I194:J196"/>
    <mergeCell ref="K194:N196"/>
    <mergeCell ref="O194:P196"/>
    <mergeCell ref="Q194:U196"/>
    <mergeCell ref="AV222:BA222"/>
    <mergeCell ref="N223:AC223"/>
    <mergeCell ref="AD223:AO223"/>
    <mergeCell ref="AV218:BA220"/>
    <mergeCell ref="N219:Q219"/>
    <mergeCell ref="R219:U219"/>
    <mergeCell ref="V219:Y219"/>
    <mergeCell ref="Z219:AC219"/>
    <mergeCell ref="AD219:AG219"/>
    <mergeCell ref="AH219:AK219"/>
    <mergeCell ref="AL219:AO219"/>
    <mergeCell ref="D250:E250"/>
    <mergeCell ref="Y226:AB226"/>
    <mergeCell ref="AD226:AG226"/>
    <mergeCell ref="AH226:AK226"/>
    <mergeCell ref="AL226:AO226"/>
    <mergeCell ref="AP226:AS226"/>
    <mergeCell ref="D229:G229"/>
    <mergeCell ref="AP223:AU223"/>
    <mergeCell ref="AV223:BA223"/>
    <mergeCell ref="D225:AB225"/>
    <mergeCell ref="AD225:AK225"/>
    <mergeCell ref="AL225:AS225"/>
    <mergeCell ref="D226:H226"/>
    <mergeCell ref="I226:L226"/>
    <mergeCell ref="M226:P226"/>
    <mergeCell ref="Q226:T226"/>
    <mergeCell ref="U226:X226"/>
    <mergeCell ref="D221:E223"/>
    <mergeCell ref="F221:G223"/>
    <mergeCell ref="H221:M223"/>
    <mergeCell ref="AP221:AU221"/>
    <mergeCell ref="AV221:BA221"/>
    <mergeCell ref="R222:U222"/>
    <mergeCell ref="AP222:AU222"/>
  </mergeCells>
  <phoneticPr fontId="3"/>
  <pageMargins left="0.51181102362204722" right="0.74803149606299213" top="0.70866141732283472" bottom="0.43307086614173229" header="0.51181102362204722" footer="0.19685039370078738"/>
  <pageSetup paperSize="9" scale="60" fitToHeight="0" orientation="landscape" r:id="rId1"/>
  <headerFooter alignWithMargins="0">
    <oddFooter>&amp;C&amp;"Meiryo UI,標準"&amp;10&amp;P&amp;L&amp;"Meiryo UI"&amp;10MABSP0810&amp;R&amp;"Meiryo UI,標準"&amp;10(C)Business Engineering Corp.[Confidential]</oddFooter>
  </headerFooter>
  <rowBreaks count="5" manualBreakCount="5">
    <brk id="50" max="87" man="1"/>
    <brk id="74" max="87" man="1"/>
    <brk id="184" max="87" man="1"/>
    <brk id="203" max="87" man="1"/>
    <brk id="242" max="87" man="1"/>
  </rowBrea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0482-94CC-44EC-B17F-EA93BE2163DD}">
  <dimension ref="A1"/>
  <sheetViews>
    <sheetView workbookViewId="0">
      <selection activeCell="E23" sqref="E23"/>
    </sheetView>
  </sheetViews>
  <sheetFormatPr defaultRowHeight="18.75"/>
  <sheetData/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8186-E48E-4539-9124-C52D6C33DF2E}">
  <sheetPr filterMode="1">
    <tabColor theme="0" tint="-0.34998626667073579"/>
  </sheetPr>
  <dimension ref="A1:O148"/>
  <sheetViews>
    <sheetView showGridLines="0" zoomScale="70" zoomScaleNormal="70" workbookViewId="0">
      <selection activeCell="C86" sqref="C86"/>
    </sheetView>
  </sheetViews>
  <sheetFormatPr defaultRowHeight="18.75"/>
  <cols>
    <col min="1" max="1" width="11.375" bestFit="1" customWidth="1"/>
    <col min="2" max="3" width="14" bestFit="1" customWidth="1"/>
    <col min="4" max="4" width="16.75" bestFit="1" customWidth="1"/>
    <col min="5" max="5" width="11.375" bestFit="1" customWidth="1"/>
    <col min="6" max="6" width="14" bestFit="1" customWidth="1"/>
    <col min="7" max="7" width="22.125" bestFit="1" customWidth="1"/>
    <col min="8" max="8" width="24.75" bestFit="1" customWidth="1"/>
    <col min="9" max="9" width="22.625" bestFit="1" customWidth="1"/>
    <col min="10" max="10" width="40.875" bestFit="1" customWidth="1"/>
    <col min="11" max="11" width="29" bestFit="1" customWidth="1"/>
    <col min="13" max="13" width="3.125" style="232" bestFit="1" customWidth="1"/>
    <col min="14" max="14" width="16.625" style="228" customWidth="1"/>
    <col min="15" max="15" width="27.25" bestFit="1" customWidth="1"/>
    <col min="16" max="16" width="9" customWidth="1"/>
  </cols>
  <sheetData>
    <row r="1" spans="1:15" ht="18.75" customHeight="1">
      <c r="A1" s="231" t="s">
        <v>4</v>
      </c>
      <c r="B1" s="231" t="s">
        <v>5</v>
      </c>
      <c r="C1" s="231" t="s">
        <v>6</v>
      </c>
      <c r="D1" s="231" t="s">
        <v>7</v>
      </c>
      <c r="E1" s="231" t="s">
        <v>8</v>
      </c>
      <c r="F1" s="231" t="s">
        <v>9</v>
      </c>
      <c r="G1" s="231" t="s">
        <v>10</v>
      </c>
      <c r="H1" s="231" t="s">
        <v>11</v>
      </c>
      <c r="I1" s="231" t="s">
        <v>13</v>
      </c>
      <c r="J1" s="231" t="s">
        <v>14</v>
      </c>
      <c r="K1" s="231" t="s">
        <v>15</v>
      </c>
      <c r="O1" s="1336" t="s">
        <v>12</v>
      </c>
    </row>
    <row r="2" spans="1:15" ht="18.75" customHeight="1" thickBot="1">
      <c r="A2" s="236"/>
      <c r="B2" s="236"/>
      <c r="C2" s="236"/>
      <c r="D2" s="236"/>
      <c r="E2" s="236"/>
      <c r="F2" s="236"/>
      <c r="G2" s="236"/>
      <c r="H2" s="236"/>
      <c r="I2" s="236"/>
      <c r="J2" s="236"/>
      <c r="K2" s="236"/>
      <c r="O2" s="1337"/>
    </row>
    <row r="3" spans="1:15" ht="19.5">
      <c r="A3" s="237">
        <v>10</v>
      </c>
      <c r="B3" s="238" t="s">
        <v>140</v>
      </c>
      <c r="C3" s="239">
        <v>12</v>
      </c>
      <c r="D3" s="240" t="s">
        <v>82</v>
      </c>
      <c r="E3" s="241">
        <v>2</v>
      </c>
      <c r="F3" s="242" t="s">
        <v>138</v>
      </c>
      <c r="G3" s="242">
        <v>212</v>
      </c>
      <c r="H3" s="242" t="s">
        <v>82</v>
      </c>
      <c r="I3" s="242" t="s">
        <v>84</v>
      </c>
      <c r="J3" s="242" t="s">
        <v>58</v>
      </c>
      <c r="K3" s="243" t="s">
        <v>85</v>
      </c>
      <c r="M3" s="232" t="str">
        <f t="shared" ref="M3:M34" si="0">IF(N3&lt;&gt;N2, "1","")</f>
        <v>1</v>
      </c>
      <c r="N3" s="228" t="str">
        <f t="shared" ref="N3:N34" si="1">A3&amp;C3&amp;E3&amp;G3&amp;I3&amp;J3&amp;K3</f>
        <v>10122212製品マスタCPで取り扱いがある（品目登録済）加工品受注</v>
      </c>
      <c r="O3" s="227" t="s">
        <v>139</v>
      </c>
    </row>
    <row r="4" spans="1:15" ht="19.5" hidden="1">
      <c r="A4" s="244">
        <v>10</v>
      </c>
      <c r="B4" s="245" t="s">
        <v>140</v>
      </c>
      <c r="C4" s="246">
        <v>12</v>
      </c>
      <c r="D4" s="247" t="s">
        <v>82</v>
      </c>
      <c r="E4" s="248">
        <v>2</v>
      </c>
      <c r="F4" s="249" t="s">
        <v>138</v>
      </c>
      <c r="G4" s="249">
        <v>212</v>
      </c>
      <c r="H4" s="249" t="s">
        <v>82</v>
      </c>
      <c r="I4" s="249" t="s">
        <v>84</v>
      </c>
      <c r="J4" s="249" t="s">
        <v>58</v>
      </c>
      <c r="K4" s="250" t="s">
        <v>85</v>
      </c>
      <c r="L4" s="233"/>
      <c r="M4" s="234" t="str">
        <f t="shared" si="0"/>
        <v/>
      </c>
      <c r="N4" s="235" t="str">
        <f t="shared" si="1"/>
        <v>10122212製品マスタCPで取り扱いがある（品目登録済）加工品受注</v>
      </c>
      <c r="O4" s="230" t="s">
        <v>139</v>
      </c>
    </row>
    <row r="5" spans="1:15" ht="19.5" hidden="1">
      <c r="A5" s="244">
        <v>10</v>
      </c>
      <c r="B5" s="245" t="s">
        <v>140</v>
      </c>
      <c r="C5" s="246">
        <v>12</v>
      </c>
      <c r="D5" s="247" t="s">
        <v>82</v>
      </c>
      <c r="E5" s="248">
        <v>2</v>
      </c>
      <c r="F5" s="249" t="s">
        <v>138</v>
      </c>
      <c r="G5" s="249">
        <v>212</v>
      </c>
      <c r="H5" s="249" t="s">
        <v>82</v>
      </c>
      <c r="I5" s="249" t="s">
        <v>84</v>
      </c>
      <c r="J5" s="249" t="s">
        <v>58</v>
      </c>
      <c r="K5" s="250" t="s">
        <v>85</v>
      </c>
      <c r="L5" s="233"/>
      <c r="M5" s="234" t="str">
        <f t="shared" si="0"/>
        <v/>
      </c>
      <c r="N5" s="235" t="str">
        <f t="shared" si="1"/>
        <v>10122212製品マスタCPで取り扱いがある（品目登録済）加工品受注</v>
      </c>
      <c r="O5" s="230" t="s">
        <v>139</v>
      </c>
    </row>
    <row r="6" spans="1:15" ht="19.5" hidden="1">
      <c r="A6" s="244">
        <v>10</v>
      </c>
      <c r="B6" s="245" t="s">
        <v>140</v>
      </c>
      <c r="C6" s="246">
        <v>12</v>
      </c>
      <c r="D6" s="247" t="s">
        <v>82</v>
      </c>
      <c r="E6" s="248">
        <v>2</v>
      </c>
      <c r="F6" s="249" t="s">
        <v>138</v>
      </c>
      <c r="G6" s="249">
        <v>212</v>
      </c>
      <c r="H6" s="249" t="s">
        <v>82</v>
      </c>
      <c r="I6" s="249" t="s">
        <v>84</v>
      </c>
      <c r="J6" s="249" t="s">
        <v>58</v>
      </c>
      <c r="K6" s="250" t="s">
        <v>85</v>
      </c>
      <c r="L6" s="233"/>
      <c r="M6" s="234" t="str">
        <f t="shared" si="0"/>
        <v/>
      </c>
      <c r="N6" s="235" t="str">
        <f t="shared" si="1"/>
        <v>10122212製品マスタCPで取り扱いがある（品目登録済）加工品受注</v>
      </c>
      <c r="O6" s="230" t="s">
        <v>56</v>
      </c>
    </row>
    <row r="7" spans="1:15" ht="19.5" hidden="1">
      <c r="A7" s="244">
        <v>10</v>
      </c>
      <c r="B7" s="245" t="s">
        <v>140</v>
      </c>
      <c r="C7" s="246">
        <v>12</v>
      </c>
      <c r="D7" s="247" t="s">
        <v>82</v>
      </c>
      <c r="E7" s="248">
        <v>2</v>
      </c>
      <c r="F7" s="249" t="s">
        <v>138</v>
      </c>
      <c r="G7" s="249">
        <v>212</v>
      </c>
      <c r="H7" s="249" t="s">
        <v>82</v>
      </c>
      <c r="I7" s="249" t="s">
        <v>84</v>
      </c>
      <c r="J7" s="249" t="s">
        <v>58</v>
      </c>
      <c r="K7" s="250" t="s">
        <v>85</v>
      </c>
      <c r="L7" s="233"/>
      <c r="M7" s="234" t="str">
        <f t="shared" si="0"/>
        <v/>
      </c>
      <c r="N7" s="235" t="str">
        <f t="shared" si="1"/>
        <v>10122212製品マスタCPで取り扱いがある（品目登録済）加工品受注</v>
      </c>
      <c r="O7" s="230" t="s">
        <v>56</v>
      </c>
    </row>
    <row r="8" spans="1:15" ht="19.5" hidden="1">
      <c r="A8" s="244">
        <v>10</v>
      </c>
      <c r="B8" s="245" t="s">
        <v>140</v>
      </c>
      <c r="C8" s="246">
        <v>12</v>
      </c>
      <c r="D8" s="247" t="s">
        <v>82</v>
      </c>
      <c r="E8" s="248">
        <v>2</v>
      </c>
      <c r="F8" s="249" t="s">
        <v>138</v>
      </c>
      <c r="G8" s="249">
        <v>212</v>
      </c>
      <c r="H8" s="249" t="s">
        <v>82</v>
      </c>
      <c r="I8" s="249" t="s">
        <v>84</v>
      </c>
      <c r="J8" s="249" t="s">
        <v>58</v>
      </c>
      <c r="K8" s="250" t="s">
        <v>85</v>
      </c>
      <c r="L8" s="233"/>
      <c r="M8" s="234" t="str">
        <f t="shared" si="0"/>
        <v/>
      </c>
      <c r="N8" s="235" t="str">
        <f t="shared" si="1"/>
        <v>10122212製品マスタCPで取り扱いがある（品目登録済）加工品受注</v>
      </c>
      <c r="O8" s="230" t="s">
        <v>80</v>
      </c>
    </row>
    <row r="9" spans="1:15" ht="19.5">
      <c r="A9" s="251">
        <v>10</v>
      </c>
      <c r="B9" s="252" t="s">
        <v>140</v>
      </c>
      <c r="C9" s="253">
        <v>13</v>
      </c>
      <c r="D9" s="254" t="s">
        <v>87</v>
      </c>
      <c r="E9" s="255">
        <v>2</v>
      </c>
      <c r="F9" s="256" t="s">
        <v>138</v>
      </c>
      <c r="G9" s="256">
        <v>213</v>
      </c>
      <c r="H9" s="256" t="s">
        <v>87</v>
      </c>
      <c r="I9" s="256" t="s">
        <v>84</v>
      </c>
      <c r="J9" s="256" t="s">
        <v>58</v>
      </c>
      <c r="K9" s="257" t="s">
        <v>85</v>
      </c>
      <c r="M9" s="232" t="str">
        <f t="shared" si="0"/>
        <v>1</v>
      </c>
      <c r="N9" s="228" t="str">
        <f t="shared" si="1"/>
        <v>10132213製品マスタCPで取り扱いがある（品目登録済）加工品受注</v>
      </c>
      <c r="O9" s="227" t="s">
        <v>139</v>
      </c>
    </row>
    <row r="10" spans="1:15" ht="19.5" hidden="1">
      <c r="A10" s="244">
        <v>10</v>
      </c>
      <c r="B10" s="245" t="s">
        <v>140</v>
      </c>
      <c r="C10" s="246">
        <v>13</v>
      </c>
      <c r="D10" s="247" t="s">
        <v>87</v>
      </c>
      <c r="E10" s="248">
        <v>2</v>
      </c>
      <c r="F10" s="249" t="s">
        <v>138</v>
      </c>
      <c r="G10" s="249">
        <v>213</v>
      </c>
      <c r="H10" s="249" t="s">
        <v>87</v>
      </c>
      <c r="I10" s="249" t="s">
        <v>84</v>
      </c>
      <c r="J10" s="249" t="s">
        <v>58</v>
      </c>
      <c r="K10" s="250" t="s">
        <v>85</v>
      </c>
      <c r="L10" s="233"/>
      <c r="M10" s="234" t="str">
        <f t="shared" si="0"/>
        <v/>
      </c>
      <c r="N10" s="235" t="str">
        <f t="shared" si="1"/>
        <v>10132213製品マスタCPで取り扱いがある（品目登録済）加工品受注</v>
      </c>
      <c r="O10" s="230" t="s">
        <v>139</v>
      </c>
    </row>
    <row r="11" spans="1:15" ht="19.5" hidden="1">
      <c r="A11" s="244">
        <v>10</v>
      </c>
      <c r="B11" s="245" t="s">
        <v>140</v>
      </c>
      <c r="C11" s="246">
        <v>13</v>
      </c>
      <c r="D11" s="247" t="s">
        <v>87</v>
      </c>
      <c r="E11" s="248">
        <v>2</v>
      </c>
      <c r="F11" s="249" t="s">
        <v>138</v>
      </c>
      <c r="G11" s="249">
        <v>213</v>
      </c>
      <c r="H11" s="249" t="s">
        <v>87</v>
      </c>
      <c r="I11" s="249" t="s">
        <v>84</v>
      </c>
      <c r="J11" s="249" t="s">
        <v>58</v>
      </c>
      <c r="K11" s="250" t="s">
        <v>85</v>
      </c>
      <c r="L11" s="233"/>
      <c r="M11" s="234" t="str">
        <f t="shared" si="0"/>
        <v/>
      </c>
      <c r="N11" s="235" t="str">
        <f t="shared" si="1"/>
        <v>10132213製品マスタCPで取り扱いがある（品目登録済）加工品受注</v>
      </c>
      <c r="O11" s="230" t="s">
        <v>139</v>
      </c>
    </row>
    <row r="12" spans="1:15" ht="19.5" hidden="1">
      <c r="A12" s="244">
        <v>10</v>
      </c>
      <c r="B12" s="245" t="s">
        <v>140</v>
      </c>
      <c r="C12" s="246">
        <v>13</v>
      </c>
      <c r="D12" s="247" t="s">
        <v>87</v>
      </c>
      <c r="E12" s="248">
        <v>2</v>
      </c>
      <c r="F12" s="249" t="s">
        <v>138</v>
      </c>
      <c r="G12" s="249">
        <v>213</v>
      </c>
      <c r="H12" s="249" t="s">
        <v>87</v>
      </c>
      <c r="I12" s="249" t="s">
        <v>84</v>
      </c>
      <c r="J12" s="249" t="s">
        <v>58</v>
      </c>
      <c r="K12" s="250" t="s">
        <v>85</v>
      </c>
      <c r="L12" s="233"/>
      <c r="M12" s="234" t="str">
        <f t="shared" si="0"/>
        <v/>
      </c>
      <c r="N12" s="235" t="str">
        <f t="shared" si="1"/>
        <v>10132213製品マスタCPで取り扱いがある（品目登録済）加工品受注</v>
      </c>
      <c r="O12" s="230" t="s">
        <v>56</v>
      </c>
    </row>
    <row r="13" spans="1:15" ht="19.5" hidden="1">
      <c r="A13" s="244">
        <v>10</v>
      </c>
      <c r="B13" s="245" t="s">
        <v>140</v>
      </c>
      <c r="C13" s="246">
        <v>13</v>
      </c>
      <c r="D13" s="247" t="s">
        <v>87</v>
      </c>
      <c r="E13" s="248">
        <v>2</v>
      </c>
      <c r="F13" s="249" t="s">
        <v>138</v>
      </c>
      <c r="G13" s="249">
        <v>213</v>
      </c>
      <c r="H13" s="249" t="s">
        <v>87</v>
      </c>
      <c r="I13" s="249" t="s">
        <v>84</v>
      </c>
      <c r="J13" s="249" t="s">
        <v>58</v>
      </c>
      <c r="K13" s="250" t="s">
        <v>85</v>
      </c>
      <c r="L13" s="233"/>
      <c r="M13" s="234" t="str">
        <f t="shared" si="0"/>
        <v/>
      </c>
      <c r="N13" s="235" t="str">
        <f t="shared" si="1"/>
        <v>10132213製品マスタCPで取り扱いがある（品目登録済）加工品受注</v>
      </c>
      <c r="O13" s="230" t="s">
        <v>56</v>
      </c>
    </row>
    <row r="14" spans="1:15" ht="19.5" hidden="1">
      <c r="A14" s="244">
        <v>10</v>
      </c>
      <c r="B14" s="245" t="s">
        <v>140</v>
      </c>
      <c r="C14" s="246">
        <v>13</v>
      </c>
      <c r="D14" s="247" t="s">
        <v>87</v>
      </c>
      <c r="E14" s="248">
        <v>2</v>
      </c>
      <c r="F14" s="249" t="s">
        <v>138</v>
      </c>
      <c r="G14" s="249">
        <v>213</v>
      </c>
      <c r="H14" s="249" t="s">
        <v>87</v>
      </c>
      <c r="I14" s="249" t="s">
        <v>84</v>
      </c>
      <c r="J14" s="249" t="s">
        <v>58</v>
      </c>
      <c r="K14" s="250" t="s">
        <v>85</v>
      </c>
      <c r="L14" s="233"/>
      <c r="M14" s="234" t="str">
        <f t="shared" si="0"/>
        <v/>
      </c>
      <c r="N14" s="235" t="str">
        <f t="shared" si="1"/>
        <v>10132213製品マスタCPで取り扱いがある（品目登録済）加工品受注</v>
      </c>
      <c r="O14" s="230" t="s">
        <v>80</v>
      </c>
    </row>
    <row r="15" spans="1:15" ht="19.5">
      <c r="A15" s="251">
        <v>10</v>
      </c>
      <c r="B15" s="252" t="s">
        <v>140</v>
      </c>
      <c r="C15" s="253">
        <v>21</v>
      </c>
      <c r="D15" s="254" t="s">
        <v>90</v>
      </c>
      <c r="E15" s="258">
        <v>2</v>
      </c>
      <c r="F15" s="259" t="s">
        <v>138</v>
      </c>
      <c r="G15" s="256">
        <v>221</v>
      </c>
      <c r="H15" s="259" t="s">
        <v>90</v>
      </c>
      <c r="I15" s="256" t="s">
        <v>84</v>
      </c>
      <c r="J15" s="256" t="s">
        <v>58</v>
      </c>
      <c r="K15" s="257" t="s">
        <v>85</v>
      </c>
      <c r="M15" s="232" t="str">
        <f t="shared" si="0"/>
        <v>1</v>
      </c>
      <c r="N15" s="228" t="str">
        <f t="shared" si="1"/>
        <v>10212221製品マスタCPで取り扱いがある（品目登録済）加工品受注</v>
      </c>
      <c r="O15" s="227" t="s">
        <v>139</v>
      </c>
    </row>
    <row r="16" spans="1:15" ht="19.5" hidden="1">
      <c r="A16" s="244">
        <v>10</v>
      </c>
      <c r="B16" s="245" t="s">
        <v>140</v>
      </c>
      <c r="C16" s="246">
        <v>21</v>
      </c>
      <c r="D16" s="247" t="s">
        <v>90</v>
      </c>
      <c r="E16" s="260">
        <v>2</v>
      </c>
      <c r="F16" s="261" t="s">
        <v>138</v>
      </c>
      <c r="G16" s="249">
        <v>221</v>
      </c>
      <c r="H16" s="261" t="s">
        <v>90</v>
      </c>
      <c r="I16" s="249" t="s">
        <v>84</v>
      </c>
      <c r="J16" s="249" t="s">
        <v>58</v>
      </c>
      <c r="K16" s="250" t="s">
        <v>85</v>
      </c>
      <c r="L16" s="233"/>
      <c r="M16" s="234" t="str">
        <f t="shared" si="0"/>
        <v/>
      </c>
      <c r="N16" s="235" t="str">
        <f t="shared" si="1"/>
        <v>10212221製品マスタCPで取り扱いがある（品目登録済）加工品受注</v>
      </c>
      <c r="O16" s="230" t="s">
        <v>139</v>
      </c>
    </row>
    <row r="17" spans="1:15" ht="19.5" hidden="1">
      <c r="A17" s="244">
        <v>10</v>
      </c>
      <c r="B17" s="245" t="s">
        <v>140</v>
      </c>
      <c r="C17" s="246">
        <v>21</v>
      </c>
      <c r="D17" s="247" t="s">
        <v>90</v>
      </c>
      <c r="E17" s="260">
        <v>2</v>
      </c>
      <c r="F17" s="261" t="s">
        <v>138</v>
      </c>
      <c r="G17" s="249">
        <v>221</v>
      </c>
      <c r="H17" s="261" t="s">
        <v>90</v>
      </c>
      <c r="I17" s="249" t="s">
        <v>84</v>
      </c>
      <c r="J17" s="249" t="s">
        <v>58</v>
      </c>
      <c r="K17" s="250" t="s">
        <v>85</v>
      </c>
      <c r="L17" s="233"/>
      <c r="M17" s="234" t="str">
        <f t="shared" si="0"/>
        <v/>
      </c>
      <c r="N17" s="235" t="str">
        <f t="shared" si="1"/>
        <v>10212221製品マスタCPで取り扱いがある（品目登録済）加工品受注</v>
      </c>
      <c r="O17" s="230" t="s">
        <v>139</v>
      </c>
    </row>
    <row r="18" spans="1:15" ht="19.5" hidden="1">
      <c r="A18" s="244">
        <v>10</v>
      </c>
      <c r="B18" s="245" t="s">
        <v>140</v>
      </c>
      <c r="C18" s="246">
        <v>21</v>
      </c>
      <c r="D18" s="247" t="s">
        <v>90</v>
      </c>
      <c r="E18" s="260">
        <v>2</v>
      </c>
      <c r="F18" s="261" t="s">
        <v>138</v>
      </c>
      <c r="G18" s="249">
        <v>221</v>
      </c>
      <c r="H18" s="261" t="s">
        <v>90</v>
      </c>
      <c r="I18" s="249" t="s">
        <v>84</v>
      </c>
      <c r="J18" s="249" t="s">
        <v>58</v>
      </c>
      <c r="K18" s="250" t="s">
        <v>85</v>
      </c>
      <c r="L18" s="233"/>
      <c r="M18" s="234" t="str">
        <f t="shared" si="0"/>
        <v/>
      </c>
      <c r="N18" s="235" t="str">
        <f t="shared" si="1"/>
        <v>10212221製品マスタCPで取り扱いがある（品目登録済）加工品受注</v>
      </c>
      <c r="O18" s="230" t="s">
        <v>56</v>
      </c>
    </row>
    <row r="19" spans="1:15" ht="19.5" hidden="1">
      <c r="A19" s="244">
        <v>10</v>
      </c>
      <c r="B19" s="245" t="s">
        <v>140</v>
      </c>
      <c r="C19" s="246">
        <v>21</v>
      </c>
      <c r="D19" s="247" t="s">
        <v>90</v>
      </c>
      <c r="E19" s="260">
        <v>2</v>
      </c>
      <c r="F19" s="261" t="s">
        <v>138</v>
      </c>
      <c r="G19" s="249">
        <v>221</v>
      </c>
      <c r="H19" s="261" t="s">
        <v>90</v>
      </c>
      <c r="I19" s="249" t="s">
        <v>84</v>
      </c>
      <c r="J19" s="249" t="s">
        <v>58</v>
      </c>
      <c r="K19" s="250" t="s">
        <v>85</v>
      </c>
      <c r="L19" s="233"/>
      <c r="M19" s="234" t="str">
        <f t="shared" si="0"/>
        <v/>
      </c>
      <c r="N19" s="235" t="str">
        <f t="shared" si="1"/>
        <v>10212221製品マスタCPで取り扱いがある（品目登録済）加工品受注</v>
      </c>
      <c r="O19" s="230" t="s">
        <v>56</v>
      </c>
    </row>
    <row r="20" spans="1:15" ht="19.5" hidden="1">
      <c r="A20" s="244">
        <v>10</v>
      </c>
      <c r="B20" s="245" t="s">
        <v>140</v>
      </c>
      <c r="C20" s="246">
        <v>21</v>
      </c>
      <c r="D20" s="247" t="s">
        <v>90</v>
      </c>
      <c r="E20" s="260">
        <v>2</v>
      </c>
      <c r="F20" s="261" t="s">
        <v>138</v>
      </c>
      <c r="G20" s="249">
        <v>221</v>
      </c>
      <c r="H20" s="261" t="s">
        <v>90</v>
      </c>
      <c r="I20" s="249" t="s">
        <v>84</v>
      </c>
      <c r="J20" s="249" t="s">
        <v>58</v>
      </c>
      <c r="K20" s="250" t="s">
        <v>85</v>
      </c>
      <c r="L20" s="233"/>
      <c r="M20" s="234" t="str">
        <f t="shared" si="0"/>
        <v/>
      </c>
      <c r="N20" s="235" t="str">
        <f t="shared" si="1"/>
        <v>10212221製品マスタCPで取り扱いがある（品目登録済）加工品受注</v>
      </c>
      <c r="O20" s="230" t="s">
        <v>80</v>
      </c>
    </row>
    <row r="21" spans="1:15" ht="19.5">
      <c r="A21" s="251">
        <v>10</v>
      </c>
      <c r="B21" s="252" t="s">
        <v>140</v>
      </c>
      <c r="C21" s="253">
        <v>23</v>
      </c>
      <c r="D21" s="254" t="s">
        <v>95</v>
      </c>
      <c r="E21" s="258">
        <v>2</v>
      </c>
      <c r="F21" s="259" t="s">
        <v>138</v>
      </c>
      <c r="G21" s="256">
        <v>223</v>
      </c>
      <c r="H21" s="259" t="s">
        <v>95</v>
      </c>
      <c r="I21" s="256" t="s">
        <v>84</v>
      </c>
      <c r="J21" s="256" t="s">
        <v>58</v>
      </c>
      <c r="K21" s="257" t="s">
        <v>85</v>
      </c>
      <c r="M21" s="232" t="str">
        <f t="shared" si="0"/>
        <v>1</v>
      </c>
      <c r="N21" s="228" t="str">
        <f t="shared" si="1"/>
        <v>10232223製品マスタCPで取り扱いがある（品目登録済）加工品受注</v>
      </c>
      <c r="O21" s="227" t="s">
        <v>139</v>
      </c>
    </row>
    <row r="22" spans="1:15" ht="19.5" hidden="1">
      <c r="A22" s="244">
        <v>10</v>
      </c>
      <c r="B22" s="245" t="s">
        <v>140</v>
      </c>
      <c r="C22" s="246">
        <v>23</v>
      </c>
      <c r="D22" s="247" t="s">
        <v>95</v>
      </c>
      <c r="E22" s="260">
        <v>2</v>
      </c>
      <c r="F22" s="261" t="s">
        <v>138</v>
      </c>
      <c r="G22" s="249">
        <v>223</v>
      </c>
      <c r="H22" s="261" t="s">
        <v>95</v>
      </c>
      <c r="I22" s="249" t="s">
        <v>84</v>
      </c>
      <c r="J22" s="249" t="s">
        <v>58</v>
      </c>
      <c r="K22" s="250" t="s">
        <v>85</v>
      </c>
      <c r="L22" s="233"/>
      <c r="M22" s="234" t="str">
        <f t="shared" si="0"/>
        <v/>
      </c>
      <c r="N22" s="235" t="str">
        <f t="shared" si="1"/>
        <v>10232223製品マスタCPで取り扱いがある（品目登録済）加工品受注</v>
      </c>
      <c r="O22" s="230" t="s">
        <v>139</v>
      </c>
    </row>
    <row r="23" spans="1:15" ht="19.5" hidden="1">
      <c r="A23" s="244">
        <v>10</v>
      </c>
      <c r="B23" s="245" t="s">
        <v>140</v>
      </c>
      <c r="C23" s="246">
        <v>23</v>
      </c>
      <c r="D23" s="247" t="s">
        <v>95</v>
      </c>
      <c r="E23" s="260">
        <v>2</v>
      </c>
      <c r="F23" s="261" t="s">
        <v>138</v>
      </c>
      <c r="G23" s="249">
        <v>223</v>
      </c>
      <c r="H23" s="261" t="s">
        <v>95</v>
      </c>
      <c r="I23" s="249" t="s">
        <v>84</v>
      </c>
      <c r="J23" s="249" t="s">
        <v>58</v>
      </c>
      <c r="K23" s="250" t="s">
        <v>85</v>
      </c>
      <c r="L23" s="233"/>
      <c r="M23" s="234" t="str">
        <f t="shared" si="0"/>
        <v/>
      </c>
      <c r="N23" s="235" t="str">
        <f t="shared" si="1"/>
        <v>10232223製品マスタCPで取り扱いがある（品目登録済）加工品受注</v>
      </c>
      <c r="O23" s="230" t="s">
        <v>139</v>
      </c>
    </row>
    <row r="24" spans="1:15" ht="19.5" hidden="1">
      <c r="A24" s="244">
        <v>10</v>
      </c>
      <c r="B24" s="245" t="s">
        <v>140</v>
      </c>
      <c r="C24" s="246">
        <v>23</v>
      </c>
      <c r="D24" s="247" t="s">
        <v>95</v>
      </c>
      <c r="E24" s="260">
        <v>2</v>
      </c>
      <c r="F24" s="261" t="s">
        <v>138</v>
      </c>
      <c r="G24" s="249">
        <v>223</v>
      </c>
      <c r="H24" s="261" t="s">
        <v>95</v>
      </c>
      <c r="I24" s="249" t="s">
        <v>84</v>
      </c>
      <c r="J24" s="249" t="s">
        <v>58</v>
      </c>
      <c r="K24" s="250" t="s">
        <v>85</v>
      </c>
      <c r="L24" s="233"/>
      <c r="M24" s="234" t="str">
        <f t="shared" si="0"/>
        <v/>
      </c>
      <c r="N24" s="235" t="str">
        <f t="shared" si="1"/>
        <v>10232223製品マスタCPで取り扱いがある（品目登録済）加工品受注</v>
      </c>
      <c r="O24" s="230" t="s">
        <v>56</v>
      </c>
    </row>
    <row r="25" spans="1:15" ht="19.5" hidden="1">
      <c r="A25" s="244">
        <v>10</v>
      </c>
      <c r="B25" s="245" t="s">
        <v>140</v>
      </c>
      <c r="C25" s="246">
        <v>23</v>
      </c>
      <c r="D25" s="247" t="s">
        <v>95</v>
      </c>
      <c r="E25" s="260">
        <v>2</v>
      </c>
      <c r="F25" s="261" t="s">
        <v>138</v>
      </c>
      <c r="G25" s="249">
        <v>223</v>
      </c>
      <c r="H25" s="261" t="s">
        <v>95</v>
      </c>
      <c r="I25" s="249" t="s">
        <v>84</v>
      </c>
      <c r="J25" s="249" t="s">
        <v>58</v>
      </c>
      <c r="K25" s="250" t="s">
        <v>85</v>
      </c>
      <c r="L25" s="233"/>
      <c r="M25" s="234" t="str">
        <f t="shared" si="0"/>
        <v/>
      </c>
      <c r="N25" s="235" t="str">
        <f t="shared" si="1"/>
        <v>10232223製品マスタCPで取り扱いがある（品目登録済）加工品受注</v>
      </c>
      <c r="O25" s="230" t="s">
        <v>56</v>
      </c>
    </row>
    <row r="26" spans="1:15" ht="19.5" hidden="1">
      <c r="A26" s="244">
        <v>10</v>
      </c>
      <c r="B26" s="245" t="s">
        <v>140</v>
      </c>
      <c r="C26" s="246">
        <v>23</v>
      </c>
      <c r="D26" s="247" t="s">
        <v>95</v>
      </c>
      <c r="E26" s="260">
        <v>2</v>
      </c>
      <c r="F26" s="261" t="s">
        <v>138</v>
      </c>
      <c r="G26" s="249">
        <v>223</v>
      </c>
      <c r="H26" s="261" t="s">
        <v>95</v>
      </c>
      <c r="I26" s="249" t="s">
        <v>84</v>
      </c>
      <c r="J26" s="249" t="s">
        <v>58</v>
      </c>
      <c r="K26" s="250" t="s">
        <v>85</v>
      </c>
      <c r="L26" s="233"/>
      <c r="M26" s="234" t="str">
        <f t="shared" si="0"/>
        <v/>
      </c>
      <c r="N26" s="235" t="str">
        <f t="shared" si="1"/>
        <v>10232223製品マスタCPで取り扱いがある（品目登録済）加工品受注</v>
      </c>
      <c r="O26" s="230" t="s">
        <v>80</v>
      </c>
    </row>
    <row r="27" spans="1:15" ht="19.5">
      <c r="A27" s="251">
        <v>10</v>
      </c>
      <c r="B27" s="252" t="s">
        <v>140</v>
      </c>
      <c r="C27" s="253">
        <v>31</v>
      </c>
      <c r="D27" s="254" t="s">
        <v>97</v>
      </c>
      <c r="E27" s="258">
        <v>2</v>
      </c>
      <c r="F27" s="259" t="s">
        <v>138</v>
      </c>
      <c r="G27" s="256">
        <v>231</v>
      </c>
      <c r="H27" s="259" t="s">
        <v>97</v>
      </c>
      <c r="I27" s="256" t="s">
        <v>84</v>
      </c>
      <c r="J27" s="256" t="s">
        <v>58</v>
      </c>
      <c r="K27" s="257" t="s">
        <v>85</v>
      </c>
      <c r="M27" s="232" t="str">
        <f t="shared" si="0"/>
        <v>1</v>
      </c>
      <c r="N27" s="228" t="str">
        <f t="shared" si="1"/>
        <v>10312231製品マスタCPで取り扱いがある（品目登録済）加工品受注</v>
      </c>
      <c r="O27" s="227" t="s">
        <v>139</v>
      </c>
    </row>
    <row r="28" spans="1:15" ht="19.5" hidden="1">
      <c r="A28" s="244">
        <v>10</v>
      </c>
      <c r="B28" s="245" t="s">
        <v>140</v>
      </c>
      <c r="C28" s="246">
        <v>31</v>
      </c>
      <c r="D28" s="247" t="s">
        <v>97</v>
      </c>
      <c r="E28" s="260">
        <v>2</v>
      </c>
      <c r="F28" s="261" t="s">
        <v>138</v>
      </c>
      <c r="G28" s="249">
        <v>231</v>
      </c>
      <c r="H28" s="261" t="s">
        <v>97</v>
      </c>
      <c r="I28" s="249" t="s">
        <v>84</v>
      </c>
      <c r="J28" s="249" t="s">
        <v>58</v>
      </c>
      <c r="K28" s="250" t="s">
        <v>85</v>
      </c>
      <c r="L28" s="233"/>
      <c r="M28" s="234" t="str">
        <f t="shared" si="0"/>
        <v/>
      </c>
      <c r="N28" s="235" t="str">
        <f t="shared" si="1"/>
        <v>10312231製品マスタCPで取り扱いがある（品目登録済）加工品受注</v>
      </c>
      <c r="O28" s="230" t="s">
        <v>139</v>
      </c>
    </row>
    <row r="29" spans="1:15" ht="19.5" hidden="1">
      <c r="A29" s="244">
        <v>10</v>
      </c>
      <c r="B29" s="245" t="s">
        <v>140</v>
      </c>
      <c r="C29" s="246">
        <v>31</v>
      </c>
      <c r="D29" s="247" t="s">
        <v>97</v>
      </c>
      <c r="E29" s="260">
        <v>2</v>
      </c>
      <c r="F29" s="261" t="s">
        <v>138</v>
      </c>
      <c r="G29" s="249">
        <v>231</v>
      </c>
      <c r="H29" s="261" t="s">
        <v>97</v>
      </c>
      <c r="I29" s="249" t="s">
        <v>84</v>
      </c>
      <c r="J29" s="249" t="s">
        <v>58</v>
      </c>
      <c r="K29" s="250" t="s">
        <v>85</v>
      </c>
      <c r="L29" s="233"/>
      <c r="M29" s="234" t="str">
        <f t="shared" si="0"/>
        <v/>
      </c>
      <c r="N29" s="235" t="str">
        <f t="shared" si="1"/>
        <v>10312231製品マスタCPで取り扱いがある（品目登録済）加工品受注</v>
      </c>
      <c r="O29" s="230" t="s">
        <v>139</v>
      </c>
    </row>
    <row r="30" spans="1:15" ht="19.5" hidden="1">
      <c r="A30" s="244">
        <v>10</v>
      </c>
      <c r="B30" s="245" t="s">
        <v>140</v>
      </c>
      <c r="C30" s="246">
        <v>31</v>
      </c>
      <c r="D30" s="247" t="s">
        <v>97</v>
      </c>
      <c r="E30" s="260">
        <v>2</v>
      </c>
      <c r="F30" s="261" t="s">
        <v>138</v>
      </c>
      <c r="G30" s="249">
        <v>231</v>
      </c>
      <c r="H30" s="261" t="s">
        <v>97</v>
      </c>
      <c r="I30" s="249" t="s">
        <v>84</v>
      </c>
      <c r="J30" s="249" t="s">
        <v>58</v>
      </c>
      <c r="K30" s="250" t="s">
        <v>85</v>
      </c>
      <c r="L30" s="233"/>
      <c r="M30" s="234" t="str">
        <f t="shared" si="0"/>
        <v/>
      </c>
      <c r="N30" s="235" t="str">
        <f t="shared" si="1"/>
        <v>10312231製品マスタCPで取り扱いがある（品目登録済）加工品受注</v>
      </c>
      <c r="O30" s="230" t="s">
        <v>56</v>
      </c>
    </row>
    <row r="31" spans="1:15" ht="19.5" hidden="1">
      <c r="A31" s="244">
        <v>10</v>
      </c>
      <c r="B31" s="245" t="s">
        <v>140</v>
      </c>
      <c r="C31" s="246">
        <v>31</v>
      </c>
      <c r="D31" s="247" t="s">
        <v>97</v>
      </c>
      <c r="E31" s="260">
        <v>2</v>
      </c>
      <c r="F31" s="261" t="s">
        <v>138</v>
      </c>
      <c r="G31" s="249">
        <v>231</v>
      </c>
      <c r="H31" s="261" t="s">
        <v>97</v>
      </c>
      <c r="I31" s="249" t="s">
        <v>84</v>
      </c>
      <c r="J31" s="249" t="s">
        <v>58</v>
      </c>
      <c r="K31" s="250" t="s">
        <v>85</v>
      </c>
      <c r="L31" s="233"/>
      <c r="M31" s="234" t="str">
        <f t="shared" si="0"/>
        <v/>
      </c>
      <c r="N31" s="235" t="str">
        <f t="shared" si="1"/>
        <v>10312231製品マスタCPで取り扱いがある（品目登録済）加工品受注</v>
      </c>
      <c r="O31" s="230" t="s">
        <v>56</v>
      </c>
    </row>
    <row r="32" spans="1:15" ht="19.5" hidden="1">
      <c r="A32" s="244">
        <v>10</v>
      </c>
      <c r="B32" s="245" t="s">
        <v>140</v>
      </c>
      <c r="C32" s="246">
        <v>31</v>
      </c>
      <c r="D32" s="247" t="s">
        <v>97</v>
      </c>
      <c r="E32" s="260">
        <v>2</v>
      </c>
      <c r="F32" s="261" t="s">
        <v>138</v>
      </c>
      <c r="G32" s="249">
        <v>231</v>
      </c>
      <c r="H32" s="261" t="s">
        <v>97</v>
      </c>
      <c r="I32" s="249" t="s">
        <v>84</v>
      </c>
      <c r="J32" s="249" t="s">
        <v>58</v>
      </c>
      <c r="K32" s="250" t="s">
        <v>85</v>
      </c>
      <c r="L32" s="233"/>
      <c r="M32" s="234" t="str">
        <f t="shared" si="0"/>
        <v/>
      </c>
      <c r="N32" s="235" t="str">
        <f t="shared" si="1"/>
        <v>10312231製品マスタCPで取り扱いがある（品目登録済）加工品受注</v>
      </c>
      <c r="O32" s="230" t="s">
        <v>80</v>
      </c>
    </row>
    <row r="33" spans="1:15" ht="20.25" thickBot="1">
      <c r="A33" s="251">
        <v>10</v>
      </c>
      <c r="B33" s="252" t="s">
        <v>140</v>
      </c>
      <c r="C33" s="253">
        <v>32</v>
      </c>
      <c r="D33" s="254" t="s">
        <v>99</v>
      </c>
      <c r="E33" s="258">
        <v>2</v>
      </c>
      <c r="F33" s="259" t="s">
        <v>138</v>
      </c>
      <c r="G33" s="256">
        <v>232</v>
      </c>
      <c r="H33" s="259" t="s">
        <v>141</v>
      </c>
      <c r="I33" s="256" t="s">
        <v>84</v>
      </c>
      <c r="J33" s="256" t="s">
        <v>58</v>
      </c>
      <c r="K33" s="257" t="s">
        <v>85</v>
      </c>
      <c r="M33" s="232" t="str">
        <f t="shared" si="0"/>
        <v>1</v>
      </c>
      <c r="N33" s="228" t="str">
        <f t="shared" si="1"/>
        <v>10322232製品マスタCPで取り扱いがある（品目登録済）加工品受注</v>
      </c>
      <c r="O33" s="227" t="s">
        <v>139</v>
      </c>
    </row>
    <row r="34" spans="1:15" ht="20.25" hidden="1" thickBot="1">
      <c r="A34" s="244">
        <v>10</v>
      </c>
      <c r="B34" s="245" t="s">
        <v>140</v>
      </c>
      <c r="C34" s="246">
        <v>32</v>
      </c>
      <c r="D34" s="247" t="s">
        <v>99</v>
      </c>
      <c r="E34" s="260">
        <v>2</v>
      </c>
      <c r="F34" s="261" t="s">
        <v>138</v>
      </c>
      <c r="G34" s="249">
        <v>232</v>
      </c>
      <c r="H34" s="261" t="s">
        <v>141</v>
      </c>
      <c r="I34" s="249" t="s">
        <v>84</v>
      </c>
      <c r="J34" s="249" t="s">
        <v>58</v>
      </c>
      <c r="K34" s="250" t="s">
        <v>85</v>
      </c>
      <c r="L34" s="233"/>
      <c r="M34" s="234" t="str">
        <f t="shared" si="0"/>
        <v/>
      </c>
      <c r="N34" s="235" t="str">
        <f t="shared" si="1"/>
        <v>10322232製品マスタCPで取り扱いがある（品目登録済）加工品受注</v>
      </c>
      <c r="O34" s="230" t="s">
        <v>139</v>
      </c>
    </row>
    <row r="35" spans="1:15" ht="20.25" hidden="1" thickBot="1">
      <c r="A35" s="244">
        <v>10</v>
      </c>
      <c r="B35" s="245" t="s">
        <v>140</v>
      </c>
      <c r="C35" s="246">
        <v>32</v>
      </c>
      <c r="D35" s="247" t="s">
        <v>99</v>
      </c>
      <c r="E35" s="260">
        <v>2</v>
      </c>
      <c r="F35" s="261" t="s">
        <v>138</v>
      </c>
      <c r="G35" s="249">
        <v>232</v>
      </c>
      <c r="H35" s="261" t="s">
        <v>141</v>
      </c>
      <c r="I35" s="249" t="s">
        <v>84</v>
      </c>
      <c r="J35" s="249" t="s">
        <v>58</v>
      </c>
      <c r="K35" s="250" t="s">
        <v>85</v>
      </c>
      <c r="L35" s="233"/>
      <c r="M35" s="234" t="str">
        <f t="shared" ref="M35:M66" si="2">IF(N35&lt;&gt;N34, "1","")</f>
        <v/>
      </c>
      <c r="N35" s="235" t="str">
        <f t="shared" ref="N35:N66" si="3">A35&amp;C35&amp;E35&amp;G35&amp;I35&amp;J35&amp;K35</f>
        <v>10322232製品マスタCPで取り扱いがある（品目登録済）加工品受注</v>
      </c>
      <c r="O35" s="230" t="s">
        <v>139</v>
      </c>
    </row>
    <row r="36" spans="1:15" ht="20.25" hidden="1" thickBot="1">
      <c r="A36" s="244">
        <v>10</v>
      </c>
      <c r="B36" s="245" t="s">
        <v>140</v>
      </c>
      <c r="C36" s="246">
        <v>32</v>
      </c>
      <c r="D36" s="247" t="s">
        <v>99</v>
      </c>
      <c r="E36" s="260">
        <v>2</v>
      </c>
      <c r="F36" s="261" t="s">
        <v>138</v>
      </c>
      <c r="G36" s="249">
        <v>232</v>
      </c>
      <c r="H36" s="261" t="s">
        <v>141</v>
      </c>
      <c r="I36" s="249" t="s">
        <v>84</v>
      </c>
      <c r="J36" s="249" t="s">
        <v>58</v>
      </c>
      <c r="K36" s="250" t="s">
        <v>85</v>
      </c>
      <c r="L36" s="233"/>
      <c r="M36" s="234" t="str">
        <f t="shared" si="2"/>
        <v/>
      </c>
      <c r="N36" s="235" t="str">
        <f t="shared" si="3"/>
        <v>10322232製品マスタCPで取り扱いがある（品目登録済）加工品受注</v>
      </c>
      <c r="O36" s="230" t="s">
        <v>56</v>
      </c>
    </row>
    <row r="37" spans="1:15" ht="20.25" hidden="1" thickBot="1">
      <c r="A37" s="244">
        <v>10</v>
      </c>
      <c r="B37" s="245" t="s">
        <v>140</v>
      </c>
      <c r="C37" s="246">
        <v>32</v>
      </c>
      <c r="D37" s="247" t="s">
        <v>99</v>
      </c>
      <c r="E37" s="260">
        <v>2</v>
      </c>
      <c r="F37" s="261" t="s">
        <v>138</v>
      </c>
      <c r="G37" s="249">
        <v>232</v>
      </c>
      <c r="H37" s="261" t="s">
        <v>141</v>
      </c>
      <c r="I37" s="249" t="s">
        <v>84</v>
      </c>
      <c r="J37" s="249" t="s">
        <v>58</v>
      </c>
      <c r="K37" s="250" t="s">
        <v>85</v>
      </c>
      <c r="L37" s="233"/>
      <c r="M37" s="234" t="str">
        <f t="shared" si="2"/>
        <v/>
      </c>
      <c r="N37" s="235" t="str">
        <f t="shared" si="3"/>
        <v>10322232製品マスタCPで取り扱いがある（品目登録済）加工品受注</v>
      </c>
      <c r="O37" s="230" t="s">
        <v>56</v>
      </c>
    </row>
    <row r="38" spans="1:15" ht="20.25" hidden="1" thickBot="1">
      <c r="A38" s="299">
        <v>10</v>
      </c>
      <c r="B38" s="306" t="s">
        <v>140</v>
      </c>
      <c r="C38" s="301">
        <v>32</v>
      </c>
      <c r="D38" s="302" t="s">
        <v>99</v>
      </c>
      <c r="E38" s="303">
        <v>2</v>
      </c>
      <c r="F38" s="304" t="s">
        <v>138</v>
      </c>
      <c r="G38" s="305">
        <v>232</v>
      </c>
      <c r="H38" s="304" t="s">
        <v>141</v>
      </c>
      <c r="I38" s="305" t="s">
        <v>84</v>
      </c>
      <c r="J38" s="305" t="s">
        <v>58</v>
      </c>
      <c r="K38" s="307" t="s">
        <v>85</v>
      </c>
      <c r="L38" s="233"/>
      <c r="M38" s="234" t="str">
        <f t="shared" si="2"/>
        <v/>
      </c>
      <c r="N38" s="235" t="str">
        <f t="shared" si="3"/>
        <v>10322232製品マスタCPで取り扱いがある（品目登録済）加工品受注</v>
      </c>
      <c r="O38" s="230" t="s">
        <v>80</v>
      </c>
    </row>
    <row r="39" spans="1:15" ht="19.5">
      <c r="A39" s="308">
        <v>11</v>
      </c>
      <c r="B39" s="309" t="s">
        <v>343</v>
      </c>
      <c r="C39" s="310">
        <v>12</v>
      </c>
      <c r="D39" s="311" t="s">
        <v>82</v>
      </c>
      <c r="E39" s="312">
        <v>1</v>
      </c>
      <c r="F39" s="313" t="s">
        <v>54</v>
      </c>
      <c r="G39" s="313">
        <v>112</v>
      </c>
      <c r="H39" s="313" t="s">
        <v>352</v>
      </c>
      <c r="I39" s="313" t="s">
        <v>84</v>
      </c>
      <c r="J39" s="313" t="s">
        <v>58</v>
      </c>
      <c r="K39" s="314" t="s">
        <v>85</v>
      </c>
      <c r="M39" s="232" t="str">
        <f t="shared" si="2"/>
        <v>1</v>
      </c>
      <c r="N39" s="228" t="str">
        <f t="shared" si="3"/>
        <v>11121112製品マスタCPで取り扱いがある（品目登録済）加工品受注</v>
      </c>
      <c r="O39" s="78" t="s">
        <v>56</v>
      </c>
    </row>
    <row r="40" spans="1:15" ht="19.5" hidden="1">
      <c r="A40" s="244">
        <v>11</v>
      </c>
      <c r="B40" s="245" t="s">
        <v>343</v>
      </c>
      <c r="C40" s="269">
        <v>12</v>
      </c>
      <c r="D40" s="247" t="s">
        <v>82</v>
      </c>
      <c r="E40" s="248">
        <v>1</v>
      </c>
      <c r="F40" s="249" t="s">
        <v>54</v>
      </c>
      <c r="G40" s="249">
        <v>112</v>
      </c>
      <c r="H40" s="249" t="s">
        <v>352</v>
      </c>
      <c r="I40" s="249" t="s">
        <v>84</v>
      </c>
      <c r="J40" s="249" t="s">
        <v>58</v>
      </c>
      <c r="K40" s="250" t="s">
        <v>85</v>
      </c>
      <c r="L40" s="233"/>
      <c r="M40" s="234" t="str">
        <f t="shared" si="2"/>
        <v/>
      </c>
      <c r="N40" s="235" t="str">
        <f t="shared" si="3"/>
        <v>11121112製品マスタCPで取り扱いがある（品目登録済）加工品受注</v>
      </c>
      <c r="O40" s="230" t="s">
        <v>56</v>
      </c>
    </row>
    <row r="41" spans="1:15" ht="19.5" hidden="1">
      <c r="A41" s="244">
        <v>11</v>
      </c>
      <c r="B41" s="245" t="s">
        <v>343</v>
      </c>
      <c r="C41" s="246">
        <v>12</v>
      </c>
      <c r="D41" s="247" t="s">
        <v>82</v>
      </c>
      <c r="E41" s="248">
        <v>1</v>
      </c>
      <c r="F41" s="249" t="s">
        <v>54</v>
      </c>
      <c r="G41" s="249">
        <v>112</v>
      </c>
      <c r="H41" s="249" t="s">
        <v>83</v>
      </c>
      <c r="I41" s="249" t="s">
        <v>84</v>
      </c>
      <c r="J41" s="249" t="s">
        <v>58</v>
      </c>
      <c r="K41" s="250" t="s">
        <v>85</v>
      </c>
      <c r="L41" s="233"/>
      <c r="M41" s="234" t="str">
        <f t="shared" si="2"/>
        <v/>
      </c>
      <c r="N41" s="235" t="str">
        <f t="shared" si="3"/>
        <v>11121112製品マスタCPで取り扱いがある（品目登録済）加工品受注</v>
      </c>
      <c r="O41" s="230" t="s">
        <v>80</v>
      </c>
    </row>
    <row r="42" spans="1:15" ht="19.5">
      <c r="A42" s="262">
        <v>11</v>
      </c>
      <c r="B42" s="263" t="s">
        <v>343</v>
      </c>
      <c r="C42" s="264">
        <v>12</v>
      </c>
      <c r="D42" s="265" t="s">
        <v>82</v>
      </c>
      <c r="E42" s="266">
        <v>1</v>
      </c>
      <c r="F42" s="267" t="s">
        <v>54</v>
      </c>
      <c r="G42" s="267">
        <v>112</v>
      </c>
      <c r="H42" s="267" t="s">
        <v>352</v>
      </c>
      <c r="I42" s="270" t="s">
        <v>74</v>
      </c>
      <c r="J42" s="271" t="s">
        <v>75</v>
      </c>
      <c r="K42" s="272" t="s">
        <v>76</v>
      </c>
      <c r="M42" s="232" t="str">
        <f t="shared" si="2"/>
        <v>1</v>
      </c>
      <c r="N42" s="228" t="str">
        <f t="shared" si="3"/>
        <v>11121112品目マスタCPで取り扱いが無い（諸口品目）商品購買</v>
      </c>
      <c r="O42" s="79" t="s">
        <v>73</v>
      </c>
    </row>
    <row r="43" spans="1:15" ht="19.5" hidden="1">
      <c r="A43" s="244">
        <v>11</v>
      </c>
      <c r="B43" s="245" t="s">
        <v>343</v>
      </c>
      <c r="C43" s="269">
        <v>12</v>
      </c>
      <c r="D43" s="247" t="s">
        <v>82</v>
      </c>
      <c r="E43" s="248">
        <v>1</v>
      </c>
      <c r="F43" s="249" t="s">
        <v>54</v>
      </c>
      <c r="G43" s="249">
        <v>112</v>
      </c>
      <c r="H43" s="249" t="s">
        <v>352</v>
      </c>
      <c r="I43" s="273" t="s">
        <v>74</v>
      </c>
      <c r="J43" s="274" t="s">
        <v>75</v>
      </c>
      <c r="K43" s="275" t="s">
        <v>76</v>
      </c>
      <c r="L43" s="233"/>
      <c r="M43" s="234" t="str">
        <f t="shared" si="2"/>
        <v/>
      </c>
      <c r="N43" s="235" t="str">
        <f t="shared" si="3"/>
        <v>11121112品目マスタCPで取り扱いが無い（諸口品目）商品購買</v>
      </c>
      <c r="O43" s="230" t="s">
        <v>73</v>
      </c>
    </row>
    <row r="44" spans="1:15" ht="19.5">
      <c r="A44" s="262">
        <v>11</v>
      </c>
      <c r="B44" s="263" t="s">
        <v>81</v>
      </c>
      <c r="C44" s="276">
        <v>13</v>
      </c>
      <c r="D44" s="265" t="s">
        <v>87</v>
      </c>
      <c r="E44" s="266">
        <v>1</v>
      </c>
      <c r="F44" s="267" t="s">
        <v>54</v>
      </c>
      <c r="G44" s="267">
        <v>113</v>
      </c>
      <c r="H44" s="267" t="s">
        <v>88</v>
      </c>
      <c r="I44" s="267" t="s">
        <v>84</v>
      </c>
      <c r="J44" s="267" t="s">
        <v>58</v>
      </c>
      <c r="K44" s="268" t="s">
        <v>85</v>
      </c>
      <c r="M44" s="232" t="str">
        <f t="shared" si="2"/>
        <v>1</v>
      </c>
      <c r="N44" s="228" t="str">
        <f t="shared" si="3"/>
        <v>11131113製品マスタCPで取り扱いがある（品目登録済）加工品受注</v>
      </c>
      <c r="O44" s="78" t="s">
        <v>56</v>
      </c>
    </row>
    <row r="45" spans="1:15" ht="19.5" hidden="1">
      <c r="A45" s="244">
        <v>11</v>
      </c>
      <c r="B45" s="245" t="s">
        <v>81</v>
      </c>
      <c r="C45" s="246">
        <v>13</v>
      </c>
      <c r="D45" s="247" t="s">
        <v>87</v>
      </c>
      <c r="E45" s="248">
        <v>1</v>
      </c>
      <c r="F45" s="249" t="s">
        <v>54</v>
      </c>
      <c r="G45" s="249">
        <v>113</v>
      </c>
      <c r="H45" s="249" t="s">
        <v>88</v>
      </c>
      <c r="I45" s="249" t="s">
        <v>84</v>
      </c>
      <c r="J45" s="249" t="s">
        <v>58</v>
      </c>
      <c r="K45" s="250" t="s">
        <v>85</v>
      </c>
      <c r="L45" s="233"/>
      <c r="M45" s="234" t="str">
        <f t="shared" si="2"/>
        <v/>
      </c>
      <c r="N45" s="235" t="str">
        <f t="shared" si="3"/>
        <v>11131113製品マスタCPで取り扱いがある（品目登録済）加工品受注</v>
      </c>
      <c r="O45" s="230" t="s">
        <v>56</v>
      </c>
    </row>
    <row r="46" spans="1:15" ht="19.5" hidden="1">
      <c r="A46" s="244">
        <v>11</v>
      </c>
      <c r="B46" s="245" t="s">
        <v>81</v>
      </c>
      <c r="C46" s="246">
        <v>13</v>
      </c>
      <c r="D46" s="247" t="s">
        <v>87</v>
      </c>
      <c r="E46" s="248">
        <v>1</v>
      </c>
      <c r="F46" s="249" t="s">
        <v>54</v>
      </c>
      <c r="G46" s="249">
        <v>113</v>
      </c>
      <c r="H46" s="249" t="s">
        <v>88</v>
      </c>
      <c r="I46" s="249" t="s">
        <v>84</v>
      </c>
      <c r="J46" s="249" t="s">
        <v>58</v>
      </c>
      <c r="K46" s="250" t="s">
        <v>85</v>
      </c>
      <c r="L46" s="233"/>
      <c r="M46" s="234" t="str">
        <f t="shared" si="2"/>
        <v/>
      </c>
      <c r="N46" s="235" t="str">
        <f t="shared" si="3"/>
        <v>11131113製品マスタCPで取り扱いがある（品目登録済）加工品受注</v>
      </c>
      <c r="O46" s="230" t="s">
        <v>80</v>
      </c>
    </row>
    <row r="47" spans="1:15" ht="19.5">
      <c r="A47" s="262">
        <v>11</v>
      </c>
      <c r="B47" s="263" t="s">
        <v>81</v>
      </c>
      <c r="C47" s="276">
        <v>13</v>
      </c>
      <c r="D47" s="265" t="s">
        <v>87</v>
      </c>
      <c r="E47" s="266">
        <v>1</v>
      </c>
      <c r="F47" s="267" t="s">
        <v>54</v>
      </c>
      <c r="G47" s="267">
        <v>113</v>
      </c>
      <c r="H47" s="267" t="s">
        <v>88</v>
      </c>
      <c r="I47" s="270" t="s">
        <v>74</v>
      </c>
      <c r="J47" s="271" t="s">
        <v>75</v>
      </c>
      <c r="K47" s="272" t="s">
        <v>76</v>
      </c>
      <c r="M47" s="232" t="str">
        <f t="shared" si="2"/>
        <v>1</v>
      </c>
      <c r="N47" s="228" t="str">
        <f t="shared" si="3"/>
        <v>11131113品目マスタCPで取り扱いが無い（諸口品目）商品購買</v>
      </c>
      <c r="O47" s="79" t="s">
        <v>73</v>
      </c>
    </row>
    <row r="48" spans="1:15" ht="19.5" hidden="1">
      <c r="A48" s="244">
        <v>11</v>
      </c>
      <c r="B48" s="245" t="s">
        <v>81</v>
      </c>
      <c r="C48" s="246">
        <v>13</v>
      </c>
      <c r="D48" s="247" t="s">
        <v>87</v>
      </c>
      <c r="E48" s="248">
        <v>1</v>
      </c>
      <c r="F48" s="249" t="s">
        <v>54</v>
      </c>
      <c r="G48" s="249">
        <v>113</v>
      </c>
      <c r="H48" s="249" t="s">
        <v>88</v>
      </c>
      <c r="I48" s="273" t="s">
        <v>74</v>
      </c>
      <c r="J48" s="274" t="s">
        <v>75</v>
      </c>
      <c r="K48" s="275" t="s">
        <v>76</v>
      </c>
      <c r="L48" s="233"/>
      <c r="M48" s="234" t="str">
        <f t="shared" si="2"/>
        <v/>
      </c>
      <c r="N48" s="235" t="str">
        <f t="shared" si="3"/>
        <v>11131113品目マスタCPで取り扱いが無い（諸口品目）商品購買</v>
      </c>
      <c r="O48" s="230" t="s">
        <v>73</v>
      </c>
    </row>
    <row r="49" spans="1:15" ht="19.5">
      <c r="A49" s="262">
        <v>11</v>
      </c>
      <c r="B49" s="263" t="s">
        <v>81</v>
      </c>
      <c r="C49" s="264">
        <v>21</v>
      </c>
      <c r="D49" s="265" t="s">
        <v>90</v>
      </c>
      <c r="E49" s="266">
        <v>1</v>
      </c>
      <c r="F49" s="267" t="s">
        <v>54</v>
      </c>
      <c r="G49" s="267">
        <v>121</v>
      </c>
      <c r="H49" s="267" t="s">
        <v>91</v>
      </c>
      <c r="I49" s="267" t="s">
        <v>84</v>
      </c>
      <c r="J49" s="267" t="s">
        <v>58</v>
      </c>
      <c r="K49" s="268" t="s">
        <v>85</v>
      </c>
      <c r="M49" s="232" t="str">
        <f t="shared" si="2"/>
        <v>1</v>
      </c>
      <c r="N49" s="228" t="str">
        <f t="shared" si="3"/>
        <v>11211121製品マスタCPで取り扱いがある（品目登録済）加工品受注</v>
      </c>
      <c r="O49" s="78" t="s">
        <v>56</v>
      </c>
    </row>
    <row r="50" spans="1:15" ht="19.5" hidden="1">
      <c r="A50" s="244">
        <v>11</v>
      </c>
      <c r="B50" s="245" t="s">
        <v>81</v>
      </c>
      <c r="C50" s="269">
        <v>21</v>
      </c>
      <c r="D50" s="247" t="s">
        <v>90</v>
      </c>
      <c r="E50" s="248">
        <v>1</v>
      </c>
      <c r="F50" s="249" t="s">
        <v>54</v>
      </c>
      <c r="G50" s="249">
        <v>121</v>
      </c>
      <c r="H50" s="249" t="s">
        <v>91</v>
      </c>
      <c r="I50" s="249" t="s">
        <v>84</v>
      </c>
      <c r="J50" s="249" t="s">
        <v>58</v>
      </c>
      <c r="K50" s="250" t="s">
        <v>85</v>
      </c>
      <c r="L50" s="233"/>
      <c r="M50" s="234" t="str">
        <f t="shared" si="2"/>
        <v/>
      </c>
      <c r="N50" s="235" t="str">
        <f t="shared" si="3"/>
        <v>11211121製品マスタCPで取り扱いがある（品目登録済）加工品受注</v>
      </c>
      <c r="O50" s="230" t="s">
        <v>56</v>
      </c>
    </row>
    <row r="51" spans="1:15" ht="19.5" hidden="1">
      <c r="A51" s="244">
        <v>11</v>
      </c>
      <c r="B51" s="245" t="s">
        <v>81</v>
      </c>
      <c r="C51" s="269">
        <v>21</v>
      </c>
      <c r="D51" s="247" t="s">
        <v>90</v>
      </c>
      <c r="E51" s="248">
        <v>1</v>
      </c>
      <c r="F51" s="249" t="s">
        <v>54</v>
      </c>
      <c r="G51" s="249">
        <v>121</v>
      </c>
      <c r="H51" s="249" t="s">
        <v>91</v>
      </c>
      <c r="I51" s="249" t="s">
        <v>84</v>
      </c>
      <c r="J51" s="249" t="s">
        <v>58</v>
      </c>
      <c r="K51" s="250" t="s">
        <v>85</v>
      </c>
      <c r="L51" s="233"/>
      <c r="M51" s="234" t="str">
        <f t="shared" si="2"/>
        <v/>
      </c>
      <c r="N51" s="235" t="str">
        <f t="shared" si="3"/>
        <v>11211121製品マスタCPで取り扱いがある（品目登録済）加工品受注</v>
      </c>
      <c r="O51" s="230" t="s">
        <v>80</v>
      </c>
    </row>
    <row r="52" spans="1:15" ht="19.5">
      <c r="A52" s="262">
        <v>11</v>
      </c>
      <c r="B52" s="263" t="s">
        <v>81</v>
      </c>
      <c r="C52" s="264">
        <v>21</v>
      </c>
      <c r="D52" s="265" t="s">
        <v>294</v>
      </c>
      <c r="E52" s="266">
        <v>1</v>
      </c>
      <c r="F52" s="267" t="s">
        <v>54</v>
      </c>
      <c r="G52" s="267">
        <v>121</v>
      </c>
      <c r="H52" s="267" t="s">
        <v>91</v>
      </c>
      <c r="I52" s="270" t="s">
        <v>74</v>
      </c>
      <c r="J52" s="271" t="s">
        <v>75</v>
      </c>
      <c r="K52" s="272" t="s">
        <v>76</v>
      </c>
      <c r="M52" s="232" t="str">
        <f t="shared" si="2"/>
        <v>1</v>
      </c>
      <c r="N52" s="228" t="str">
        <f t="shared" si="3"/>
        <v>11211121品目マスタCPで取り扱いが無い（諸口品目）商品購買</v>
      </c>
      <c r="O52" s="79" t="s">
        <v>73</v>
      </c>
    </row>
    <row r="53" spans="1:15" ht="19.5" hidden="1">
      <c r="A53" s="244">
        <v>11</v>
      </c>
      <c r="B53" s="245" t="s">
        <v>81</v>
      </c>
      <c r="C53" s="269">
        <v>21</v>
      </c>
      <c r="D53" s="247" t="s">
        <v>90</v>
      </c>
      <c r="E53" s="248">
        <v>1</v>
      </c>
      <c r="F53" s="249" t="s">
        <v>54</v>
      </c>
      <c r="G53" s="249">
        <v>121</v>
      </c>
      <c r="H53" s="249" t="s">
        <v>91</v>
      </c>
      <c r="I53" s="273" t="s">
        <v>74</v>
      </c>
      <c r="J53" s="274" t="s">
        <v>75</v>
      </c>
      <c r="K53" s="275" t="s">
        <v>76</v>
      </c>
      <c r="L53" s="233"/>
      <c r="M53" s="234" t="str">
        <f t="shared" si="2"/>
        <v/>
      </c>
      <c r="N53" s="235" t="str">
        <f t="shared" si="3"/>
        <v>11211121品目マスタCPで取り扱いが無い（諸口品目）商品購買</v>
      </c>
      <c r="O53" s="230" t="s">
        <v>73</v>
      </c>
    </row>
    <row r="54" spans="1:15" ht="19.5">
      <c r="A54" s="262">
        <v>11</v>
      </c>
      <c r="B54" s="263" t="s">
        <v>81</v>
      </c>
      <c r="C54" s="276">
        <v>23</v>
      </c>
      <c r="D54" s="265" t="s">
        <v>95</v>
      </c>
      <c r="E54" s="266">
        <v>1</v>
      </c>
      <c r="F54" s="267" t="s">
        <v>54</v>
      </c>
      <c r="G54" s="267">
        <v>123</v>
      </c>
      <c r="H54" s="267" t="s">
        <v>96</v>
      </c>
      <c r="I54" s="267" t="s">
        <v>84</v>
      </c>
      <c r="J54" s="267" t="s">
        <v>58</v>
      </c>
      <c r="K54" s="268" t="s">
        <v>85</v>
      </c>
      <c r="M54" s="232" t="str">
        <f t="shared" si="2"/>
        <v>1</v>
      </c>
      <c r="N54" s="228" t="str">
        <f t="shared" si="3"/>
        <v>11231123製品マスタCPで取り扱いがある（品目登録済）加工品受注</v>
      </c>
      <c r="O54" s="78" t="s">
        <v>56</v>
      </c>
    </row>
    <row r="55" spans="1:15" ht="19.5" hidden="1">
      <c r="A55" s="244">
        <v>11</v>
      </c>
      <c r="B55" s="245" t="s">
        <v>81</v>
      </c>
      <c r="C55" s="246">
        <v>23</v>
      </c>
      <c r="D55" s="247" t="s">
        <v>95</v>
      </c>
      <c r="E55" s="248">
        <v>1</v>
      </c>
      <c r="F55" s="249" t="s">
        <v>54</v>
      </c>
      <c r="G55" s="249">
        <v>123</v>
      </c>
      <c r="H55" s="249" t="s">
        <v>96</v>
      </c>
      <c r="I55" s="249" t="s">
        <v>84</v>
      </c>
      <c r="J55" s="249" t="s">
        <v>58</v>
      </c>
      <c r="K55" s="250" t="s">
        <v>85</v>
      </c>
      <c r="L55" s="233"/>
      <c r="M55" s="234" t="str">
        <f t="shared" si="2"/>
        <v/>
      </c>
      <c r="N55" s="235" t="str">
        <f t="shared" si="3"/>
        <v>11231123製品マスタCPで取り扱いがある（品目登録済）加工品受注</v>
      </c>
      <c r="O55" s="230" t="s">
        <v>56</v>
      </c>
    </row>
    <row r="56" spans="1:15" ht="19.5" hidden="1">
      <c r="A56" s="244">
        <v>11</v>
      </c>
      <c r="B56" s="245" t="s">
        <v>81</v>
      </c>
      <c r="C56" s="246">
        <v>23</v>
      </c>
      <c r="D56" s="247" t="s">
        <v>95</v>
      </c>
      <c r="E56" s="248">
        <v>1</v>
      </c>
      <c r="F56" s="249" t="s">
        <v>54</v>
      </c>
      <c r="G56" s="249">
        <v>123</v>
      </c>
      <c r="H56" s="249" t="s">
        <v>96</v>
      </c>
      <c r="I56" s="249" t="s">
        <v>84</v>
      </c>
      <c r="J56" s="249" t="s">
        <v>58</v>
      </c>
      <c r="K56" s="250" t="s">
        <v>85</v>
      </c>
      <c r="L56" s="233"/>
      <c r="M56" s="234" t="str">
        <f t="shared" si="2"/>
        <v/>
      </c>
      <c r="N56" s="235" t="str">
        <f t="shared" si="3"/>
        <v>11231123製品マスタCPで取り扱いがある（品目登録済）加工品受注</v>
      </c>
      <c r="O56" s="230" t="s">
        <v>80</v>
      </c>
    </row>
    <row r="57" spans="1:15" ht="19.5">
      <c r="A57" s="262">
        <v>11</v>
      </c>
      <c r="B57" s="263" t="s">
        <v>81</v>
      </c>
      <c r="C57" s="276">
        <v>23</v>
      </c>
      <c r="D57" s="265" t="s">
        <v>95</v>
      </c>
      <c r="E57" s="266">
        <v>1</v>
      </c>
      <c r="F57" s="267" t="s">
        <v>54</v>
      </c>
      <c r="G57" s="267">
        <v>123</v>
      </c>
      <c r="H57" s="267" t="s">
        <v>96</v>
      </c>
      <c r="I57" s="270" t="s">
        <v>74</v>
      </c>
      <c r="J57" s="271" t="s">
        <v>75</v>
      </c>
      <c r="K57" s="272" t="s">
        <v>76</v>
      </c>
      <c r="M57" s="232" t="str">
        <f t="shared" si="2"/>
        <v>1</v>
      </c>
      <c r="N57" s="228" t="str">
        <f t="shared" si="3"/>
        <v>11231123品目マスタCPで取り扱いが無い（諸口品目）商品購買</v>
      </c>
      <c r="O57" s="79" t="s">
        <v>73</v>
      </c>
    </row>
    <row r="58" spans="1:15" ht="19.5" hidden="1">
      <c r="A58" s="244">
        <v>11</v>
      </c>
      <c r="B58" s="245" t="s">
        <v>81</v>
      </c>
      <c r="C58" s="246">
        <v>23</v>
      </c>
      <c r="D58" s="247" t="s">
        <v>95</v>
      </c>
      <c r="E58" s="248">
        <v>1</v>
      </c>
      <c r="F58" s="249" t="s">
        <v>54</v>
      </c>
      <c r="G58" s="249">
        <v>123</v>
      </c>
      <c r="H58" s="249" t="s">
        <v>96</v>
      </c>
      <c r="I58" s="273" t="s">
        <v>74</v>
      </c>
      <c r="J58" s="274" t="s">
        <v>75</v>
      </c>
      <c r="K58" s="275" t="s">
        <v>76</v>
      </c>
      <c r="L58" s="233"/>
      <c r="M58" s="234" t="str">
        <f t="shared" si="2"/>
        <v/>
      </c>
      <c r="N58" s="235" t="str">
        <f t="shared" si="3"/>
        <v>11231123品目マスタCPで取り扱いが無い（諸口品目）商品購買</v>
      </c>
      <c r="O58" s="230" t="s">
        <v>73</v>
      </c>
    </row>
    <row r="59" spans="1:15" ht="19.5">
      <c r="A59" s="262">
        <v>11</v>
      </c>
      <c r="B59" s="263" t="s">
        <v>81</v>
      </c>
      <c r="C59" s="276">
        <v>31</v>
      </c>
      <c r="D59" s="265" t="s">
        <v>97</v>
      </c>
      <c r="E59" s="266">
        <v>1</v>
      </c>
      <c r="F59" s="267" t="s">
        <v>54</v>
      </c>
      <c r="G59" s="267">
        <v>131</v>
      </c>
      <c r="H59" s="267" t="s">
        <v>98</v>
      </c>
      <c r="I59" s="267" t="s">
        <v>84</v>
      </c>
      <c r="J59" s="267" t="s">
        <v>58</v>
      </c>
      <c r="K59" s="268" t="s">
        <v>85</v>
      </c>
      <c r="M59" s="232" t="str">
        <f t="shared" si="2"/>
        <v>1</v>
      </c>
      <c r="N59" s="228" t="str">
        <f t="shared" si="3"/>
        <v>11311131製品マスタCPで取り扱いがある（品目登録済）加工品受注</v>
      </c>
      <c r="O59" s="78" t="s">
        <v>56</v>
      </c>
    </row>
    <row r="60" spans="1:15" ht="19.5" hidden="1">
      <c r="A60" s="244">
        <v>11</v>
      </c>
      <c r="B60" s="245" t="s">
        <v>81</v>
      </c>
      <c r="C60" s="246">
        <v>31</v>
      </c>
      <c r="D60" s="247" t="s">
        <v>97</v>
      </c>
      <c r="E60" s="248">
        <v>1</v>
      </c>
      <c r="F60" s="249" t="s">
        <v>54</v>
      </c>
      <c r="G60" s="249">
        <v>131</v>
      </c>
      <c r="H60" s="249" t="s">
        <v>98</v>
      </c>
      <c r="I60" s="249" t="s">
        <v>84</v>
      </c>
      <c r="J60" s="249" t="s">
        <v>58</v>
      </c>
      <c r="K60" s="250" t="s">
        <v>85</v>
      </c>
      <c r="L60" s="233"/>
      <c r="M60" s="234" t="str">
        <f t="shared" si="2"/>
        <v/>
      </c>
      <c r="N60" s="235" t="str">
        <f t="shared" si="3"/>
        <v>11311131製品マスタCPで取り扱いがある（品目登録済）加工品受注</v>
      </c>
      <c r="O60" s="230" t="s">
        <v>56</v>
      </c>
    </row>
    <row r="61" spans="1:15" ht="19.5" hidden="1">
      <c r="A61" s="244">
        <v>11</v>
      </c>
      <c r="B61" s="245" t="s">
        <v>81</v>
      </c>
      <c r="C61" s="246">
        <v>31</v>
      </c>
      <c r="D61" s="247" t="s">
        <v>97</v>
      </c>
      <c r="E61" s="248">
        <v>1</v>
      </c>
      <c r="F61" s="249" t="s">
        <v>54</v>
      </c>
      <c r="G61" s="249">
        <v>131</v>
      </c>
      <c r="H61" s="249" t="s">
        <v>98</v>
      </c>
      <c r="I61" s="249" t="s">
        <v>84</v>
      </c>
      <c r="J61" s="249" t="s">
        <v>58</v>
      </c>
      <c r="K61" s="250" t="s">
        <v>85</v>
      </c>
      <c r="L61" s="233"/>
      <c r="M61" s="234" t="str">
        <f t="shared" si="2"/>
        <v/>
      </c>
      <c r="N61" s="235" t="str">
        <f t="shared" si="3"/>
        <v>11311131製品マスタCPで取り扱いがある（品目登録済）加工品受注</v>
      </c>
      <c r="O61" s="230" t="s">
        <v>80</v>
      </c>
    </row>
    <row r="62" spans="1:15" ht="19.5">
      <c r="A62" s="262">
        <v>11</v>
      </c>
      <c r="B62" s="263" t="s">
        <v>81</v>
      </c>
      <c r="C62" s="276">
        <v>31</v>
      </c>
      <c r="D62" s="265" t="s">
        <v>97</v>
      </c>
      <c r="E62" s="266">
        <v>1</v>
      </c>
      <c r="F62" s="267" t="s">
        <v>54</v>
      </c>
      <c r="G62" s="267">
        <v>131</v>
      </c>
      <c r="H62" s="267" t="s">
        <v>98</v>
      </c>
      <c r="I62" s="270" t="s">
        <v>74</v>
      </c>
      <c r="J62" s="271" t="s">
        <v>75</v>
      </c>
      <c r="K62" s="272" t="s">
        <v>76</v>
      </c>
      <c r="M62" s="232" t="str">
        <f t="shared" si="2"/>
        <v>1</v>
      </c>
      <c r="N62" s="228" t="str">
        <f t="shared" si="3"/>
        <v>11311131品目マスタCPで取り扱いが無い（諸口品目）商品購買</v>
      </c>
      <c r="O62" s="79" t="s">
        <v>73</v>
      </c>
    </row>
    <row r="63" spans="1:15" ht="19.5" hidden="1">
      <c r="A63" s="244">
        <v>11</v>
      </c>
      <c r="B63" s="245" t="s">
        <v>81</v>
      </c>
      <c r="C63" s="246">
        <v>31</v>
      </c>
      <c r="D63" s="247" t="s">
        <v>97</v>
      </c>
      <c r="E63" s="248">
        <v>1</v>
      </c>
      <c r="F63" s="249" t="s">
        <v>54</v>
      </c>
      <c r="G63" s="249">
        <v>131</v>
      </c>
      <c r="H63" s="249" t="s">
        <v>98</v>
      </c>
      <c r="I63" s="273" t="s">
        <v>74</v>
      </c>
      <c r="J63" s="274" t="s">
        <v>75</v>
      </c>
      <c r="K63" s="275" t="s">
        <v>76</v>
      </c>
      <c r="L63" s="233"/>
      <c r="M63" s="234" t="str">
        <f t="shared" si="2"/>
        <v/>
      </c>
      <c r="N63" s="235" t="str">
        <f t="shared" si="3"/>
        <v>11311131品目マスタCPで取り扱いが無い（諸口品目）商品購買</v>
      </c>
      <c r="O63" s="230" t="s">
        <v>73</v>
      </c>
    </row>
    <row r="64" spans="1:15" ht="19.5">
      <c r="A64" s="262">
        <v>11</v>
      </c>
      <c r="B64" s="263" t="s">
        <v>81</v>
      </c>
      <c r="C64" s="276">
        <v>32</v>
      </c>
      <c r="D64" s="265" t="s">
        <v>99</v>
      </c>
      <c r="E64" s="266">
        <v>1</v>
      </c>
      <c r="F64" s="267" t="s">
        <v>54</v>
      </c>
      <c r="G64" s="267">
        <v>132</v>
      </c>
      <c r="H64" s="267" t="s">
        <v>100</v>
      </c>
      <c r="I64" s="267" t="s">
        <v>84</v>
      </c>
      <c r="J64" s="267" t="s">
        <v>58</v>
      </c>
      <c r="K64" s="268" t="s">
        <v>85</v>
      </c>
      <c r="M64" s="232" t="str">
        <f t="shared" si="2"/>
        <v>1</v>
      </c>
      <c r="N64" s="228" t="str">
        <f t="shared" si="3"/>
        <v>11321132製品マスタCPで取り扱いがある（品目登録済）加工品受注</v>
      </c>
      <c r="O64" s="78" t="s">
        <v>56</v>
      </c>
    </row>
    <row r="65" spans="1:15" ht="19.5" hidden="1">
      <c r="A65" s="244">
        <v>11</v>
      </c>
      <c r="B65" s="245" t="s">
        <v>81</v>
      </c>
      <c r="C65" s="246">
        <v>32</v>
      </c>
      <c r="D65" s="247" t="s">
        <v>99</v>
      </c>
      <c r="E65" s="248">
        <v>1</v>
      </c>
      <c r="F65" s="249" t="s">
        <v>54</v>
      </c>
      <c r="G65" s="249">
        <v>132</v>
      </c>
      <c r="H65" s="249" t="s">
        <v>100</v>
      </c>
      <c r="I65" s="249" t="s">
        <v>84</v>
      </c>
      <c r="J65" s="249" t="s">
        <v>58</v>
      </c>
      <c r="K65" s="250" t="s">
        <v>85</v>
      </c>
      <c r="L65" s="233"/>
      <c r="M65" s="234" t="str">
        <f t="shared" si="2"/>
        <v/>
      </c>
      <c r="N65" s="235" t="str">
        <f t="shared" si="3"/>
        <v>11321132製品マスタCPで取り扱いがある（品目登録済）加工品受注</v>
      </c>
      <c r="O65" s="230" t="s">
        <v>56</v>
      </c>
    </row>
    <row r="66" spans="1:15" ht="19.5" hidden="1">
      <c r="A66" s="244">
        <v>11</v>
      </c>
      <c r="B66" s="245" t="s">
        <v>81</v>
      </c>
      <c r="C66" s="246">
        <v>32</v>
      </c>
      <c r="D66" s="247" t="s">
        <v>99</v>
      </c>
      <c r="E66" s="248">
        <v>1</v>
      </c>
      <c r="F66" s="249" t="s">
        <v>54</v>
      </c>
      <c r="G66" s="249">
        <v>132</v>
      </c>
      <c r="H66" s="249" t="s">
        <v>100</v>
      </c>
      <c r="I66" s="249" t="s">
        <v>84</v>
      </c>
      <c r="J66" s="249" t="s">
        <v>58</v>
      </c>
      <c r="K66" s="250" t="s">
        <v>85</v>
      </c>
      <c r="L66" s="233"/>
      <c r="M66" s="234" t="str">
        <f t="shared" si="2"/>
        <v/>
      </c>
      <c r="N66" s="235" t="str">
        <f t="shared" si="3"/>
        <v>11321132製品マスタCPで取り扱いがある（品目登録済）加工品受注</v>
      </c>
      <c r="O66" s="230" t="s">
        <v>80</v>
      </c>
    </row>
    <row r="67" spans="1:15" ht="20.25" thickBot="1">
      <c r="A67" s="262">
        <v>11</v>
      </c>
      <c r="B67" s="263" t="s">
        <v>81</v>
      </c>
      <c r="C67" s="276">
        <v>32</v>
      </c>
      <c r="D67" s="265" t="s">
        <v>99</v>
      </c>
      <c r="E67" s="266">
        <v>1</v>
      </c>
      <c r="F67" s="267" t="s">
        <v>54</v>
      </c>
      <c r="G67" s="267">
        <v>132</v>
      </c>
      <c r="H67" s="267" t="s">
        <v>100</v>
      </c>
      <c r="I67" s="270" t="s">
        <v>74</v>
      </c>
      <c r="J67" s="271" t="s">
        <v>75</v>
      </c>
      <c r="K67" s="272" t="s">
        <v>76</v>
      </c>
      <c r="M67" s="232" t="str">
        <f t="shared" ref="M67:M98" si="4">IF(N67&lt;&gt;N66, "1","")</f>
        <v>1</v>
      </c>
      <c r="N67" s="228" t="str">
        <f t="shared" ref="N67:N98" si="5">A67&amp;C67&amp;E67&amp;G67&amp;I67&amp;J67&amp;K67</f>
        <v>11321132品目マスタCPで取り扱いが無い（諸口品目）商品購買</v>
      </c>
      <c r="O67" s="79" t="s">
        <v>73</v>
      </c>
    </row>
    <row r="68" spans="1:15" ht="20.25" hidden="1" thickBot="1">
      <c r="A68" s="299">
        <v>11</v>
      </c>
      <c r="B68" s="306" t="s">
        <v>81</v>
      </c>
      <c r="C68" s="301">
        <v>32</v>
      </c>
      <c r="D68" s="302" t="s">
        <v>99</v>
      </c>
      <c r="E68" s="320">
        <v>1</v>
      </c>
      <c r="F68" s="305" t="s">
        <v>54</v>
      </c>
      <c r="G68" s="305">
        <v>132</v>
      </c>
      <c r="H68" s="305" t="s">
        <v>100</v>
      </c>
      <c r="I68" s="321" t="s">
        <v>74</v>
      </c>
      <c r="J68" s="300" t="s">
        <v>75</v>
      </c>
      <c r="K68" s="322" t="s">
        <v>76</v>
      </c>
      <c r="L68" s="233"/>
      <c r="M68" s="234" t="str">
        <f t="shared" si="4"/>
        <v/>
      </c>
      <c r="N68" s="235" t="str">
        <f t="shared" si="5"/>
        <v>11321132品目マスタCPで取り扱いが無い（諸口品目）商品購買</v>
      </c>
      <c r="O68" s="230" t="s">
        <v>73</v>
      </c>
    </row>
    <row r="69" spans="1:15" ht="19.5">
      <c r="A69" s="237">
        <v>20</v>
      </c>
      <c r="B69" s="238" t="s">
        <v>137</v>
      </c>
      <c r="C69" s="239">
        <v>11</v>
      </c>
      <c r="D69" s="240" t="s">
        <v>53</v>
      </c>
      <c r="E69" s="241">
        <v>2</v>
      </c>
      <c r="F69" s="242" t="s">
        <v>138</v>
      </c>
      <c r="G69" s="242">
        <v>211</v>
      </c>
      <c r="H69" s="242" t="s">
        <v>53</v>
      </c>
      <c r="I69" s="315" t="s">
        <v>57</v>
      </c>
      <c r="J69" s="242" t="s">
        <v>58</v>
      </c>
      <c r="K69" s="243" t="s">
        <v>59</v>
      </c>
      <c r="M69" s="232" t="str">
        <f t="shared" si="4"/>
        <v>1</v>
      </c>
      <c r="N69" s="228" t="str">
        <f t="shared" si="5"/>
        <v>20112211WEB受注CPで取り扱いがある（品目登録済）シート受注</v>
      </c>
      <c r="O69" s="227" t="s">
        <v>139</v>
      </c>
    </row>
    <row r="70" spans="1:15" ht="19.5" hidden="1">
      <c r="A70" s="244">
        <v>20</v>
      </c>
      <c r="B70" s="245" t="s">
        <v>137</v>
      </c>
      <c r="C70" s="246">
        <v>11</v>
      </c>
      <c r="D70" s="247" t="s">
        <v>53</v>
      </c>
      <c r="E70" s="248">
        <v>2</v>
      </c>
      <c r="F70" s="249" t="s">
        <v>138</v>
      </c>
      <c r="G70" s="249">
        <v>211</v>
      </c>
      <c r="H70" s="249" t="s">
        <v>53</v>
      </c>
      <c r="I70" s="249" t="s">
        <v>57</v>
      </c>
      <c r="J70" s="249" t="s">
        <v>58</v>
      </c>
      <c r="K70" s="250" t="s">
        <v>59</v>
      </c>
      <c r="L70" s="233"/>
      <c r="M70" s="234" t="str">
        <f t="shared" si="4"/>
        <v/>
      </c>
      <c r="N70" s="235" t="str">
        <f t="shared" si="5"/>
        <v>20112211WEB受注CPで取り扱いがある（品目登録済）シート受注</v>
      </c>
      <c r="O70" s="230" t="s">
        <v>139</v>
      </c>
    </row>
    <row r="71" spans="1:15" ht="19.5" hidden="1">
      <c r="A71" s="244">
        <v>20</v>
      </c>
      <c r="B71" s="245" t="s">
        <v>137</v>
      </c>
      <c r="C71" s="246">
        <v>11</v>
      </c>
      <c r="D71" s="247" t="s">
        <v>53</v>
      </c>
      <c r="E71" s="248">
        <v>2</v>
      </c>
      <c r="F71" s="249" t="s">
        <v>138</v>
      </c>
      <c r="G71" s="249">
        <v>211</v>
      </c>
      <c r="H71" s="249" t="s">
        <v>53</v>
      </c>
      <c r="I71" s="249" t="s">
        <v>57</v>
      </c>
      <c r="J71" s="249" t="s">
        <v>58</v>
      </c>
      <c r="K71" s="250" t="s">
        <v>59</v>
      </c>
      <c r="L71" s="233"/>
      <c r="M71" s="234" t="str">
        <f t="shared" si="4"/>
        <v/>
      </c>
      <c r="N71" s="235" t="str">
        <f t="shared" si="5"/>
        <v>20112211WEB受注CPで取り扱いがある（品目登録済）シート受注</v>
      </c>
      <c r="O71" s="230" t="s">
        <v>139</v>
      </c>
    </row>
    <row r="72" spans="1:15" ht="19.5" hidden="1">
      <c r="A72" s="244">
        <v>20</v>
      </c>
      <c r="B72" s="245" t="s">
        <v>137</v>
      </c>
      <c r="C72" s="246">
        <v>11</v>
      </c>
      <c r="D72" s="247" t="s">
        <v>53</v>
      </c>
      <c r="E72" s="248">
        <v>2</v>
      </c>
      <c r="F72" s="249" t="s">
        <v>138</v>
      </c>
      <c r="G72" s="249">
        <v>211</v>
      </c>
      <c r="H72" s="249" t="s">
        <v>53</v>
      </c>
      <c r="I72" s="249" t="s">
        <v>57</v>
      </c>
      <c r="J72" s="249" t="s">
        <v>58</v>
      </c>
      <c r="K72" s="250" t="s">
        <v>59</v>
      </c>
      <c r="L72" s="233"/>
      <c r="M72" s="234" t="str">
        <f t="shared" si="4"/>
        <v/>
      </c>
      <c r="N72" s="235" t="str">
        <f t="shared" si="5"/>
        <v>20112211WEB受注CPで取り扱いがある（品目登録済）シート受注</v>
      </c>
      <c r="O72" s="230" t="s">
        <v>56</v>
      </c>
    </row>
    <row r="73" spans="1:15" ht="19.5" hidden="1">
      <c r="A73" s="244">
        <v>20</v>
      </c>
      <c r="B73" s="245" t="s">
        <v>137</v>
      </c>
      <c r="C73" s="246">
        <v>11</v>
      </c>
      <c r="D73" s="247" t="s">
        <v>53</v>
      </c>
      <c r="E73" s="248">
        <v>2</v>
      </c>
      <c r="F73" s="249" t="s">
        <v>138</v>
      </c>
      <c r="G73" s="249">
        <v>211</v>
      </c>
      <c r="H73" s="249" t="s">
        <v>53</v>
      </c>
      <c r="I73" s="249" t="s">
        <v>57</v>
      </c>
      <c r="J73" s="249" t="s">
        <v>58</v>
      </c>
      <c r="K73" s="250" t="s">
        <v>59</v>
      </c>
      <c r="L73" s="233"/>
      <c r="M73" s="234" t="str">
        <f t="shared" si="4"/>
        <v/>
      </c>
      <c r="N73" s="235" t="str">
        <f t="shared" si="5"/>
        <v>20112211WEB受注CPで取り扱いがある（品目登録済）シート受注</v>
      </c>
      <c r="O73" s="230" t="s">
        <v>56</v>
      </c>
    </row>
    <row r="74" spans="1:15" ht="19.5" hidden="1">
      <c r="A74" s="244">
        <v>20</v>
      </c>
      <c r="B74" s="245" t="s">
        <v>137</v>
      </c>
      <c r="C74" s="246">
        <v>11</v>
      </c>
      <c r="D74" s="247" t="s">
        <v>53</v>
      </c>
      <c r="E74" s="248">
        <v>2</v>
      </c>
      <c r="F74" s="249" t="s">
        <v>138</v>
      </c>
      <c r="G74" s="249">
        <v>211</v>
      </c>
      <c r="H74" s="249" t="s">
        <v>53</v>
      </c>
      <c r="I74" s="249" t="s">
        <v>57</v>
      </c>
      <c r="J74" s="249" t="s">
        <v>58</v>
      </c>
      <c r="K74" s="250" t="s">
        <v>59</v>
      </c>
      <c r="L74" s="233"/>
      <c r="M74" s="234" t="str">
        <f t="shared" si="4"/>
        <v/>
      </c>
      <c r="N74" s="235" t="str">
        <f t="shared" si="5"/>
        <v>20112211WEB受注CPで取り扱いがある（品目登録済）シート受注</v>
      </c>
      <c r="O74" s="230" t="s">
        <v>80</v>
      </c>
    </row>
    <row r="75" spans="1:15" ht="20.25" thickBot="1">
      <c r="A75" s="251">
        <v>20</v>
      </c>
      <c r="B75" s="252" t="s">
        <v>137</v>
      </c>
      <c r="C75" s="253">
        <v>22</v>
      </c>
      <c r="D75" s="254" t="s">
        <v>93</v>
      </c>
      <c r="E75" s="258">
        <v>2</v>
      </c>
      <c r="F75" s="259" t="s">
        <v>138</v>
      </c>
      <c r="G75" s="256">
        <v>222</v>
      </c>
      <c r="H75" s="259" t="s">
        <v>93</v>
      </c>
      <c r="I75" s="277" t="s">
        <v>57</v>
      </c>
      <c r="J75" s="256" t="s">
        <v>58</v>
      </c>
      <c r="K75" s="257" t="s">
        <v>59</v>
      </c>
      <c r="M75" s="232" t="str">
        <f t="shared" si="4"/>
        <v>1</v>
      </c>
      <c r="N75" s="228" t="str">
        <f t="shared" si="5"/>
        <v>20222222WEB受注CPで取り扱いがある（品目登録済）シート受注</v>
      </c>
      <c r="O75" s="227" t="s">
        <v>139</v>
      </c>
    </row>
    <row r="76" spans="1:15" ht="20.25" hidden="1" thickBot="1">
      <c r="A76" s="244">
        <v>20</v>
      </c>
      <c r="B76" s="245" t="s">
        <v>137</v>
      </c>
      <c r="C76" s="246">
        <v>22</v>
      </c>
      <c r="D76" s="247" t="s">
        <v>93</v>
      </c>
      <c r="E76" s="260">
        <v>2</v>
      </c>
      <c r="F76" s="261" t="s">
        <v>138</v>
      </c>
      <c r="G76" s="249">
        <v>222</v>
      </c>
      <c r="H76" s="261" t="s">
        <v>93</v>
      </c>
      <c r="I76" s="249" t="s">
        <v>57</v>
      </c>
      <c r="J76" s="249" t="s">
        <v>58</v>
      </c>
      <c r="K76" s="250" t="s">
        <v>59</v>
      </c>
      <c r="L76" s="233"/>
      <c r="M76" s="234" t="str">
        <f t="shared" si="4"/>
        <v/>
      </c>
      <c r="N76" s="235" t="str">
        <f t="shared" si="5"/>
        <v>20222222WEB受注CPで取り扱いがある（品目登録済）シート受注</v>
      </c>
      <c r="O76" s="230" t="s">
        <v>139</v>
      </c>
    </row>
    <row r="77" spans="1:15" ht="20.25" hidden="1" thickBot="1">
      <c r="A77" s="244">
        <v>20</v>
      </c>
      <c r="B77" s="245" t="s">
        <v>137</v>
      </c>
      <c r="C77" s="246">
        <v>22</v>
      </c>
      <c r="D77" s="247" t="s">
        <v>93</v>
      </c>
      <c r="E77" s="260">
        <v>2</v>
      </c>
      <c r="F77" s="261" t="s">
        <v>138</v>
      </c>
      <c r="G77" s="249">
        <v>222</v>
      </c>
      <c r="H77" s="261" t="s">
        <v>93</v>
      </c>
      <c r="I77" s="249" t="s">
        <v>57</v>
      </c>
      <c r="J77" s="249" t="s">
        <v>58</v>
      </c>
      <c r="K77" s="250" t="s">
        <v>59</v>
      </c>
      <c r="L77" s="233"/>
      <c r="M77" s="234" t="str">
        <f t="shared" si="4"/>
        <v/>
      </c>
      <c r="N77" s="235" t="str">
        <f t="shared" si="5"/>
        <v>20222222WEB受注CPで取り扱いがある（品目登録済）シート受注</v>
      </c>
      <c r="O77" s="230" t="s">
        <v>139</v>
      </c>
    </row>
    <row r="78" spans="1:15" ht="20.25" hidden="1" thickBot="1">
      <c r="A78" s="244">
        <v>20</v>
      </c>
      <c r="B78" s="245" t="s">
        <v>137</v>
      </c>
      <c r="C78" s="246">
        <v>22</v>
      </c>
      <c r="D78" s="247" t="s">
        <v>93</v>
      </c>
      <c r="E78" s="260">
        <v>2</v>
      </c>
      <c r="F78" s="261" t="s">
        <v>138</v>
      </c>
      <c r="G78" s="249">
        <v>222</v>
      </c>
      <c r="H78" s="261" t="s">
        <v>93</v>
      </c>
      <c r="I78" s="249" t="s">
        <v>57</v>
      </c>
      <c r="J78" s="249" t="s">
        <v>58</v>
      </c>
      <c r="K78" s="250" t="s">
        <v>59</v>
      </c>
      <c r="L78" s="233"/>
      <c r="M78" s="234" t="str">
        <f t="shared" si="4"/>
        <v/>
      </c>
      <c r="N78" s="235" t="str">
        <f t="shared" si="5"/>
        <v>20222222WEB受注CPで取り扱いがある（品目登録済）シート受注</v>
      </c>
      <c r="O78" s="230" t="s">
        <v>56</v>
      </c>
    </row>
    <row r="79" spans="1:15" ht="20.25" hidden="1" thickBot="1">
      <c r="A79" s="244">
        <v>20</v>
      </c>
      <c r="B79" s="245" t="s">
        <v>137</v>
      </c>
      <c r="C79" s="246">
        <v>22</v>
      </c>
      <c r="D79" s="247" t="s">
        <v>93</v>
      </c>
      <c r="E79" s="260">
        <v>2</v>
      </c>
      <c r="F79" s="261" t="s">
        <v>138</v>
      </c>
      <c r="G79" s="249">
        <v>222</v>
      </c>
      <c r="H79" s="261" t="s">
        <v>93</v>
      </c>
      <c r="I79" s="249" t="s">
        <v>57</v>
      </c>
      <c r="J79" s="249" t="s">
        <v>58</v>
      </c>
      <c r="K79" s="250" t="s">
        <v>59</v>
      </c>
      <c r="L79" s="233"/>
      <c r="M79" s="234" t="str">
        <f t="shared" si="4"/>
        <v/>
      </c>
      <c r="N79" s="235" t="str">
        <f t="shared" si="5"/>
        <v>20222222WEB受注CPで取り扱いがある（品目登録済）シート受注</v>
      </c>
      <c r="O79" s="230" t="s">
        <v>56</v>
      </c>
    </row>
    <row r="80" spans="1:15" ht="20.25" hidden="1" thickBot="1">
      <c r="A80" s="299">
        <v>20</v>
      </c>
      <c r="B80" s="306" t="s">
        <v>137</v>
      </c>
      <c r="C80" s="301">
        <v>22</v>
      </c>
      <c r="D80" s="302" t="s">
        <v>93</v>
      </c>
      <c r="E80" s="303">
        <v>2</v>
      </c>
      <c r="F80" s="304" t="s">
        <v>138</v>
      </c>
      <c r="G80" s="305">
        <v>222</v>
      </c>
      <c r="H80" s="304" t="s">
        <v>93</v>
      </c>
      <c r="I80" s="305" t="s">
        <v>57</v>
      </c>
      <c r="J80" s="305" t="s">
        <v>58</v>
      </c>
      <c r="K80" s="307" t="s">
        <v>59</v>
      </c>
      <c r="L80" s="233"/>
      <c r="M80" s="234" t="str">
        <f t="shared" si="4"/>
        <v/>
      </c>
      <c r="N80" s="235" t="str">
        <f t="shared" si="5"/>
        <v>20222222WEB受注CPで取り扱いがある（品目登録済）シート受注</v>
      </c>
      <c r="O80" s="230" t="s">
        <v>80</v>
      </c>
    </row>
    <row r="81" spans="1:15" ht="19.5">
      <c r="A81" s="308">
        <v>21</v>
      </c>
      <c r="B81" s="309" t="s">
        <v>52</v>
      </c>
      <c r="C81" s="310">
        <v>11</v>
      </c>
      <c r="D81" s="311" t="s">
        <v>53</v>
      </c>
      <c r="E81" s="312">
        <v>1</v>
      </c>
      <c r="F81" s="313" t="s">
        <v>54</v>
      </c>
      <c r="G81" s="313">
        <v>111</v>
      </c>
      <c r="H81" s="313" t="s">
        <v>55</v>
      </c>
      <c r="I81" s="315" t="s">
        <v>57</v>
      </c>
      <c r="J81" s="313" t="s">
        <v>58</v>
      </c>
      <c r="K81" s="314" t="s">
        <v>59</v>
      </c>
      <c r="M81" s="232" t="str">
        <f t="shared" si="4"/>
        <v>1</v>
      </c>
      <c r="N81" s="228" t="str">
        <f t="shared" si="5"/>
        <v>21111111WEB受注CPで取り扱いがある（品目登録済）シート受注</v>
      </c>
      <c r="O81" s="78" t="s">
        <v>56</v>
      </c>
    </row>
    <row r="82" spans="1:15" ht="19.5" hidden="1">
      <c r="A82" s="244">
        <v>21</v>
      </c>
      <c r="B82" s="245" t="s">
        <v>52</v>
      </c>
      <c r="C82" s="269">
        <v>11</v>
      </c>
      <c r="D82" s="247" t="s">
        <v>53</v>
      </c>
      <c r="E82" s="248">
        <v>1</v>
      </c>
      <c r="F82" s="249" t="s">
        <v>54</v>
      </c>
      <c r="G82" s="249">
        <v>111</v>
      </c>
      <c r="H82" s="249" t="s">
        <v>55</v>
      </c>
      <c r="I82" s="249" t="s">
        <v>57</v>
      </c>
      <c r="J82" s="249" t="s">
        <v>58</v>
      </c>
      <c r="K82" s="250" t="s">
        <v>59</v>
      </c>
      <c r="L82" s="233"/>
      <c r="M82" s="234" t="str">
        <f t="shared" si="4"/>
        <v/>
      </c>
      <c r="N82" s="235" t="str">
        <f t="shared" si="5"/>
        <v>21111111WEB受注CPで取り扱いがある（品目登録済）シート受注</v>
      </c>
      <c r="O82" s="230" t="s">
        <v>56</v>
      </c>
    </row>
    <row r="83" spans="1:15" ht="19.5" hidden="1">
      <c r="A83" s="244">
        <v>21</v>
      </c>
      <c r="B83" s="245" t="s">
        <v>52</v>
      </c>
      <c r="C83" s="269">
        <v>11</v>
      </c>
      <c r="D83" s="247" t="s">
        <v>53</v>
      </c>
      <c r="E83" s="248">
        <v>1</v>
      </c>
      <c r="F83" s="249" t="s">
        <v>54</v>
      </c>
      <c r="G83" s="249">
        <v>111</v>
      </c>
      <c r="H83" s="249" t="s">
        <v>55</v>
      </c>
      <c r="I83" s="249" t="s">
        <v>57</v>
      </c>
      <c r="J83" s="249" t="s">
        <v>58</v>
      </c>
      <c r="K83" s="250" t="s">
        <v>59</v>
      </c>
      <c r="L83" s="233"/>
      <c r="M83" s="234" t="str">
        <f t="shared" si="4"/>
        <v/>
      </c>
      <c r="N83" s="235" t="str">
        <f t="shared" si="5"/>
        <v>21111111WEB受注CPで取り扱いがある（品目登録済）シート受注</v>
      </c>
      <c r="O83" s="230" t="s">
        <v>80</v>
      </c>
    </row>
    <row r="84" spans="1:15" ht="19.5">
      <c r="A84" s="262">
        <v>21</v>
      </c>
      <c r="B84" s="263" t="s">
        <v>52</v>
      </c>
      <c r="C84" s="264">
        <v>11</v>
      </c>
      <c r="D84" s="265" t="s">
        <v>53</v>
      </c>
      <c r="E84" s="266">
        <v>1</v>
      </c>
      <c r="F84" s="267" t="s">
        <v>54</v>
      </c>
      <c r="G84" s="267">
        <v>111</v>
      </c>
      <c r="H84" s="267" t="s">
        <v>55</v>
      </c>
      <c r="I84" s="270" t="s">
        <v>74</v>
      </c>
      <c r="J84" s="271" t="s">
        <v>75</v>
      </c>
      <c r="K84" s="272" t="s">
        <v>76</v>
      </c>
      <c r="M84" s="232" t="str">
        <f t="shared" si="4"/>
        <v>1</v>
      </c>
      <c r="N84" s="228" t="str">
        <f t="shared" si="5"/>
        <v>21111111品目マスタCPで取り扱いが無い（諸口品目）商品購買</v>
      </c>
      <c r="O84" s="79" t="s">
        <v>73</v>
      </c>
    </row>
    <row r="85" spans="1:15" ht="19.5" hidden="1">
      <c r="A85" s="244">
        <v>21</v>
      </c>
      <c r="B85" s="245" t="s">
        <v>52</v>
      </c>
      <c r="C85" s="269">
        <v>11</v>
      </c>
      <c r="D85" s="247" t="s">
        <v>53</v>
      </c>
      <c r="E85" s="248">
        <v>1</v>
      </c>
      <c r="F85" s="249" t="s">
        <v>54</v>
      </c>
      <c r="G85" s="249">
        <v>111</v>
      </c>
      <c r="H85" s="249" t="s">
        <v>55</v>
      </c>
      <c r="I85" s="273" t="s">
        <v>74</v>
      </c>
      <c r="J85" s="274" t="s">
        <v>75</v>
      </c>
      <c r="K85" s="275" t="s">
        <v>76</v>
      </c>
      <c r="L85" s="233"/>
      <c r="M85" s="234" t="str">
        <f t="shared" si="4"/>
        <v/>
      </c>
      <c r="N85" s="235" t="str">
        <f t="shared" si="5"/>
        <v>21111111品目マスタCPで取り扱いが無い（諸口品目）商品購買</v>
      </c>
      <c r="O85" s="230" t="s">
        <v>73</v>
      </c>
    </row>
    <row r="86" spans="1:15" ht="19.5">
      <c r="A86" s="262">
        <v>21</v>
      </c>
      <c r="B86" s="263" t="s">
        <v>52</v>
      </c>
      <c r="C86" s="264">
        <v>22</v>
      </c>
      <c r="D86" s="265" t="s">
        <v>93</v>
      </c>
      <c r="E86" s="266">
        <v>1</v>
      </c>
      <c r="F86" s="267" t="s">
        <v>54</v>
      </c>
      <c r="G86" s="267">
        <v>122</v>
      </c>
      <c r="H86" s="267" t="s">
        <v>344</v>
      </c>
      <c r="I86" s="277" t="s">
        <v>57</v>
      </c>
      <c r="J86" s="267" t="s">
        <v>58</v>
      </c>
      <c r="K86" s="268" t="s">
        <v>59</v>
      </c>
      <c r="M86" s="232" t="str">
        <f t="shared" si="4"/>
        <v>1</v>
      </c>
      <c r="N86" s="228" t="str">
        <f t="shared" si="5"/>
        <v>21221122WEB受注CPで取り扱いがある（品目登録済）シート受注</v>
      </c>
      <c r="O86" s="78" t="s">
        <v>56</v>
      </c>
    </row>
    <row r="87" spans="1:15" ht="19.5" hidden="1">
      <c r="A87" s="244">
        <v>21</v>
      </c>
      <c r="B87" s="245" t="s">
        <v>52</v>
      </c>
      <c r="C87" s="269">
        <v>22</v>
      </c>
      <c r="D87" s="247" t="s">
        <v>93</v>
      </c>
      <c r="E87" s="248">
        <v>1</v>
      </c>
      <c r="F87" s="249" t="s">
        <v>54</v>
      </c>
      <c r="G87" s="249">
        <v>122</v>
      </c>
      <c r="H87" s="249" t="s">
        <v>344</v>
      </c>
      <c r="I87" s="249" t="s">
        <v>57</v>
      </c>
      <c r="J87" s="249" t="s">
        <v>58</v>
      </c>
      <c r="K87" s="250" t="s">
        <v>59</v>
      </c>
      <c r="L87" s="233"/>
      <c r="M87" s="234" t="str">
        <f t="shared" si="4"/>
        <v/>
      </c>
      <c r="N87" s="235" t="str">
        <f t="shared" si="5"/>
        <v>21221122WEB受注CPで取り扱いがある（品目登録済）シート受注</v>
      </c>
      <c r="O87" s="230" t="s">
        <v>56</v>
      </c>
    </row>
    <row r="88" spans="1:15" ht="19.5" hidden="1">
      <c r="A88" s="244">
        <v>21</v>
      </c>
      <c r="B88" s="245" t="s">
        <v>52</v>
      </c>
      <c r="C88" s="269">
        <v>22</v>
      </c>
      <c r="D88" s="247" t="s">
        <v>93</v>
      </c>
      <c r="E88" s="248">
        <v>1</v>
      </c>
      <c r="F88" s="249" t="s">
        <v>54</v>
      </c>
      <c r="G88" s="249">
        <v>122</v>
      </c>
      <c r="H88" s="249" t="s">
        <v>344</v>
      </c>
      <c r="I88" s="249" t="s">
        <v>57</v>
      </c>
      <c r="J88" s="249" t="s">
        <v>58</v>
      </c>
      <c r="K88" s="250" t="s">
        <v>59</v>
      </c>
      <c r="L88" s="233"/>
      <c r="M88" s="234" t="str">
        <f t="shared" si="4"/>
        <v/>
      </c>
      <c r="N88" s="235" t="str">
        <f t="shared" si="5"/>
        <v>21221122WEB受注CPで取り扱いがある（品目登録済）シート受注</v>
      </c>
      <c r="O88" s="230" t="s">
        <v>80</v>
      </c>
    </row>
    <row r="89" spans="1:15" ht="20.25" thickBot="1">
      <c r="A89" s="262">
        <v>21</v>
      </c>
      <c r="B89" s="263" t="s">
        <v>52</v>
      </c>
      <c r="C89" s="264">
        <v>22</v>
      </c>
      <c r="D89" s="265" t="s">
        <v>93</v>
      </c>
      <c r="E89" s="266">
        <v>1</v>
      </c>
      <c r="F89" s="267" t="s">
        <v>54</v>
      </c>
      <c r="G89" s="267">
        <v>122</v>
      </c>
      <c r="H89" s="267" t="s">
        <v>344</v>
      </c>
      <c r="I89" s="270" t="s">
        <v>74</v>
      </c>
      <c r="J89" s="271" t="s">
        <v>75</v>
      </c>
      <c r="K89" s="272" t="s">
        <v>76</v>
      </c>
      <c r="M89" s="232" t="str">
        <f t="shared" si="4"/>
        <v>1</v>
      </c>
      <c r="N89" s="228" t="str">
        <f t="shared" si="5"/>
        <v>21221122品目マスタCPで取り扱いが無い（諸口品目）商品購買</v>
      </c>
      <c r="O89" s="79" t="s">
        <v>73</v>
      </c>
    </row>
    <row r="90" spans="1:15" ht="20.25" hidden="1" thickBot="1">
      <c r="A90" s="299">
        <v>21</v>
      </c>
      <c r="B90" s="306" t="s">
        <v>52</v>
      </c>
      <c r="C90" s="323">
        <v>22</v>
      </c>
      <c r="D90" s="302" t="s">
        <v>93</v>
      </c>
      <c r="E90" s="320">
        <v>1</v>
      </c>
      <c r="F90" s="305" t="s">
        <v>54</v>
      </c>
      <c r="G90" s="305">
        <v>122</v>
      </c>
      <c r="H90" s="305" t="s">
        <v>344</v>
      </c>
      <c r="I90" s="321" t="s">
        <v>74</v>
      </c>
      <c r="J90" s="300" t="s">
        <v>75</v>
      </c>
      <c r="K90" s="322" t="s">
        <v>76</v>
      </c>
      <c r="L90" s="233"/>
      <c r="M90" s="234" t="str">
        <f t="shared" si="4"/>
        <v/>
      </c>
      <c r="N90" s="235" t="str">
        <f t="shared" si="5"/>
        <v>21221122品目マスタCPで取り扱いが無い（諸口品目）商品購買</v>
      </c>
      <c r="O90" s="230" t="s">
        <v>73</v>
      </c>
    </row>
    <row r="91" spans="1:15" ht="19.5">
      <c r="A91" s="308">
        <v>30</v>
      </c>
      <c r="B91" s="309" t="s">
        <v>118</v>
      </c>
      <c r="C91" s="316">
        <v>51</v>
      </c>
      <c r="D91" s="311" t="s">
        <v>119</v>
      </c>
      <c r="E91" s="312" t="s">
        <v>423</v>
      </c>
      <c r="F91" s="313" t="s">
        <v>54</v>
      </c>
      <c r="G91" s="313" t="s">
        <v>120</v>
      </c>
      <c r="H91" s="313" t="s">
        <v>121</v>
      </c>
      <c r="I91" s="317" t="s">
        <v>74</v>
      </c>
      <c r="J91" s="318" t="s">
        <v>75</v>
      </c>
      <c r="K91" s="319" t="s">
        <v>76</v>
      </c>
      <c r="M91" s="232" t="str">
        <f t="shared" si="4"/>
        <v>1</v>
      </c>
      <c r="N91" s="228" t="str">
        <f t="shared" si="5"/>
        <v>30511151品目マスタCPで取り扱いが無い（諸口品目）商品購買</v>
      </c>
      <c r="O91" s="79" t="s">
        <v>73</v>
      </c>
    </row>
    <row r="92" spans="1:15" ht="19.5" hidden="1">
      <c r="A92" s="244">
        <v>30</v>
      </c>
      <c r="B92" s="245" t="s">
        <v>118</v>
      </c>
      <c r="C92" s="246">
        <v>51</v>
      </c>
      <c r="D92" s="247" t="s">
        <v>119</v>
      </c>
      <c r="E92" s="248">
        <v>1</v>
      </c>
      <c r="F92" s="249" t="s">
        <v>54</v>
      </c>
      <c r="G92" s="249" t="s">
        <v>120</v>
      </c>
      <c r="H92" s="249" t="s">
        <v>121</v>
      </c>
      <c r="I92" s="273" t="s">
        <v>74</v>
      </c>
      <c r="J92" s="274" t="s">
        <v>75</v>
      </c>
      <c r="K92" s="275" t="s">
        <v>76</v>
      </c>
      <c r="L92" s="233"/>
      <c r="M92" s="234" t="str">
        <f t="shared" si="4"/>
        <v/>
      </c>
      <c r="N92" s="235" t="str">
        <f t="shared" si="5"/>
        <v>30511151品目マスタCPで取り扱いが無い（諸口品目）商品購買</v>
      </c>
      <c r="O92" s="230" t="s">
        <v>73</v>
      </c>
    </row>
    <row r="93" spans="1:15" ht="19.5">
      <c r="A93" s="262">
        <v>30</v>
      </c>
      <c r="B93" s="263" t="s">
        <v>118</v>
      </c>
      <c r="C93" s="276">
        <v>52</v>
      </c>
      <c r="D93" s="265" t="s">
        <v>123</v>
      </c>
      <c r="E93" s="266">
        <v>1</v>
      </c>
      <c r="F93" s="267" t="s">
        <v>54</v>
      </c>
      <c r="G93" s="267" t="s">
        <v>124</v>
      </c>
      <c r="H93" s="267" t="s">
        <v>125</v>
      </c>
      <c r="I93" s="270" t="s">
        <v>74</v>
      </c>
      <c r="J93" s="271" t="s">
        <v>75</v>
      </c>
      <c r="K93" s="272" t="s">
        <v>76</v>
      </c>
      <c r="M93" s="232" t="str">
        <f t="shared" si="4"/>
        <v>1</v>
      </c>
      <c r="N93" s="228" t="str">
        <f t="shared" si="5"/>
        <v>30521152品目マスタCPで取り扱いが無い（諸口品目）商品購買</v>
      </c>
      <c r="O93" s="79" t="s">
        <v>73</v>
      </c>
    </row>
    <row r="94" spans="1:15" ht="19.5" hidden="1">
      <c r="A94" s="244">
        <v>30</v>
      </c>
      <c r="B94" s="245" t="s">
        <v>118</v>
      </c>
      <c r="C94" s="246">
        <v>52</v>
      </c>
      <c r="D94" s="247" t="s">
        <v>123</v>
      </c>
      <c r="E94" s="248">
        <v>1</v>
      </c>
      <c r="F94" s="249" t="s">
        <v>54</v>
      </c>
      <c r="G94" s="249" t="s">
        <v>124</v>
      </c>
      <c r="H94" s="249" t="s">
        <v>125</v>
      </c>
      <c r="I94" s="273" t="s">
        <v>74</v>
      </c>
      <c r="J94" s="274" t="s">
        <v>75</v>
      </c>
      <c r="K94" s="275" t="s">
        <v>76</v>
      </c>
      <c r="L94" s="233"/>
      <c r="M94" s="234" t="str">
        <f t="shared" si="4"/>
        <v/>
      </c>
      <c r="N94" s="235" t="str">
        <f t="shared" si="5"/>
        <v>30521152品目マスタCPで取り扱いが無い（諸口品目）商品購買</v>
      </c>
      <c r="O94" s="230" t="s">
        <v>73</v>
      </c>
    </row>
    <row r="95" spans="1:15" ht="19.5">
      <c r="A95" s="262">
        <v>30</v>
      </c>
      <c r="B95" s="263" t="s">
        <v>118</v>
      </c>
      <c r="C95" s="276">
        <v>62</v>
      </c>
      <c r="D95" s="265" t="s">
        <v>134</v>
      </c>
      <c r="E95" s="266">
        <v>1</v>
      </c>
      <c r="F95" s="267" t="s">
        <v>54</v>
      </c>
      <c r="G95" s="267" t="s">
        <v>135</v>
      </c>
      <c r="H95" s="267" t="s">
        <v>136</v>
      </c>
      <c r="I95" s="270" t="s">
        <v>74</v>
      </c>
      <c r="J95" s="271" t="s">
        <v>75</v>
      </c>
      <c r="K95" s="272" t="s">
        <v>76</v>
      </c>
      <c r="M95" s="232" t="str">
        <f t="shared" si="4"/>
        <v>1</v>
      </c>
      <c r="N95" s="228" t="str">
        <f t="shared" si="5"/>
        <v>30621162品目マスタCPで取り扱いが無い（諸口品目）商品購買</v>
      </c>
      <c r="O95" s="79" t="s">
        <v>73</v>
      </c>
    </row>
    <row r="96" spans="1:15" ht="19.5" hidden="1">
      <c r="A96" s="244">
        <v>30</v>
      </c>
      <c r="B96" s="245" t="s">
        <v>118</v>
      </c>
      <c r="C96" s="246">
        <v>62</v>
      </c>
      <c r="D96" s="247" t="s">
        <v>134</v>
      </c>
      <c r="E96" s="248">
        <v>1</v>
      </c>
      <c r="F96" s="249" t="s">
        <v>54</v>
      </c>
      <c r="G96" s="249" t="s">
        <v>135</v>
      </c>
      <c r="H96" s="249" t="s">
        <v>136</v>
      </c>
      <c r="I96" s="273" t="s">
        <v>74</v>
      </c>
      <c r="J96" s="274" t="s">
        <v>75</v>
      </c>
      <c r="K96" s="275" t="s">
        <v>76</v>
      </c>
      <c r="L96" s="233"/>
      <c r="M96" s="234" t="str">
        <f t="shared" si="4"/>
        <v/>
      </c>
      <c r="N96" s="235" t="str">
        <f t="shared" si="5"/>
        <v>30621162品目マスタCPで取り扱いが無い（諸口品目）商品購買</v>
      </c>
      <c r="O96" s="230" t="s">
        <v>73</v>
      </c>
    </row>
    <row r="97" spans="1:15" ht="19.5">
      <c r="A97" s="278">
        <v>30</v>
      </c>
      <c r="B97" s="279" t="s">
        <v>118</v>
      </c>
      <c r="C97" s="280">
        <v>63</v>
      </c>
      <c r="D97" s="280" t="s">
        <v>184</v>
      </c>
      <c r="E97" s="281">
        <v>9</v>
      </c>
      <c r="F97" s="282" t="s">
        <v>185</v>
      </c>
      <c r="G97" s="283" t="s">
        <v>186</v>
      </c>
      <c r="H97" s="282" t="s">
        <v>187</v>
      </c>
      <c r="I97" s="270" t="s">
        <v>74</v>
      </c>
      <c r="J97" s="271" t="s">
        <v>75</v>
      </c>
      <c r="K97" s="272" t="s">
        <v>188</v>
      </c>
      <c r="M97" s="232" t="str">
        <f t="shared" si="4"/>
        <v>1</v>
      </c>
      <c r="N97" s="228" t="str">
        <f t="shared" si="5"/>
        <v>30639963品目マスタCPで取り扱いが無い（諸口品目）経費受注</v>
      </c>
      <c r="O97" s="89" t="s">
        <v>62</v>
      </c>
    </row>
    <row r="98" spans="1:15" ht="19.5">
      <c r="A98" s="262">
        <v>30</v>
      </c>
      <c r="B98" s="263" t="s">
        <v>118</v>
      </c>
      <c r="C98" s="276">
        <v>71</v>
      </c>
      <c r="D98" s="265" t="s">
        <v>127</v>
      </c>
      <c r="E98" s="266">
        <v>1</v>
      </c>
      <c r="F98" s="267" t="s">
        <v>54</v>
      </c>
      <c r="G98" s="267" t="s">
        <v>128</v>
      </c>
      <c r="H98" s="267" t="s">
        <v>129</v>
      </c>
      <c r="I98" s="270" t="s">
        <v>74</v>
      </c>
      <c r="J98" s="271" t="s">
        <v>75</v>
      </c>
      <c r="K98" s="272" t="s">
        <v>76</v>
      </c>
      <c r="M98" s="232" t="str">
        <f t="shared" si="4"/>
        <v>1</v>
      </c>
      <c r="N98" s="228" t="str">
        <f t="shared" si="5"/>
        <v>30711171品目マスタCPで取り扱いが無い（諸口品目）商品購買</v>
      </c>
      <c r="O98" s="79" t="s">
        <v>73</v>
      </c>
    </row>
    <row r="99" spans="1:15" ht="19.5" hidden="1">
      <c r="A99" s="244">
        <v>30</v>
      </c>
      <c r="B99" s="245" t="s">
        <v>118</v>
      </c>
      <c r="C99" s="246">
        <v>71</v>
      </c>
      <c r="D99" s="247" t="s">
        <v>127</v>
      </c>
      <c r="E99" s="248">
        <v>1</v>
      </c>
      <c r="F99" s="249" t="s">
        <v>54</v>
      </c>
      <c r="G99" s="249" t="s">
        <v>128</v>
      </c>
      <c r="H99" s="249" t="s">
        <v>129</v>
      </c>
      <c r="I99" s="273" t="s">
        <v>74</v>
      </c>
      <c r="J99" s="274" t="s">
        <v>75</v>
      </c>
      <c r="K99" s="275" t="s">
        <v>76</v>
      </c>
      <c r="L99" s="233"/>
      <c r="M99" s="234" t="str">
        <f t="shared" ref="M99:M130" si="6">IF(N99&lt;&gt;N98, "1","")</f>
        <v/>
      </c>
      <c r="N99" s="235" t="str">
        <f t="shared" ref="N99:N130" si="7">A99&amp;C99&amp;E99&amp;G99&amp;I99&amp;J99&amp;K99</f>
        <v>30711171品目マスタCPで取り扱いが無い（諸口品目）商品購買</v>
      </c>
      <c r="O99" s="230" t="s">
        <v>73</v>
      </c>
    </row>
    <row r="100" spans="1:15" ht="19.5">
      <c r="A100" s="278">
        <v>30</v>
      </c>
      <c r="B100" s="279" t="s">
        <v>118</v>
      </c>
      <c r="C100" s="280">
        <v>81</v>
      </c>
      <c r="D100" s="280" t="s">
        <v>189</v>
      </c>
      <c r="E100" s="281">
        <v>9</v>
      </c>
      <c r="F100" s="282" t="s">
        <v>185</v>
      </c>
      <c r="G100" s="283" t="s">
        <v>190</v>
      </c>
      <c r="H100" s="282" t="s">
        <v>191</v>
      </c>
      <c r="I100" s="270" t="s">
        <v>74</v>
      </c>
      <c r="J100" s="271" t="s">
        <v>75</v>
      </c>
      <c r="K100" s="272" t="s">
        <v>188</v>
      </c>
      <c r="M100" s="232" t="str">
        <f t="shared" si="6"/>
        <v>1</v>
      </c>
      <c r="N100" s="228" t="str">
        <f t="shared" si="7"/>
        <v>30819981品目マスタCPで取り扱いが無い（諸口品目）経費受注</v>
      </c>
      <c r="O100" s="89" t="s">
        <v>62</v>
      </c>
    </row>
    <row r="101" spans="1:15" ht="19.5">
      <c r="A101" s="278">
        <v>30</v>
      </c>
      <c r="B101" s="279" t="s">
        <v>118</v>
      </c>
      <c r="C101" s="280">
        <v>91</v>
      </c>
      <c r="D101" s="280" t="s">
        <v>192</v>
      </c>
      <c r="E101" s="281">
        <v>9</v>
      </c>
      <c r="F101" s="282" t="s">
        <v>185</v>
      </c>
      <c r="G101" s="283" t="s">
        <v>193</v>
      </c>
      <c r="H101" s="282" t="s">
        <v>192</v>
      </c>
      <c r="I101" s="270" t="s">
        <v>74</v>
      </c>
      <c r="J101" s="271" t="s">
        <v>75</v>
      </c>
      <c r="K101" s="272" t="s">
        <v>188</v>
      </c>
      <c r="M101" s="232" t="str">
        <f t="shared" si="6"/>
        <v>1</v>
      </c>
      <c r="N101" s="228" t="str">
        <f t="shared" si="7"/>
        <v>30919991品目マスタCPで取り扱いが無い（諸口品目）経費受注</v>
      </c>
      <c r="O101" s="89" t="s">
        <v>62</v>
      </c>
    </row>
    <row r="102" spans="1:15" ht="19.5">
      <c r="A102" s="278">
        <v>30</v>
      </c>
      <c r="B102" s="279" t="s">
        <v>118</v>
      </c>
      <c r="C102" s="280">
        <v>92</v>
      </c>
      <c r="D102" s="280" t="s">
        <v>194</v>
      </c>
      <c r="E102" s="281">
        <v>9</v>
      </c>
      <c r="F102" s="282" t="s">
        <v>185</v>
      </c>
      <c r="G102" s="283" t="s">
        <v>195</v>
      </c>
      <c r="H102" s="282" t="s">
        <v>194</v>
      </c>
      <c r="I102" s="270" t="s">
        <v>74</v>
      </c>
      <c r="J102" s="271" t="s">
        <v>75</v>
      </c>
      <c r="K102" s="272" t="s">
        <v>188</v>
      </c>
      <c r="M102" s="232" t="str">
        <f t="shared" si="6"/>
        <v>1</v>
      </c>
      <c r="N102" s="228" t="str">
        <f t="shared" si="7"/>
        <v>30929992品目マスタCPで取り扱いが無い（諸口品目）経費受注</v>
      </c>
      <c r="O102" s="89" t="s">
        <v>62</v>
      </c>
    </row>
    <row r="103" spans="1:15" ht="20.25" thickBot="1">
      <c r="A103" s="262">
        <v>30</v>
      </c>
      <c r="B103" s="263" t="s">
        <v>118</v>
      </c>
      <c r="C103" s="276" t="s">
        <v>130</v>
      </c>
      <c r="D103" s="265" t="s">
        <v>131</v>
      </c>
      <c r="E103" s="266">
        <v>1</v>
      </c>
      <c r="F103" s="267" t="s">
        <v>54</v>
      </c>
      <c r="G103" s="267" t="s">
        <v>132</v>
      </c>
      <c r="H103" s="267" t="s">
        <v>133</v>
      </c>
      <c r="I103" s="270" t="s">
        <v>74</v>
      </c>
      <c r="J103" s="271" t="s">
        <v>75</v>
      </c>
      <c r="K103" s="272" t="s">
        <v>76</v>
      </c>
      <c r="M103" s="232" t="str">
        <f t="shared" si="6"/>
        <v>1</v>
      </c>
      <c r="N103" s="228" t="str">
        <f t="shared" si="7"/>
        <v>30801180品目マスタCPで取り扱いが無い（諸口品目）商品購買</v>
      </c>
      <c r="O103" s="79" t="s">
        <v>73</v>
      </c>
    </row>
    <row r="104" spans="1:15" ht="20.25" hidden="1" thickBot="1">
      <c r="A104" s="299">
        <v>30</v>
      </c>
      <c r="B104" s="306" t="s">
        <v>118</v>
      </c>
      <c r="C104" s="301" t="s">
        <v>130</v>
      </c>
      <c r="D104" s="302" t="s">
        <v>131</v>
      </c>
      <c r="E104" s="320">
        <v>1</v>
      </c>
      <c r="F104" s="305" t="s">
        <v>54</v>
      </c>
      <c r="G104" s="305" t="s">
        <v>132</v>
      </c>
      <c r="H104" s="305" t="s">
        <v>133</v>
      </c>
      <c r="I104" s="321" t="s">
        <v>74</v>
      </c>
      <c r="J104" s="300" t="s">
        <v>75</v>
      </c>
      <c r="K104" s="322" t="s">
        <v>76</v>
      </c>
      <c r="L104" s="233"/>
      <c r="M104" s="234" t="str">
        <f t="shared" si="6"/>
        <v/>
      </c>
      <c r="N104" s="235" t="str">
        <f t="shared" si="7"/>
        <v>30801180品目マスタCPで取り扱いが無い（諸口品目）商品購買</v>
      </c>
      <c r="O104" s="230" t="s">
        <v>73</v>
      </c>
    </row>
    <row r="105" spans="1:15" ht="19.5">
      <c r="A105" s="308">
        <v>40</v>
      </c>
      <c r="B105" s="309" t="s">
        <v>101</v>
      </c>
      <c r="C105" s="316">
        <v>33</v>
      </c>
      <c r="D105" s="311" t="s">
        <v>102</v>
      </c>
      <c r="E105" s="312">
        <v>1</v>
      </c>
      <c r="F105" s="313" t="s">
        <v>54</v>
      </c>
      <c r="G105" s="313">
        <v>133</v>
      </c>
      <c r="H105" s="313" t="s">
        <v>103</v>
      </c>
      <c r="I105" s="313" t="s">
        <v>346</v>
      </c>
      <c r="J105" s="313" t="s">
        <v>347</v>
      </c>
      <c r="K105" s="314" t="s">
        <v>348</v>
      </c>
      <c r="M105" s="232" t="str">
        <f t="shared" si="6"/>
        <v>1</v>
      </c>
      <c r="N105" s="228" t="str">
        <f t="shared" si="7"/>
        <v>40331133製品マスタCPで取り扱いがある（品目登録済）加工品受注</v>
      </c>
      <c r="O105" s="78" t="s">
        <v>345</v>
      </c>
    </row>
    <row r="106" spans="1:15" ht="19.5" hidden="1">
      <c r="A106" s="244">
        <v>40</v>
      </c>
      <c r="B106" s="245" t="s">
        <v>101</v>
      </c>
      <c r="C106" s="246">
        <v>33</v>
      </c>
      <c r="D106" s="247" t="s">
        <v>102</v>
      </c>
      <c r="E106" s="248">
        <v>1</v>
      </c>
      <c r="F106" s="249" t="s">
        <v>54</v>
      </c>
      <c r="G106" s="249">
        <v>133</v>
      </c>
      <c r="H106" s="249" t="s">
        <v>103</v>
      </c>
      <c r="I106" s="249" t="s">
        <v>346</v>
      </c>
      <c r="J106" s="249" t="s">
        <v>347</v>
      </c>
      <c r="K106" s="250" t="s">
        <v>348</v>
      </c>
      <c r="L106" s="233"/>
      <c r="M106" s="234" t="str">
        <f t="shared" si="6"/>
        <v/>
      </c>
      <c r="N106" s="235" t="str">
        <f t="shared" si="7"/>
        <v>40331133製品マスタCPで取り扱いがある（品目登録済）加工品受注</v>
      </c>
      <c r="O106" s="230" t="s">
        <v>345</v>
      </c>
    </row>
    <row r="107" spans="1:15" ht="19.5" hidden="1">
      <c r="A107" s="244">
        <v>40</v>
      </c>
      <c r="B107" s="245" t="s">
        <v>101</v>
      </c>
      <c r="C107" s="246">
        <v>33</v>
      </c>
      <c r="D107" s="247" t="s">
        <v>102</v>
      </c>
      <c r="E107" s="248">
        <v>1</v>
      </c>
      <c r="F107" s="249" t="s">
        <v>54</v>
      </c>
      <c r="G107" s="249">
        <v>133</v>
      </c>
      <c r="H107" s="249" t="s">
        <v>103</v>
      </c>
      <c r="I107" s="249" t="s">
        <v>346</v>
      </c>
      <c r="J107" s="249" t="s">
        <v>347</v>
      </c>
      <c r="K107" s="250" t="s">
        <v>348</v>
      </c>
      <c r="L107" s="233"/>
      <c r="M107" s="234" t="str">
        <f t="shared" si="6"/>
        <v/>
      </c>
      <c r="N107" s="235" t="str">
        <f t="shared" si="7"/>
        <v>40331133製品マスタCPで取り扱いがある（品目登録済）加工品受注</v>
      </c>
      <c r="O107" s="230" t="s">
        <v>349</v>
      </c>
    </row>
    <row r="108" spans="1:15" ht="19.5">
      <c r="A108" s="262">
        <v>40</v>
      </c>
      <c r="B108" s="263" t="s">
        <v>101</v>
      </c>
      <c r="C108" s="276">
        <v>33</v>
      </c>
      <c r="D108" s="265" t="s">
        <v>102</v>
      </c>
      <c r="E108" s="266">
        <v>1</v>
      </c>
      <c r="F108" s="267" t="s">
        <v>54</v>
      </c>
      <c r="G108" s="267">
        <v>133</v>
      </c>
      <c r="H108" s="267" t="s">
        <v>103</v>
      </c>
      <c r="I108" s="270" t="s">
        <v>74</v>
      </c>
      <c r="J108" s="271" t="s">
        <v>75</v>
      </c>
      <c r="K108" s="272" t="s">
        <v>76</v>
      </c>
      <c r="M108" s="232" t="str">
        <f t="shared" si="6"/>
        <v>1</v>
      </c>
      <c r="N108" s="228" t="str">
        <f t="shared" si="7"/>
        <v>40331133品目マスタCPで取り扱いが無い（諸口品目）商品購買</v>
      </c>
      <c r="O108" s="79" t="s">
        <v>73</v>
      </c>
    </row>
    <row r="109" spans="1:15" ht="19.5" hidden="1">
      <c r="A109" s="244">
        <v>40</v>
      </c>
      <c r="B109" s="245" t="s">
        <v>101</v>
      </c>
      <c r="C109" s="246">
        <v>33</v>
      </c>
      <c r="D109" s="247" t="s">
        <v>102</v>
      </c>
      <c r="E109" s="248">
        <v>1</v>
      </c>
      <c r="F109" s="249" t="s">
        <v>54</v>
      </c>
      <c r="G109" s="249">
        <v>133</v>
      </c>
      <c r="H109" s="249" t="s">
        <v>103</v>
      </c>
      <c r="I109" s="273" t="s">
        <v>74</v>
      </c>
      <c r="J109" s="274" t="s">
        <v>75</v>
      </c>
      <c r="K109" s="275" t="s">
        <v>76</v>
      </c>
      <c r="L109" s="233"/>
      <c r="M109" s="234" t="str">
        <f t="shared" si="6"/>
        <v/>
      </c>
      <c r="N109" s="235" t="str">
        <f t="shared" si="7"/>
        <v>40331133品目マスタCPで取り扱いが無い（諸口品目）商品購買</v>
      </c>
      <c r="O109" s="230" t="s">
        <v>73</v>
      </c>
    </row>
    <row r="110" spans="1:15" ht="19.5">
      <c r="A110" s="278">
        <v>40</v>
      </c>
      <c r="B110" s="284" t="s">
        <v>101</v>
      </c>
      <c r="C110" s="285">
        <v>33</v>
      </c>
      <c r="D110" s="286" t="s">
        <v>102</v>
      </c>
      <c r="E110" s="281">
        <v>2</v>
      </c>
      <c r="F110" s="282" t="s">
        <v>138</v>
      </c>
      <c r="G110" s="287">
        <v>233</v>
      </c>
      <c r="H110" s="282" t="s">
        <v>142</v>
      </c>
      <c r="I110" s="287" t="s">
        <v>84</v>
      </c>
      <c r="J110" s="287" t="s">
        <v>58</v>
      </c>
      <c r="K110" s="288" t="s">
        <v>85</v>
      </c>
      <c r="M110" s="232" t="str">
        <f t="shared" si="6"/>
        <v>1</v>
      </c>
      <c r="N110" s="228" t="str">
        <f t="shared" si="7"/>
        <v>40332233製品マスタCPで取り扱いがある（品目登録済）加工品受注</v>
      </c>
      <c r="O110" s="77" t="s">
        <v>139</v>
      </c>
    </row>
    <row r="111" spans="1:15" ht="19.5" hidden="1">
      <c r="A111" s="244">
        <v>40</v>
      </c>
      <c r="B111" s="274" t="s">
        <v>101</v>
      </c>
      <c r="C111" s="246">
        <v>33</v>
      </c>
      <c r="D111" s="247" t="s">
        <v>102</v>
      </c>
      <c r="E111" s="260">
        <v>2</v>
      </c>
      <c r="F111" s="261" t="s">
        <v>138</v>
      </c>
      <c r="G111" s="249">
        <v>233</v>
      </c>
      <c r="H111" s="261" t="s">
        <v>142</v>
      </c>
      <c r="I111" s="249" t="s">
        <v>84</v>
      </c>
      <c r="J111" s="249" t="s">
        <v>58</v>
      </c>
      <c r="K111" s="250" t="s">
        <v>85</v>
      </c>
      <c r="L111" s="233"/>
      <c r="M111" s="234" t="str">
        <f t="shared" si="6"/>
        <v/>
      </c>
      <c r="N111" s="235" t="str">
        <f t="shared" si="7"/>
        <v>40332233製品マスタCPで取り扱いがある（品目登録済）加工品受注</v>
      </c>
      <c r="O111" s="230" t="s">
        <v>139</v>
      </c>
    </row>
    <row r="112" spans="1:15" ht="19.5" hidden="1">
      <c r="A112" s="244">
        <v>40</v>
      </c>
      <c r="B112" s="274" t="s">
        <v>101</v>
      </c>
      <c r="C112" s="246">
        <v>33</v>
      </c>
      <c r="D112" s="247" t="s">
        <v>102</v>
      </c>
      <c r="E112" s="260">
        <v>2</v>
      </c>
      <c r="F112" s="261" t="s">
        <v>138</v>
      </c>
      <c r="G112" s="249">
        <v>233</v>
      </c>
      <c r="H112" s="261" t="s">
        <v>142</v>
      </c>
      <c r="I112" s="249" t="s">
        <v>84</v>
      </c>
      <c r="J112" s="249" t="s">
        <v>58</v>
      </c>
      <c r="K112" s="250" t="s">
        <v>85</v>
      </c>
      <c r="L112" s="233"/>
      <c r="M112" s="234" t="str">
        <f t="shared" si="6"/>
        <v/>
      </c>
      <c r="N112" s="235" t="str">
        <f t="shared" si="7"/>
        <v>40332233製品マスタCPで取り扱いがある（品目登録済）加工品受注</v>
      </c>
      <c r="O112" s="230" t="s">
        <v>139</v>
      </c>
    </row>
    <row r="113" spans="1:15" ht="19.5" hidden="1">
      <c r="A113" s="244">
        <v>40</v>
      </c>
      <c r="B113" s="274" t="s">
        <v>101</v>
      </c>
      <c r="C113" s="246">
        <v>33</v>
      </c>
      <c r="D113" s="247" t="s">
        <v>102</v>
      </c>
      <c r="E113" s="260">
        <v>2</v>
      </c>
      <c r="F113" s="261" t="s">
        <v>138</v>
      </c>
      <c r="G113" s="249">
        <v>233</v>
      </c>
      <c r="H113" s="261" t="s">
        <v>142</v>
      </c>
      <c r="I113" s="249" t="s">
        <v>84</v>
      </c>
      <c r="J113" s="249" t="s">
        <v>58</v>
      </c>
      <c r="K113" s="250" t="s">
        <v>85</v>
      </c>
      <c r="L113" s="233"/>
      <c r="M113" s="234" t="str">
        <f t="shared" si="6"/>
        <v/>
      </c>
      <c r="N113" s="235" t="str">
        <f t="shared" si="7"/>
        <v>40332233製品マスタCPで取り扱いがある（品目登録済）加工品受注</v>
      </c>
      <c r="O113" s="230" t="s">
        <v>56</v>
      </c>
    </row>
    <row r="114" spans="1:15" ht="19.5" hidden="1">
      <c r="A114" s="244">
        <v>40</v>
      </c>
      <c r="B114" s="274" t="s">
        <v>101</v>
      </c>
      <c r="C114" s="246">
        <v>33</v>
      </c>
      <c r="D114" s="247" t="s">
        <v>102</v>
      </c>
      <c r="E114" s="260">
        <v>2</v>
      </c>
      <c r="F114" s="261" t="s">
        <v>138</v>
      </c>
      <c r="G114" s="249">
        <v>233</v>
      </c>
      <c r="H114" s="261" t="s">
        <v>142</v>
      </c>
      <c r="I114" s="249" t="s">
        <v>84</v>
      </c>
      <c r="J114" s="249" t="s">
        <v>58</v>
      </c>
      <c r="K114" s="250" t="s">
        <v>85</v>
      </c>
      <c r="L114" s="233"/>
      <c r="M114" s="234" t="str">
        <f t="shared" si="6"/>
        <v/>
      </c>
      <c r="N114" s="235" t="str">
        <f t="shared" si="7"/>
        <v>40332233製品マスタCPで取り扱いがある（品目登録済）加工品受注</v>
      </c>
      <c r="O114" s="230" t="s">
        <v>56</v>
      </c>
    </row>
    <row r="115" spans="1:15" ht="19.5" hidden="1">
      <c r="A115" s="244">
        <v>40</v>
      </c>
      <c r="B115" s="274" t="s">
        <v>101</v>
      </c>
      <c r="C115" s="246">
        <v>33</v>
      </c>
      <c r="D115" s="247" t="s">
        <v>102</v>
      </c>
      <c r="E115" s="260">
        <v>2</v>
      </c>
      <c r="F115" s="261" t="s">
        <v>138</v>
      </c>
      <c r="G115" s="249">
        <v>233</v>
      </c>
      <c r="H115" s="261" t="s">
        <v>142</v>
      </c>
      <c r="I115" s="249" t="s">
        <v>84</v>
      </c>
      <c r="J115" s="249" t="s">
        <v>58</v>
      </c>
      <c r="K115" s="250" t="s">
        <v>85</v>
      </c>
      <c r="L115" s="233"/>
      <c r="M115" s="234" t="str">
        <f t="shared" si="6"/>
        <v/>
      </c>
      <c r="N115" s="235" t="str">
        <f t="shared" si="7"/>
        <v>40332233製品マスタCPで取り扱いがある（品目登録済）加工品受注</v>
      </c>
      <c r="O115" s="230" t="s">
        <v>80</v>
      </c>
    </row>
    <row r="116" spans="1:15" ht="19.5">
      <c r="A116" s="278">
        <v>40</v>
      </c>
      <c r="B116" s="284" t="s">
        <v>101</v>
      </c>
      <c r="C116" s="285">
        <v>33</v>
      </c>
      <c r="D116" s="286" t="s">
        <v>102</v>
      </c>
      <c r="E116" s="294">
        <v>6</v>
      </c>
      <c r="F116" s="295" t="s">
        <v>160</v>
      </c>
      <c r="G116" s="287" t="s">
        <v>181</v>
      </c>
      <c r="H116" s="282" t="s">
        <v>102</v>
      </c>
      <c r="I116" s="277" t="s">
        <v>57</v>
      </c>
      <c r="J116" s="296" t="s">
        <v>58</v>
      </c>
      <c r="K116" s="297" t="s">
        <v>170</v>
      </c>
      <c r="M116" s="232" t="str">
        <f t="shared" si="6"/>
        <v>1</v>
      </c>
      <c r="N116" s="228" t="str">
        <f t="shared" si="7"/>
        <v>40336603WEB受注CPで取り扱いがある（品目登録済）原紙売り（受発注方式）</v>
      </c>
      <c r="O116" s="218" t="s">
        <v>169</v>
      </c>
    </row>
    <row r="117" spans="1:15" ht="19.5" hidden="1">
      <c r="A117" s="244">
        <v>40</v>
      </c>
      <c r="B117" s="274" t="s">
        <v>101</v>
      </c>
      <c r="C117" s="246">
        <v>33</v>
      </c>
      <c r="D117" s="247" t="s">
        <v>102</v>
      </c>
      <c r="E117" s="260">
        <v>6</v>
      </c>
      <c r="F117" s="261" t="s">
        <v>160</v>
      </c>
      <c r="G117" s="249" t="s">
        <v>181</v>
      </c>
      <c r="H117" s="261" t="s">
        <v>102</v>
      </c>
      <c r="I117" s="249" t="s">
        <v>57</v>
      </c>
      <c r="J117" s="249" t="s">
        <v>58</v>
      </c>
      <c r="K117" s="298" t="s">
        <v>170</v>
      </c>
      <c r="L117" s="233"/>
      <c r="M117" s="234" t="str">
        <f t="shared" si="6"/>
        <v/>
      </c>
      <c r="N117" s="235" t="str">
        <f t="shared" si="7"/>
        <v>40336603WEB受注CPで取り扱いがある（品目登録済）原紙売り（受発注方式）</v>
      </c>
      <c r="O117" s="229" t="s">
        <v>169</v>
      </c>
    </row>
    <row r="118" spans="1:15" ht="19.5" hidden="1">
      <c r="A118" s="244">
        <v>40</v>
      </c>
      <c r="B118" s="274" t="s">
        <v>101</v>
      </c>
      <c r="C118" s="246">
        <v>33</v>
      </c>
      <c r="D118" s="247" t="s">
        <v>102</v>
      </c>
      <c r="E118" s="260">
        <v>6</v>
      </c>
      <c r="F118" s="261" t="s">
        <v>160</v>
      </c>
      <c r="G118" s="249" t="s">
        <v>181</v>
      </c>
      <c r="H118" s="261" t="s">
        <v>102</v>
      </c>
      <c r="I118" s="249" t="s">
        <v>57</v>
      </c>
      <c r="J118" s="249" t="s">
        <v>58</v>
      </c>
      <c r="K118" s="298" t="s">
        <v>170</v>
      </c>
      <c r="L118" s="233"/>
      <c r="M118" s="234" t="str">
        <f t="shared" si="6"/>
        <v/>
      </c>
      <c r="N118" s="235" t="str">
        <f t="shared" si="7"/>
        <v>40336603WEB受注CPで取り扱いがある（品目登録済）原紙売り（受発注方式）</v>
      </c>
      <c r="O118" s="229" t="s">
        <v>169</v>
      </c>
    </row>
    <row r="119" spans="1:15" ht="19.5">
      <c r="A119" s="278">
        <v>40</v>
      </c>
      <c r="B119" s="284" t="s">
        <v>101</v>
      </c>
      <c r="C119" s="285">
        <v>33</v>
      </c>
      <c r="D119" s="286" t="s">
        <v>102</v>
      </c>
      <c r="E119" s="289">
        <v>6</v>
      </c>
      <c r="F119" s="290" t="s">
        <v>160</v>
      </c>
      <c r="G119" s="287" t="s">
        <v>181</v>
      </c>
      <c r="H119" s="282" t="s">
        <v>102</v>
      </c>
      <c r="I119" s="291" t="s">
        <v>162</v>
      </c>
      <c r="J119" s="292" t="s">
        <v>58</v>
      </c>
      <c r="K119" s="293" t="s">
        <v>76</v>
      </c>
      <c r="M119" s="232" t="str">
        <f t="shared" si="6"/>
        <v>1</v>
      </c>
      <c r="N119" s="228" t="str">
        <f t="shared" si="7"/>
        <v>40336603原紙マスタCPで取り扱いがある（品目登録済）商品購買</v>
      </c>
      <c r="O119" s="217" t="s">
        <v>73</v>
      </c>
    </row>
    <row r="120" spans="1:15" ht="19.5" hidden="1">
      <c r="A120" s="244">
        <v>40</v>
      </c>
      <c r="B120" s="274" t="s">
        <v>101</v>
      </c>
      <c r="C120" s="246">
        <v>33</v>
      </c>
      <c r="D120" s="247" t="s">
        <v>102</v>
      </c>
      <c r="E120" s="260">
        <v>6</v>
      </c>
      <c r="F120" s="261" t="s">
        <v>160</v>
      </c>
      <c r="G120" s="249" t="s">
        <v>181</v>
      </c>
      <c r="H120" s="261" t="s">
        <v>102</v>
      </c>
      <c r="I120" s="249" t="s">
        <v>162</v>
      </c>
      <c r="J120" s="249" t="s">
        <v>58</v>
      </c>
      <c r="K120" s="250" t="s">
        <v>76</v>
      </c>
      <c r="L120" s="233"/>
      <c r="M120" s="234" t="str">
        <f t="shared" si="6"/>
        <v/>
      </c>
      <c r="N120" s="235" t="str">
        <f t="shared" si="7"/>
        <v>40336603原紙マスタCPで取り扱いがある（品目登録済）商品購買</v>
      </c>
      <c r="O120" s="229" t="s">
        <v>73</v>
      </c>
    </row>
    <row r="121" spans="1:15" ht="19.5">
      <c r="A121" s="262">
        <v>40</v>
      </c>
      <c r="B121" s="263" t="s">
        <v>101</v>
      </c>
      <c r="C121" s="276">
        <v>41</v>
      </c>
      <c r="D121" s="265" t="s">
        <v>110</v>
      </c>
      <c r="E121" s="266">
        <v>1</v>
      </c>
      <c r="F121" s="267" t="s">
        <v>54</v>
      </c>
      <c r="G121" s="267">
        <v>141</v>
      </c>
      <c r="H121" s="267" t="s">
        <v>111</v>
      </c>
      <c r="I121" s="270" t="s">
        <v>74</v>
      </c>
      <c r="J121" s="271" t="s">
        <v>75</v>
      </c>
      <c r="K121" s="272" t="s">
        <v>76</v>
      </c>
      <c r="M121" s="232" t="str">
        <f t="shared" si="6"/>
        <v>1</v>
      </c>
      <c r="N121" s="228" t="str">
        <f t="shared" si="7"/>
        <v>40411141品目マスタCPで取り扱いが無い（諸口品目）商品購買</v>
      </c>
      <c r="O121" s="79" t="s">
        <v>73</v>
      </c>
    </row>
    <row r="122" spans="1:15" ht="19.5" hidden="1">
      <c r="A122" s="244">
        <v>40</v>
      </c>
      <c r="B122" s="245" t="s">
        <v>101</v>
      </c>
      <c r="C122" s="246">
        <v>41</v>
      </c>
      <c r="D122" s="247" t="s">
        <v>110</v>
      </c>
      <c r="E122" s="248">
        <v>1</v>
      </c>
      <c r="F122" s="249" t="s">
        <v>54</v>
      </c>
      <c r="G122" s="249">
        <v>141</v>
      </c>
      <c r="H122" s="249" t="s">
        <v>111</v>
      </c>
      <c r="I122" s="273" t="s">
        <v>74</v>
      </c>
      <c r="J122" s="274" t="s">
        <v>75</v>
      </c>
      <c r="K122" s="275" t="s">
        <v>76</v>
      </c>
      <c r="L122" s="233"/>
      <c r="M122" s="234" t="str">
        <f t="shared" si="6"/>
        <v/>
      </c>
      <c r="N122" s="235" t="str">
        <f t="shared" si="7"/>
        <v>40411141品目マスタCPで取り扱いが無い（諸口品目）商品購買</v>
      </c>
      <c r="O122" s="230" t="s">
        <v>73</v>
      </c>
    </row>
    <row r="123" spans="1:15" ht="19.5">
      <c r="A123" s="278">
        <v>40</v>
      </c>
      <c r="B123" s="284" t="s">
        <v>101</v>
      </c>
      <c r="C123" s="285">
        <v>41</v>
      </c>
      <c r="D123" s="286" t="s">
        <v>110</v>
      </c>
      <c r="E123" s="294">
        <v>6</v>
      </c>
      <c r="F123" s="295" t="s">
        <v>160</v>
      </c>
      <c r="G123" s="287" t="s">
        <v>175</v>
      </c>
      <c r="H123" s="282" t="s">
        <v>178</v>
      </c>
      <c r="I123" s="277" t="s">
        <v>57</v>
      </c>
      <c r="J123" s="296" t="s">
        <v>58</v>
      </c>
      <c r="K123" s="297" t="s">
        <v>170</v>
      </c>
      <c r="M123" s="232" t="str">
        <f t="shared" si="6"/>
        <v>1</v>
      </c>
      <c r="N123" s="228" t="str">
        <f t="shared" si="7"/>
        <v>40416601WEB受注CPで取り扱いがある（品目登録済）原紙売り（受発注方式）</v>
      </c>
      <c r="O123" s="218" t="s">
        <v>169</v>
      </c>
    </row>
    <row r="124" spans="1:15" ht="19.5" hidden="1">
      <c r="A124" s="244">
        <v>40</v>
      </c>
      <c r="B124" s="274" t="s">
        <v>101</v>
      </c>
      <c r="C124" s="246">
        <v>41</v>
      </c>
      <c r="D124" s="247" t="s">
        <v>110</v>
      </c>
      <c r="E124" s="260">
        <v>6</v>
      </c>
      <c r="F124" s="261" t="s">
        <v>160</v>
      </c>
      <c r="G124" s="249" t="s">
        <v>175</v>
      </c>
      <c r="H124" s="261" t="s">
        <v>178</v>
      </c>
      <c r="I124" s="249" t="s">
        <v>57</v>
      </c>
      <c r="J124" s="249" t="s">
        <v>58</v>
      </c>
      <c r="K124" s="298" t="s">
        <v>170</v>
      </c>
      <c r="L124" s="233"/>
      <c r="M124" s="234" t="str">
        <f t="shared" si="6"/>
        <v/>
      </c>
      <c r="N124" s="235" t="str">
        <f t="shared" si="7"/>
        <v>40416601WEB受注CPで取り扱いがある（品目登録済）原紙売り（受発注方式）</v>
      </c>
      <c r="O124" s="229" t="s">
        <v>169</v>
      </c>
    </row>
    <row r="125" spans="1:15" ht="19.5" hidden="1">
      <c r="A125" s="244">
        <v>40</v>
      </c>
      <c r="B125" s="274" t="s">
        <v>101</v>
      </c>
      <c r="C125" s="246">
        <v>41</v>
      </c>
      <c r="D125" s="247" t="s">
        <v>110</v>
      </c>
      <c r="E125" s="260">
        <v>6</v>
      </c>
      <c r="F125" s="261" t="s">
        <v>160</v>
      </c>
      <c r="G125" s="249" t="s">
        <v>175</v>
      </c>
      <c r="H125" s="261" t="s">
        <v>178</v>
      </c>
      <c r="I125" s="249" t="s">
        <v>57</v>
      </c>
      <c r="J125" s="249" t="s">
        <v>58</v>
      </c>
      <c r="K125" s="298" t="s">
        <v>170</v>
      </c>
      <c r="L125" s="233"/>
      <c r="M125" s="234" t="str">
        <f t="shared" si="6"/>
        <v/>
      </c>
      <c r="N125" s="235" t="str">
        <f t="shared" si="7"/>
        <v>40416601WEB受注CPで取り扱いがある（品目登録済）原紙売り（受発注方式）</v>
      </c>
      <c r="O125" s="229" t="s">
        <v>169</v>
      </c>
    </row>
    <row r="126" spans="1:15" ht="19.5">
      <c r="A126" s="278">
        <v>40</v>
      </c>
      <c r="B126" s="284" t="s">
        <v>101</v>
      </c>
      <c r="C126" s="285">
        <v>41</v>
      </c>
      <c r="D126" s="286" t="s">
        <v>110</v>
      </c>
      <c r="E126" s="289">
        <v>6</v>
      </c>
      <c r="F126" s="290" t="s">
        <v>160</v>
      </c>
      <c r="G126" s="287" t="s">
        <v>175</v>
      </c>
      <c r="H126" s="282" t="s">
        <v>176</v>
      </c>
      <c r="I126" s="291" t="s">
        <v>162</v>
      </c>
      <c r="J126" s="292" t="s">
        <v>58</v>
      </c>
      <c r="K126" s="293" t="s">
        <v>76</v>
      </c>
      <c r="M126" s="232" t="str">
        <f t="shared" si="6"/>
        <v>1</v>
      </c>
      <c r="N126" s="228" t="str">
        <f t="shared" si="7"/>
        <v>40416601原紙マスタCPで取り扱いがある（品目登録済）商品購買</v>
      </c>
      <c r="O126" s="217" t="s">
        <v>73</v>
      </c>
    </row>
    <row r="127" spans="1:15" ht="19.5" hidden="1">
      <c r="A127" s="244">
        <v>40</v>
      </c>
      <c r="B127" s="274" t="s">
        <v>101</v>
      </c>
      <c r="C127" s="246">
        <v>41</v>
      </c>
      <c r="D127" s="247" t="s">
        <v>110</v>
      </c>
      <c r="E127" s="260">
        <v>6</v>
      </c>
      <c r="F127" s="261" t="s">
        <v>160</v>
      </c>
      <c r="G127" s="249" t="s">
        <v>175</v>
      </c>
      <c r="H127" s="261" t="s">
        <v>176</v>
      </c>
      <c r="I127" s="249" t="s">
        <v>162</v>
      </c>
      <c r="J127" s="249" t="s">
        <v>58</v>
      </c>
      <c r="K127" s="250" t="s">
        <v>76</v>
      </c>
      <c r="L127" s="233"/>
      <c r="M127" s="234" t="str">
        <f t="shared" si="6"/>
        <v/>
      </c>
      <c r="N127" s="235" t="str">
        <f t="shared" si="7"/>
        <v>40416601原紙マスタCPで取り扱いがある（品目登録済）商品購買</v>
      </c>
      <c r="O127" s="229" t="s">
        <v>73</v>
      </c>
    </row>
    <row r="128" spans="1:15" ht="19.5" hidden="1">
      <c r="A128" s="244">
        <v>40</v>
      </c>
      <c r="B128" s="274" t="s">
        <v>101</v>
      </c>
      <c r="C128" s="246">
        <v>41</v>
      </c>
      <c r="D128" s="247" t="s">
        <v>110</v>
      </c>
      <c r="E128" s="260">
        <v>6</v>
      </c>
      <c r="F128" s="261" t="s">
        <v>160</v>
      </c>
      <c r="G128" s="249" t="s">
        <v>175</v>
      </c>
      <c r="H128" s="261" t="s">
        <v>176</v>
      </c>
      <c r="I128" s="249" t="s">
        <v>162</v>
      </c>
      <c r="J128" s="249" t="s">
        <v>58</v>
      </c>
      <c r="K128" s="250" t="s">
        <v>76</v>
      </c>
      <c r="L128" s="233"/>
      <c r="M128" s="234" t="str">
        <f t="shared" si="6"/>
        <v/>
      </c>
      <c r="N128" s="235" t="str">
        <f t="shared" si="7"/>
        <v>40416601原紙マスタCPで取り扱いがある（品目登録済）商品購買</v>
      </c>
      <c r="O128" s="229" t="s">
        <v>73</v>
      </c>
    </row>
    <row r="129" spans="1:15" ht="19.5">
      <c r="A129" s="278">
        <v>40</v>
      </c>
      <c r="B129" s="284" t="s">
        <v>101</v>
      </c>
      <c r="C129" s="285">
        <v>41</v>
      </c>
      <c r="D129" s="286" t="s">
        <v>110</v>
      </c>
      <c r="E129" s="294">
        <v>6</v>
      </c>
      <c r="F129" s="295" t="s">
        <v>160</v>
      </c>
      <c r="G129" s="287" t="s">
        <v>179</v>
      </c>
      <c r="H129" s="282" t="s">
        <v>180</v>
      </c>
      <c r="I129" s="277" t="s">
        <v>57</v>
      </c>
      <c r="J129" s="296" t="s">
        <v>58</v>
      </c>
      <c r="K129" s="297" t="s">
        <v>170</v>
      </c>
      <c r="M129" s="232" t="str">
        <f t="shared" si="6"/>
        <v>1</v>
      </c>
      <c r="N129" s="228" t="str">
        <f t="shared" si="7"/>
        <v>40416602WEB受注CPで取り扱いがある（品目登録済）原紙売り（受発注方式）</v>
      </c>
      <c r="O129" s="218" t="s">
        <v>169</v>
      </c>
    </row>
    <row r="130" spans="1:15" ht="19.5">
      <c r="A130" s="278">
        <v>40</v>
      </c>
      <c r="B130" s="284" t="s">
        <v>101</v>
      </c>
      <c r="C130" s="285">
        <v>41</v>
      </c>
      <c r="D130" s="286" t="s">
        <v>110</v>
      </c>
      <c r="E130" s="289">
        <v>6</v>
      </c>
      <c r="F130" s="290" t="s">
        <v>160</v>
      </c>
      <c r="G130" s="287" t="s">
        <v>179</v>
      </c>
      <c r="H130" s="282" t="s">
        <v>180</v>
      </c>
      <c r="I130" s="291" t="s">
        <v>162</v>
      </c>
      <c r="J130" s="292" t="s">
        <v>58</v>
      </c>
      <c r="K130" s="293" t="s">
        <v>76</v>
      </c>
      <c r="M130" s="232" t="str">
        <f t="shared" si="6"/>
        <v>1</v>
      </c>
      <c r="N130" s="228" t="str">
        <f t="shared" si="7"/>
        <v>40416602原紙マスタCPで取り扱いがある（品目登録済）商品購買</v>
      </c>
      <c r="O130" s="217" t="s">
        <v>73</v>
      </c>
    </row>
    <row r="131" spans="1:15" ht="19.5">
      <c r="A131" s="262">
        <v>40</v>
      </c>
      <c r="B131" s="263" t="s">
        <v>101</v>
      </c>
      <c r="C131" s="276">
        <v>42</v>
      </c>
      <c r="D131" s="265" t="s">
        <v>114</v>
      </c>
      <c r="E131" s="266">
        <v>1</v>
      </c>
      <c r="F131" s="267" t="s">
        <v>54</v>
      </c>
      <c r="G131" s="267">
        <v>142</v>
      </c>
      <c r="H131" s="267" t="s">
        <v>115</v>
      </c>
      <c r="I131" s="267" t="s">
        <v>346</v>
      </c>
      <c r="J131" s="267" t="s">
        <v>347</v>
      </c>
      <c r="K131" s="268" t="s">
        <v>348</v>
      </c>
      <c r="M131" s="232" t="str">
        <f t="shared" ref="M131:M147" si="8">IF(N131&lt;&gt;N130, "1","")</f>
        <v>1</v>
      </c>
      <c r="N131" s="228" t="str">
        <f t="shared" ref="N131:N147" si="9">A131&amp;C131&amp;E131&amp;G131&amp;I131&amp;J131&amp;K131</f>
        <v>40421142製品マスタCPで取り扱いがある（品目登録済）加工品受注</v>
      </c>
      <c r="O131" s="78" t="s">
        <v>345</v>
      </c>
    </row>
    <row r="132" spans="1:15" ht="19.5" hidden="1">
      <c r="A132" s="244">
        <v>40</v>
      </c>
      <c r="B132" s="245" t="s">
        <v>101</v>
      </c>
      <c r="C132" s="246">
        <v>42</v>
      </c>
      <c r="D132" s="247" t="s">
        <v>114</v>
      </c>
      <c r="E132" s="248">
        <v>1</v>
      </c>
      <c r="F132" s="249" t="s">
        <v>54</v>
      </c>
      <c r="G132" s="249">
        <v>142</v>
      </c>
      <c r="H132" s="249" t="s">
        <v>115</v>
      </c>
      <c r="I132" s="249" t="s">
        <v>346</v>
      </c>
      <c r="J132" s="249" t="s">
        <v>347</v>
      </c>
      <c r="K132" s="250" t="s">
        <v>348</v>
      </c>
      <c r="L132" s="233"/>
      <c r="M132" s="234" t="str">
        <f t="shared" si="8"/>
        <v/>
      </c>
      <c r="N132" s="235" t="str">
        <f t="shared" si="9"/>
        <v>40421142製品マスタCPで取り扱いがある（品目登録済）加工品受注</v>
      </c>
      <c r="O132" s="230" t="s">
        <v>345</v>
      </c>
    </row>
    <row r="133" spans="1:15" ht="19.5" hidden="1">
      <c r="A133" s="244">
        <v>40</v>
      </c>
      <c r="B133" s="245" t="s">
        <v>101</v>
      </c>
      <c r="C133" s="246">
        <v>42</v>
      </c>
      <c r="D133" s="247" t="s">
        <v>114</v>
      </c>
      <c r="E133" s="248">
        <v>1</v>
      </c>
      <c r="F133" s="249" t="s">
        <v>54</v>
      </c>
      <c r="G133" s="249">
        <v>142</v>
      </c>
      <c r="H133" s="249" t="s">
        <v>115</v>
      </c>
      <c r="I133" s="249" t="s">
        <v>346</v>
      </c>
      <c r="J133" s="249" t="s">
        <v>347</v>
      </c>
      <c r="K133" s="250" t="s">
        <v>348</v>
      </c>
      <c r="L133" s="233"/>
      <c r="M133" s="234" t="str">
        <f t="shared" si="8"/>
        <v/>
      </c>
      <c r="N133" s="235" t="str">
        <f t="shared" si="9"/>
        <v>40421142製品マスタCPで取り扱いがある（品目登録済）加工品受注</v>
      </c>
      <c r="O133" s="230" t="s">
        <v>349</v>
      </c>
    </row>
    <row r="134" spans="1:15" ht="19.5">
      <c r="A134" s="262">
        <v>40</v>
      </c>
      <c r="B134" s="263" t="s">
        <v>101</v>
      </c>
      <c r="C134" s="276">
        <v>42</v>
      </c>
      <c r="D134" s="265" t="s">
        <v>114</v>
      </c>
      <c r="E134" s="266">
        <v>1</v>
      </c>
      <c r="F134" s="267" t="s">
        <v>54</v>
      </c>
      <c r="G134" s="267">
        <v>142</v>
      </c>
      <c r="H134" s="267" t="s">
        <v>115</v>
      </c>
      <c r="I134" s="270" t="s">
        <v>74</v>
      </c>
      <c r="J134" s="271" t="s">
        <v>75</v>
      </c>
      <c r="K134" s="272" t="s">
        <v>76</v>
      </c>
      <c r="M134" s="232" t="str">
        <f t="shared" si="8"/>
        <v>1</v>
      </c>
      <c r="N134" s="228" t="str">
        <f t="shared" si="9"/>
        <v>40421142品目マスタCPで取り扱いが無い（諸口品目）商品購買</v>
      </c>
      <c r="O134" s="79" t="s">
        <v>73</v>
      </c>
    </row>
    <row r="135" spans="1:15" ht="19.5" hidden="1">
      <c r="A135" s="244">
        <v>40</v>
      </c>
      <c r="B135" s="245" t="s">
        <v>101</v>
      </c>
      <c r="C135" s="246">
        <v>42</v>
      </c>
      <c r="D135" s="247" t="s">
        <v>114</v>
      </c>
      <c r="E135" s="248">
        <v>1</v>
      </c>
      <c r="F135" s="249" t="s">
        <v>54</v>
      </c>
      <c r="G135" s="249">
        <v>142</v>
      </c>
      <c r="H135" s="249" t="s">
        <v>115</v>
      </c>
      <c r="I135" s="273" t="s">
        <v>74</v>
      </c>
      <c r="J135" s="274" t="s">
        <v>75</v>
      </c>
      <c r="K135" s="275" t="s">
        <v>76</v>
      </c>
      <c r="L135" s="233"/>
      <c r="M135" s="234" t="str">
        <f t="shared" si="8"/>
        <v/>
      </c>
      <c r="N135" s="235" t="str">
        <f t="shared" si="9"/>
        <v>40421142品目マスタCPで取り扱いが無い（諸口品目）商品購買</v>
      </c>
      <c r="O135" s="230" t="s">
        <v>73</v>
      </c>
    </row>
    <row r="136" spans="1:15" ht="19.5">
      <c r="A136" s="278">
        <v>40</v>
      </c>
      <c r="B136" s="284" t="s">
        <v>101</v>
      </c>
      <c r="C136" s="285">
        <v>42</v>
      </c>
      <c r="D136" s="286" t="s">
        <v>114</v>
      </c>
      <c r="E136" s="281">
        <v>2</v>
      </c>
      <c r="F136" s="282" t="s">
        <v>138</v>
      </c>
      <c r="G136" s="287">
        <v>242</v>
      </c>
      <c r="H136" s="282" t="s">
        <v>114</v>
      </c>
      <c r="I136" s="287" t="s">
        <v>84</v>
      </c>
      <c r="J136" s="287" t="s">
        <v>58</v>
      </c>
      <c r="K136" s="288" t="s">
        <v>85</v>
      </c>
      <c r="M136" s="232" t="str">
        <f t="shared" si="8"/>
        <v>1</v>
      </c>
      <c r="N136" s="228" t="str">
        <f t="shared" si="9"/>
        <v>40422242製品マスタCPで取り扱いがある（品目登録済）加工品受注</v>
      </c>
      <c r="O136" s="77" t="s">
        <v>139</v>
      </c>
    </row>
    <row r="137" spans="1:15" ht="19.5" hidden="1">
      <c r="A137" s="244">
        <v>40</v>
      </c>
      <c r="B137" s="274" t="s">
        <v>101</v>
      </c>
      <c r="C137" s="246">
        <v>42</v>
      </c>
      <c r="D137" s="247" t="s">
        <v>114</v>
      </c>
      <c r="E137" s="260">
        <v>2</v>
      </c>
      <c r="F137" s="261" t="s">
        <v>138</v>
      </c>
      <c r="G137" s="249">
        <v>242</v>
      </c>
      <c r="H137" s="261" t="s">
        <v>114</v>
      </c>
      <c r="I137" s="249" t="s">
        <v>84</v>
      </c>
      <c r="J137" s="249" t="s">
        <v>58</v>
      </c>
      <c r="K137" s="250" t="s">
        <v>85</v>
      </c>
      <c r="L137" s="233"/>
      <c r="M137" s="234" t="str">
        <f t="shared" si="8"/>
        <v/>
      </c>
      <c r="N137" s="235" t="str">
        <f t="shared" si="9"/>
        <v>40422242製品マスタCPで取り扱いがある（品目登録済）加工品受注</v>
      </c>
      <c r="O137" s="230" t="s">
        <v>139</v>
      </c>
    </row>
    <row r="138" spans="1:15" ht="19.5" hidden="1">
      <c r="A138" s="244">
        <v>40</v>
      </c>
      <c r="B138" s="274" t="s">
        <v>101</v>
      </c>
      <c r="C138" s="246">
        <v>42</v>
      </c>
      <c r="D138" s="247" t="s">
        <v>114</v>
      </c>
      <c r="E138" s="260">
        <v>2</v>
      </c>
      <c r="F138" s="261" t="s">
        <v>138</v>
      </c>
      <c r="G138" s="249">
        <v>242</v>
      </c>
      <c r="H138" s="261" t="s">
        <v>114</v>
      </c>
      <c r="I138" s="249" t="s">
        <v>84</v>
      </c>
      <c r="J138" s="249" t="s">
        <v>58</v>
      </c>
      <c r="K138" s="250" t="s">
        <v>85</v>
      </c>
      <c r="L138" s="233"/>
      <c r="M138" s="234" t="str">
        <f t="shared" si="8"/>
        <v/>
      </c>
      <c r="N138" s="235" t="str">
        <f t="shared" si="9"/>
        <v>40422242製品マスタCPで取り扱いがある（品目登録済）加工品受注</v>
      </c>
      <c r="O138" s="230" t="s">
        <v>139</v>
      </c>
    </row>
    <row r="139" spans="1:15" ht="19.5" hidden="1">
      <c r="A139" s="244">
        <v>40</v>
      </c>
      <c r="B139" s="274" t="s">
        <v>101</v>
      </c>
      <c r="C139" s="246">
        <v>42</v>
      </c>
      <c r="D139" s="247" t="s">
        <v>114</v>
      </c>
      <c r="E139" s="260">
        <v>2</v>
      </c>
      <c r="F139" s="261" t="s">
        <v>138</v>
      </c>
      <c r="G139" s="249">
        <v>242</v>
      </c>
      <c r="H139" s="261" t="s">
        <v>114</v>
      </c>
      <c r="I139" s="249" t="s">
        <v>84</v>
      </c>
      <c r="J139" s="249" t="s">
        <v>58</v>
      </c>
      <c r="K139" s="250" t="s">
        <v>85</v>
      </c>
      <c r="L139" s="233"/>
      <c r="M139" s="234" t="str">
        <f t="shared" si="8"/>
        <v/>
      </c>
      <c r="N139" s="235" t="str">
        <f t="shared" si="9"/>
        <v>40422242製品マスタCPで取り扱いがある（品目登録済）加工品受注</v>
      </c>
      <c r="O139" s="230" t="s">
        <v>56</v>
      </c>
    </row>
    <row r="140" spans="1:15" ht="19.5" hidden="1">
      <c r="A140" s="244">
        <v>40</v>
      </c>
      <c r="B140" s="274" t="s">
        <v>101</v>
      </c>
      <c r="C140" s="246">
        <v>42</v>
      </c>
      <c r="D140" s="247" t="s">
        <v>114</v>
      </c>
      <c r="E140" s="260">
        <v>2</v>
      </c>
      <c r="F140" s="261" t="s">
        <v>138</v>
      </c>
      <c r="G140" s="249">
        <v>242</v>
      </c>
      <c r="H140" s="261" t="s">
        <v>114</v>
      </c>
      <c r="I140" s="249" t="s">
        <v>84</v>
      </c>
      <c r="J140" s="249" t="s">
        <v>58</v>
      </c>
      <c r="K140" s="250" t="s">
        <v>85</v>
      </c>
      <c r="L140" s="233"/>
      <c r="M140" s="234" t="str">
        <f t="shared" si="8"/>
        <v/>
      </c>
      <c r="N140" s="235" t="str">
        <f t="shared" si="9"/>
        <v>40422242製品マスタCPで取り扱いがある（品目登録済）加工品受注</v>
      </c>
      <c r="O140" s="230" t="s">
        <v>56</v>
      </c>
    </row>
    <row r="141" spans="1:15" ht="19.5" hidden="1">
      <c r="A141" s="244">
        <v>40</v>
      </c>
      <c r="B141" s="274" t="s">
        <v>101</v>
      </c>
      <c r="C141" s="246">
        <v>42</v>
      </c>
      <c r="D141" s="247" t="s">
        <v>114</v>
      </c>
      <c r="E141" s="260">
        <v>2</v>
      </c>
      <c r="F141" s="261" t="s">
        <v>138</v>
      </c>
      <c r="G141" s="249">
        <v>242</v>
      </c>
      <c r="H141" s="261" t="s">
        <v>114</v>
      </c>
      <c r="I141" s="249" t="s">
        <v>84</v>
      </c>
      <c r="J141" s="249" t="s">
        <v>58</v>
      </c>
      <c r="K141" s="250" t="s">
        <v>85</v>
      </c>
      <c r="L141" s="233"/>
      <c r="M141" s="234" t="str">
        <f t="shared" si="8"/>
        <v/>
      </c>
      <c r="N141" s="235" t="str">
        <f t="shared" si="9"/>
        <v>40422242製品マスタCPで取り扱いがある（品目登録済）加工品受注</v>
      </c>
      <c r="O141" s="230" t="s">
        <v>80</v>
      </c>
    </row>
    <row r="142" spans="1:15" ht="19.5">
      <c r="A142" s="278">
        <v>40</v>
      </c>
      <c r="B142" s="284" t="s">
        <v>101</v>
      </c>
      <c r="C142" s="285">
        <v>42</v>
      </c>
      <c r="D142" s="286" t="s">
        <v>114</v>
      </c>
      <c r="E142" s="294">
        <v>6</v>
      </c>
      <c r="F142" s="295" t="s">
        <v>160</v>
      </c>
      <c r="G142" s="287">
        <v>600</v>
      </c>
      <c r="H142" s="282" t="s">
        <v>161</v>
      </c>
      <c r="I142" s="277" t="s">
        <v>57</v>
      </c>
      <c r="J142" s="296" t="s">
        <v>58</v>
      </c>
      <c r="K142" s="297" t="s">
        <v>170</v>
      </c>
      <c r="M142" s="232" t="str">
        <f t="shared" si="8"/>
        <v>1</v>
      </c>
      <c r="N142" s="228" t="str">
        <f t="shared" si="9"/>
        <v>40426600WEB受注CPで取り扱いがある（品目登録済）原紙売り（受発注方式）</v>
      </c>
      <c r="O142" s="218" t="s">
        <v>169</v>
      </c>
    </row>
    <row r="143" spans="1:15" ht="19.5" hidden="1">
      <c r="A143" s="244">
        <v>40</v>
      </c>
      <c r="B143" s="274" t="s">
        <v>101</v>
      </c>
      <c r="C143" s="246">
        <v>42</v>
      </c>
      <c r="D143" s="247" t="s">
        <v>114</v>
      </c>
      <c r="E143" s="260">
        <v>6</v>
      </c>
      <c r="F143" s="261" t="s">
        <v>160</v>
      </c>
      <c r="G143" s="249">
        <v>600</v>
      </c>
      <c r="H143" s="261" t="s">
        <v>161</v>
      </c>
      <c r="I143" s="249" t="s">
        <v>57</v>
      </c>
      <c r="J143" s="249" t="s">
        <v>58</v>
      </c>
      <c r="K143" s="298" t="s">
        <v>170</v>
      </c>
      <c r="L143" s="233"/>
      <c r="M143" s="234" t="str">
        <f t="shared" si="8"/>
        <v/>
      </c>
      <c r="N143" s="235" t="str">
        <f t="shared" si="9"/>
        <v>40426600WEB受注CPで取り扱いがある（品目登録済）原紙売り（受発注方式）</v>
      </c>
      <c r="O143" s="229" t="s">
        <v>169</v>
      </c>
    </row>
    <row r="144" spans="1:15" ht="19.5" hidden="1">
      <c r="A144" s="244">
        <v>40</v>
      </c>
      <c r="B144" s="274" t="s">
        <v>101</v>
      </c>
      <c r="C144" s="246">
        <v>42</v>
      </c>
      <c r="D144" s="247" t="s">
        <v>114</v>
      </c>
      <c r="E144" s="260">
        <v>6</v>
      </c>
      <c r="F144" s="261" t="s">
        <v>160</v>
      </c>
      <c r="G144" s="249">
        <v>600</v>
      </c>
      <c r="H144" s="261" t="s">
        <v>161</v>
      </c>
      <c r="I144" s="249" t="s">
        <v>57</v>
      </c>
      <c r="J144" s="249" t="s">
        <v>58</v>
      </c>
      <c r="K144" s="298" t="s">
        <v>170</v>
      </c>
      <c r="L144" s="233"/>
      <c r="M144" s="234" t="str">
        <f t="shared" si="8"/>
        <v/>
      </c>
      <c r="N144" s="235" t="str">
        <f t="shared" si="9"/>
        <v>40426600WEB受注CPで取り扱いがある（品目登録済）原紙売り（受発注方式）</v>
      </c>
      <c r="O144" s="229" t="s">
        <v>169</v>
      </c>
    </row>
    <row r="145" spans="1:15" ht="20.25" thickBot="1">
      <c r="A145" s="278">
        <v>40</v>
      </c>
      <c r="B145" s="284" t="s">
        <v>101</v>
      </c>
      <c r="C145" s="285">
        <v>42</v>
      </c>
      <c r="D145" s="286" t="s">
        <v>114</v>
      </c>
      <c r="E145" s="289">
        <v>6</v>
      </c>
      <c r="F145" s="290" t="s">
        <v>160</v>
      </c>
      <c r="G145" s="287">
        <v>600</v>
      </c>
      <c r="H145" s="282" t="s">
        <v>161</v>
      </c>
      <c r="I145" s="291" t="s">
        <v>162</v>
      </c>
      <c r="J145" s="292" t="s">
        <v>58</v>
      </c>
      <c r="K145" s="293" t="s">
        <v>76</v>
      </c>
      <c r="M145" s="232" t="str">
        <f t="shared" si="8"/>
        <v>1</v>
      </c>
      <c r="N145" s="228" t="str">
        <f t="shared" si="9"/>
        <v>40426600原紙マスタCPで取り扱いがある（品目登録済）商品購買</v>
      </c>
      <c r="O145" s="217" t="s">
        <v>73</v>
      </c>
    </row>
    <row r="146" spans="1:15" ht="19.5" hidden="1">
      <c r="A146" s="244">
        <v>40</v>
      </c>
      <c r="B146" s="274" t="s">
        <v>101</v>
      </c>
      <c r="C146" s="246">
        <v>42</v>
      </c>
      <c r="D146" s="247" t="s">
        <v>114</v>
      </c>
      <c r="E146" s="260">
        <v>6</v>
      </c>
      <c r="F146" s="261" t="s">
        <v>160</v>
      </c>
      <c r="G146" s="249">
        <v>600</v>
      </c>
      <c r="H146" s="261" t="s">
        <v>161</v>
      </c>
      <c r="I146" s="249" t="s">
        <v>162</v>
      </c>
      <c r="J146" s="249" t="s">
        <v>58</v>
      </c>
      <c r="K146" s="250" t="s">
        <v>76</v>
      </c>
      <c r="L146" s="233"/>
      <c r="M146" s="234" t="str">
        <f t="shared" si="8"/>
        <v/>
      </c>
      <c r="N146" s="235" t="str">
        <f t="shared" si="9"/>
        <v>40426600原紙マスタCPで取り扱いがある（品目登録済）商品購買</v>
      </c>
      <c r="O146" s="229" t="s">
        <v>73</v>
      </c>
    </row>
    <row r="147" spans="1:15" ht="20.25" hidden="1" thickBot="1">
      <c r="A147" s="299">
        <v>40</v>
      </c>
      <c r="B147" s="300" t="s">
        <v>101</v>
      </c>
      <c r="C147" s="301">
        <v>42</v>
      </c>
      <c r="D147" s="302" t="s">
        <v>114</v>
      </c>
      <c r="E147" s="303">
        <v>6</v>
      </c>
      <c r="F147" s="304" t="s">
        <v>160</v>
      </c>
      <c r="G147" s="305">
        <v>600</v>
      </c>
      <c r="H147" s="304" t="s">
        <v>161</v>
      </c>
      <c r="I147" s="305" t="s">
        <v>162</v>
      </c>
      <c r="J147" s="305" t="s">
        <v>58</v>
      </c>
      <c r="K147" s="307" t="s">
        <v>76</v>
      </c>
      <c r="L147" s="233"/>
      <c r="M147" s="234" t="str">
        <f t="shared" si="8"/>
        <v/>
      </c>
      <c r="N147" s="235" t="str">
        <f t="shared" si="9"/>
        <v>40426600原紙マスタCPで取り扱いがある（品目登録済）商品購買</v>
      </c>
      <c r="O147" s="229" t="s">
        <v>73</v>
      </c>
    </row>
    <row r="148" spans="1:15">
      <c r="A148" s="324"/>
      <c r="B148" s="324"/>
      <c r="C148" s="324"/>
      <c r="D148" s="324"/>
      <c r="E148" s="324"/>
      <c r="F148" s="324"/>
      <c r="G148" s="324"/>
      <c r="H148" s="324"/>
      <c r="I148" s="324"/>
      <c r="J148" s="324"/>
      <c r="K148" s="324"/>
    </row>
  </sheetData>
  <autoFilter ref="A2:N147" xr:uid="{A9B48186-E48E-4539-9124-C52D6C33DF2E}">
    <filterColumn colId="12">
      <customFilters>
        <customFilter operator="notEqual" val=" "/>
      </customFilters>
    </filterColumn>
  </autoFilter>
  <sortState xmlns:xlrd2="http://schemas.microsoft.com/office/spreadsheetml/2017/richdata2" ref="A3:O147">
    <sortCondition ref="A3:A147"/>
    <sortCondition ref="C3:C147"/>
    <sortCondition ref="E3:E147"/>
    <sortCondition ref="G3:G147"/>
    <sortCondition ref="I3:I147"/>
    <sortCondition ref="J3:J147"/>
    <sortCondition ref="K3:K147"/>
  </sortState>
  <mergeCells count="1">
    <mergeCell ref="O1:O2"/>
  </mergeCells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BA4C-334B-48C8-A9BA-2380F8CE49D7}">
  <sheetPr>
    <tabColor theme="0" tint="-0.34998626667073579"/>
  </sheetPr>
  <dimension ref="B1:X73"/>
  <sheetViews>
    <sheetView showGridLines="0" topLeftCell="A53" zoomScale="85" zoomScaleNormal="85" workbookViewId="0">
      <selection activeCell="C86" sqref="C86"/>
    </sheetView>
  </sheetViews>
  <sheetFormatPr defaultColWidth="2" defaultRowHeight="14.25"/>
  <cols>
    <col min="1" max="1" width="2" style="14"/>
    <col min="2" max="2" width="3.5" style="14" bestFit="1" customWidth="1"/>
    <col min="3" max="3" width="8.625" style="14" bestFit="1" customWidth="1"/>
    <col min="4" max="4" width="26.5" style="14" bestFit="1" customWidth="1"/>
    <col min="5" max="5" width="13.75" style="14" customWidth="1"/>
    <col min="6" max="6" width="13.375" style="14" customWidth="1"/>
    <col min="7" max="7" width="12.375" style="14" customWidth="1"/>
    <col min="8" max="12" width="15.125" style="14" customWidth="1"/>
    <col min="13" max="13" width="17.375" style="14" customWidth="1"/>
    <col min="14" max="14" width="15" style="14" bestFit="1" customWidth="1"/>
    <col min="15" max="16" width="13.5" style="14" bestFit="1" customWidth="1"/>
    <col min="17" max="17" width="12.375" style="14" customWidth="1"/>
    <col min="18" max="18" width="14.125" style="14" customWidth="1"/>
    <col min="19" max="19" width="8.25" style="14" bestFit="1" customWidth="1"/>
    <col min="20" max="22" width="9.875" style="14" customWidth="1"/>
    <col min="23" max="23" width="13.25" style="14" customWidth="1"/>
    <col min="24" max="16384" width="2" style="14"/>
  </cols>
  <sheetData>
    <row r="1" spans="2:24">
      <c r="B1" s="1338" t="s">
        <v>251</v>
      </c>
      <c r="C1" s="1338"/>
      <c r="D1" s="1338"/>
      <c r="F1" s="15"/>
      <c r="G1" s="15"/>
    </row>
    <row r="2" spans="2:24">
      <c r="B2" s="1339"/>
      <c r="C2" s="1339"/>
      <c r="D2" s="1339"/>
      <c r="E2" s="26" t="s">
        <v>252</v>
      </c>
      <c r="F2" s="26" t="s">
        <v>254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2:24" s="15" customFormat="1" ht="94.5" customHeight="1">
      <c r="B3" s="1340" t="s">
        <v>235</v>
      </c>
      <c r="C3" s="1341"/>
      <c r="D3" s="29" t="s">
        <v>272</v>
      </c>
      <c r="E3" s="117" t="s">
        <v>290</v>
      </c>
      <c r="F3" s="30" t="s">
        <v>256</v>
      </c>
      <c r="G3" s="31" t="s">
        <v>295</v>
      </c>
      <c r="H3" s="30" t="s">
        <v>364</v>
      </c>
      <c r="I3" s="30" t="s">
        <v>363</v>
      </c>
      <c r="J3" s="30" t="s">
        <v>236</v>
      </c>
      <c r="K3" s="30" t="s">
        <v>237</v>
      </c>
      <c r="L3" s="30" t="s">
        <v>238</v>
      </c>
      <c r="M3" s="30" t="s">
        <v>239</v>
      </c>
      <c r="N3" s="30" t="s">
        <v>240</v>
      </c>
      <c r="O3" s="30" t="s">
        <v>241</v>
      </c>
      <c r="P3" s="30" t="s">
        <v>242</v>
      </c>
      <c r="Q3" s="30" t="s">
        <v>243</v>
      </c>
      <c r="R3" s="30" t="s">
        <v>244</v>
      </c>
      <c r="S3" s="30" t="s">
        <v>245</v>
      </c>
      <c r="T3" s="30" t="s">
        <v>246</v>
      </c>
      <c r="U3" s="30" t="s">
        <v>247</v>
      </c>
      <c r="V3" s="30" t="s">
        <v>248</v>
      </c>
      <c r="W3" s="30" t="s">
        <v>249</v>
      </c>
      <c r="X3" s="30" t="s">
        <v>250</v>
      </c>
    </row>
    <row r="4" spans="2:24" s="20" customFormat="1" ht="30" customHeight="1">
      <c r="B4" s="23">
        <v>10</v>
      </c>
      <c r="C4" s="23" t="s">
        <v>140</v>
      </c>
      <c r="D4" s="22" t="s">
        <v>273</v>
      </c>
      <c r="E4" s="19" t="s">
        <v>292</v>
      </c>
      <c r="F4" s="19"/>
      <c r="G4" s="19" t="s">
        <v>296</v>
      </c>
      <c r="H4" s="21" t="s">
        <v>286</v>
      </c>
      <c r="I4" s="21"/>
      <c r="J4" s="19" t="s">
        <v>265</v>
      </c>
      <c r="K4" s="19" t="s">
        <v>265</v>
      </c>
      <c r="L4" s="19" t="s">
        <v>264</v>
      </c>
      <c r="M4" s="13" t="s">
        <v>292</v>
      </c>
      <c r="N4" s="19" t="s">
        <v>291</v>
      </c>
      <c r="O4" s="21" t="s">
        <v>292</v>
      </c>
      <c r="P4" s="21" t="s">
        <v>292</v>
      </c>
      <c r="Q4" s="21" t="s">
        <v>292</v>
      </c>
      <c r="R4" s="21" t="s">
        <v>292</v>
      </c>
      <c r="S4" s="21" t="s">
        <v>292</v>
      </c>
      <c r="T4" s="19" t="s">
        <v>292</v>
      </c>
      <c r="U4" s="19" t="s">
        <v>292</v>
      </c>
      <c r="V4" s="19" t="s">
        <v>292</v>
      </c>
      <c r="W4" s="19" t="s">
        <v>292</v>
      </c>
      <c r="X4" s="19" t="s">
        <v>292</v>
      </c>
    </row>
    <row r="5" spans="2:24" s="20" customFormat="1" ht="30" customHeight="1">
      <c r="B5" s="23">
        <v>11</v>
      </c>
      <c r="C5" s="23" t="s">
        <v>81</v>
      </c>
      <c r="D5" s="22" t="s">
        <v>273</v>
      </c>
      <c r="E5" s="19" t="s">
        <v>292</v>
      </c>
      <c r="F5" s="19"/>
      <c r="G5" s="19" t="s">
        <v>296</v>
      </c>
      <c r="H5" s="21" t="s">
        <v>286</v>
      </c>
      <c r="I5" s="21"/>
      <c r="J5" s="19" t="s">
        <v>265</v>
      </c>
      <c r="K5" s="19" t="s">
        <v>265</v>
      </c>
      <c r="L5" s="19" t="s">
        <v>264</v>
      </c>
      <c r="M5" s="13" t="s">
        <v>292</v>
      </c>
      <c r="N5" s="19" t="s">
        <v>291</v>
      </c>
      <c r="O5" s="21" t="s">
        <v>292</v>
      </c>
      <c r="P5" s="21" t="s">
        <v>292</v>
      </c>
      <c r="Q5" s="21" t="s">
        <v>292</v>
      </c>
      <c r="R5" s="21" t="s">
        <v>292</v>
      </c>
      <c r="S5" s="21" t="s">
        <v>292</v>
      </c>
      <c r="T5" s="19" t="s">
        <v>292</v>
      </c>
      <c r="U5" s="19" t="s">
        <v>292</v>
      </c>
      <c r="V5" s="19" t="s">
        <v>292</v>
      </c>
      <c r="W5" s="19" t="s">
        <v>292</v>
      </c>
      <c r="X5" s="19" t="s">
        <v>292</v>
      </c>
    </row>
    <row r="6" spans="2:24" s="20" customFormat="1" ht="30" customHeight="1">
      <c r="B6" s="22">
        <v>20</v>
      </c>
      <c r="C6" s="22" t="s">
        <v>137</v>
      </c>
      <c r="D6" s="22" t="s">
        <v>275</v>
      </c>
      <c r="E6" s="19" t="s">
        <v>292</v>
      </c>
      <c r="F6" s="24" t="s">
        <v>281</v>
      </c>
      <c r="G6" s="19" t="s">
        <v>297</v>
      </c>
      <c r="H6" s="325" t="s">
        <v>299</v>
      </c>
      <c r="I6" s="325"/>
      <c r="J6" s="19" t="s">
        <v>265</v>
      </c>
      <c r="K6" s="19" t="s">
        <v>265</v>
      </c>
      <c r="L6" s="19" t="s">
        <v>265</v>
      </c>
      <c r="M6" s="13" t="s">
        <v>298</v>
      </c>
      <c r="N6" s="19" t="s">
        <v>298</v>
      </c>
      <c r="O6" s="21" t="s">
        <v>298</v>
      </c>
      <c r="P6" s="21" t="s">
        <v>298</v>
      </c>
      <c r="Q6" s="21" t="s">
        <v>298</v>
      </c>
      <c r="R6" s="21" t="s">
        <v>298</v>
      </c>
      <c r="S6" s="21" t="s">
        <v>298</v>
      </c>
      <c r="T6" s="19" t="s">
        <v>298</v>
      </c>
      <c r="U6" s="19" t="s">
        <v>298</v>
      </c>
      <c r="V6" s="19" t="s">
        <v>298</v>
      </c>
      <c r="W6" s="19" t="s">
        <v>298</v>
      </c>
      <c r="X6" s="19" t="s">
        <v>298</v>
      </c>
    </row>
    <row r="7" spans="2:24" s="20" customFormat="1" ht="30" customHeight="1">
      <c r="B7" s="22">
        <v>21</v>
      </c>
      <c r="C7" s="22" t="s">
        <v>52</v>
      </c>
      <c r="D7" s="22" t="s">
        <v>275</v>
      </c>
      <c r="E7" s="19" t="s">
        <v>292</v>
      </c>
      <c r="F7" s="24" t="s">
        <v>281</v>
      </c>
      <c r="G7" s="19" t="s">
        <v>297</v>
      </c>
      <c r="H7" s="325" t="s">
        <v>299</v>
      </c>
      <c r="I7" s="325"/>
      <c r="J7" s="19" t="s">
        <v>265</v>
      </c>
      <c r="K7" s="19" t="s">
        <v>265</v>
      </c>
      <c r="L7" s="19" t="s">
        <v>265</v>
      </c>
      <c r="M7" s="13" t="s">
        <v>298</v>
      </c>
      <c r="N7" s="19" t="s">
        <v>298</v>
      </c>
      <c r="O7" s="21" t="s">
        <v>298</v>
      </c>
      <c r="P7" s="21" t="s">
        <v>298</v>
      </c>
      <c r="Q7" s="21" t="s">
        <v>298</v>
      </c>
      <c r="R7" s="21" t="s">
        <v>298</v>
      </c>
      <c r="S7" s="21" t="s">
        <v>298</v>
      </c>
      <c r="T7" s="19" t="s">
        <v>298</v>
      </c>
      <c r="U7" s="19" t="s">
        <v>298</v>
      </c>
      <c r="V7" s="19" t="s">
        <v>298</v>
      </c>
      <c r="W7" s="19" t="s">
        <v>298</v>
      </c>
      <c r="X7" s="19" t="s">
        <v>298</v>
      </c>
    </row>
    <row r="8" spans="2:24" s="20" customFormat="1" ht="30" customHeight="1">
      <c r="B8" s="116">
        <v>30</v>
      </c>
      <c r="C8" s="116" t="s">
        <v>118</v>
      </c>
      <c r="D8" s="22" t="s">
        <v>359</v>
      </c>
      <c r="E8" s="19" t="s">
        <v>292</v>
      </c>
      <c r="F8" s="24" t="s">
        <v>281</v>
      </c>
      <c r="G8" s="19" t="s">
        <v>297</v>
      </c>
      <c r="H8" s="325"/>
      <c r="I8" s="325"/>
      <c r="J8" s="19" t="s">
        <v>265</v>
      </c>
      <c r="K8" s="19" t="s">
        <v>265</v>
      </c>
      <c r="L8" s="19" t="s">
        <v>265</v>
      </c>
      <c r="M8" s="13" t="s">
        <v>298</v>
      </c>
      <c r="N8" s="19" t="s">
        <v>298</v>
      </c>
      <c r="O8" s="21" t="s">
        <v>298</v>
      </c>
      <c r="P8" s="21" t="s">
        <v>298</v>
      </c>
      <c r="Q8" s="21" t="s">
        <v>298</v>
      </c>
      <c r="R8" s="21" t="s">
        <v>298</v>
      </c>
      <c r="S8" s="21" t="s">
        <v>298</v>
      </c>
      <c r="T8" s="19" t="s">
        <v>298</v>
      </c>
      <c r="U8" s="19" t="s">
        <v>298</v>
      </c>
      <c r="V8" s="19" t="s">
        <v>298</v>
      </c>
      <c r="W8" s="19" t="s">
        <v>298</v>
      </c>
      <c r="X8" s="19" t="s">
        <v>298</v>
      </c>
    </row>
    <row r="9" spans="2:24" s="20" customFormat="1" ht="39" customHeight="1">
      <c r="B9" s="22">
        <v>40</v>
      </c>
      <c r="C9" s="25" t="s">
        <v>101</v>
      </c>
      <c r="D9" s="22" t="s">
        <v>279</v>
      </c>
      <c r="E9" s="19" t="s">
        <v>292</v>
      </c>
      <c r="F9" s="24" t="s">
        <v>281</v>
      </c>
      <c r="G9" s="19" t="s">
        <v>297</v>
      </c>
      <c r="H9" s="325"/>
      <c r="I9" s="325"/>
      <c r="J9" s="19" t="s">
        <v>265</v>
      </c>
      <c r="K9" s="19" t="s">
        <v>265</v>
      </c>
      <c r="L9" s="19" t="s">
        <v>265</v>
      </c>
      <c r="M9" s="13" t="s">
        <v>298</v>
      </c>
      <c r="N9" s="19" t="s">
        <v>298</v>
      </c>
      <c r="O9" s="21" t="s">
        <v>298</v>
      </c>
      <c r="P9" s="21" t="s">
        <v>298</v>
      </c>
      <c r="Q9" s="21" t="s">
        <v>298</v>
      </c>
      <c r="R9" s="21" t="s">
        <v>298</v>
      </c>
      <c r="S9" s="21" t="s">
        <v>298</v>
      </c>
      <c r="T9" s="19" t="s">
        <v>298</v>
      </c>
      <c r="U9" s="19" t="s">
        <v>298</v>
      </c>
      <c r="V9" s="19" t="s">
        <v>298</v>
      </c>
      <c r="W9" s="19" t="s">
        <v>298</v>
      </c>
      <c r="X9" s="19" t="s">
        <v>298</v>
      </c>
    </row>
    <row r="10" spans="2:24">
      <c r="B10" s="16"/>
      <c r="C10" s="17"/>
      <c r="D10" s="17"/>
      <c r="H10" s="18"/>
      <c r="K10" s="18"/>
      <c r="L10" s="18"/>
      <c r="N10" s="18"/>
      <c r="O10" s="18"/>
      <c r="P10" s="18"/>
      <c r="Q10" s="18"/>
      <c r="R10" s="18"/>
    </row>
    <row r="11" spans="2:24" s="15" customFormat="1">
      <c r="B11" s="1338" t="s">
        <v>282</v>
      </c>
      <c r="C11" s="1338"/>
      <c r="D11" s="1338"/>
    </row>
    <row r="12" spans="2:24" s="15" customFormat="1">
      <c r="B12" s="1339"/>
      <c r="C12" s="1339"/>
      <c r="D12" s="1339"/>
      <c r="E12" s="27" t="s">
        <v>253</v>
      </c>
      <c r="L12" s="26" t="s">
        <v>257</v>
      </c>
      <c r="M12" s="26" t="s">
        <v>258</v>
      </c>
      <c r="N12" s="26" t="s">
        <v>259</v>
      </c>
    </row>
    <row r="13" spans="2:24" s="15" customFormat="1" ht="100.5" customHeight="1">
      <c r="B13" s="1340" t="s">
        <v>235</v>
      </c>
      <c r="C13" s="1341"/>
      <c r="D13" s="32" t="s">
        <v>272</v>
      </c>
      <c r="E13" s="32" t="s">
        <v>301</v>
      </c>
      <c r="F13" s="32"/>
      <c r="G13" s="32"/>
      <c r="H13" s="30" t="s">
        <v>248</v>
      </c>
      <c r="I13" s="30" t="s">
        <v>287</v>
      </c>
      <c r="J13" s="30" t="s">
        <v>288</v>
      </c>
      <c r="K13" s="30" t="s">
        <v>289</v>
      </c>
      <c r="L13" s="117" t="s">
        <v>290</v>
      </c>
      <c r="M13" s="117" t="s">
        <v>290</v>
      </c>
      <c r="N13" s="117" t="s">
        <v>290</v>
      </c>
    </row>
    <row r="14" spans="2:24" s="15" customFormat="1">
      <c r="B14" s="23">
        <v>10</v>
      </c>
      <c r="C14" s="23" t="s">
        <v>140</v>
      </c>
      <c r="D14" s="22" t="s">
        <v>273</v>
      </c>
      <c r="E14" s="22"/>
      <c r="F14" s="22"/>
      <c r="G14" s="22"/>
      <c r="H14" s="28"/>
      <c r="I14" s="28"/>
      <c r="J14" s="28"/>
      <c r="K14" s="28"/>
      <c r="L14" s="28"/>
      <c r="M14" s="28"/>
      <c r="N14" s="28"/>
    </row>
    <row r="15" spans="2:24" s="15" customFormat="1">
      <c r="B15" s="23">
        <v>11</v>
      </c>
      <c r="C15" s="23" t="s">
        <v>81</v>
      </c>
      <c r="D15" s="22" t="s">
        <v>273</v>
      </c>
      <c r="E15" s="22"/>
      <c r="F15" s="22"/>
      <c r="G15" s="22"/>
      <c r="H15" s="28"/>
      <c r="I15" s="28"/>
      <c r="J15" s="28"/>
      <c r="K15" s="28"/>
      <c r="L15" s="28"/>
      <c r="M15" s="28"/>
      <c r="N15" s="28"/>
    </row>
    <row r="16" spans="2:24" s="15" customFormat="1">
      <c r="B16" s="22">
        <v>20</v>
      </c>
      <c r="C16" s="22" t="s">
        <v>137</v>
      </c>
      <c r="D16" s="22" t="s">
        <v>275</v>
      </c>
      <c r="E16" s="22"/>
      <c r="F16" s="22"/>
      <c r="G16" s="22"/>
      <c r="H16" s="28"/>
      <c r="I16" s="28"/>
      <c r="J16" s="28"/>
      <c r="K16" s="28"/>
      <c r="L16" s="28"/>
      <c r="M16" s="28"/>
      <c r="N16" s="28"/>
    </row>
    <row r="17" spans="2:14" s="15" customFormat="1">
      <c r="B17" s="22">
        <v>21</v>
      </c>
      <c r="C17" s="22" t="s">
        <v>52</v>
      </c>
      <c r="D17" s="22" t="s">
        <v>275</v>
      </c>
      <c r="E17" s="22"/>
      <c r="F17" s="22"/>
      <c r="G17" s="22"/>
      <c r="H17" s="28"/>
      <c r="I17" s="28"/>
      <c r="J17" s="28"/>
      <c r="K17" s="28"/>
      <c r="L17" s="28"/>
      <c r="M17" s="28"/>
      <c r="N17" s="28"/>
    </row>
    <row r="18" spans="2:14" s="15" customFormat="1" ht="28.5">
      <c r="B18" s="22">
        <v>30</v>
      </c>
      <c r="C18" s="22" t="s">
        <v>118</v>
      </c>
      <c r="D18" s="22" t="s">
        <v>276</v>
      </c>
      <c r="E18" s="22"/>
      <c r="F18" s="22"/>
      <c r="G18" s="22"/>
      <c r="H18" s="24" t="s">
        <v>281</v>
      </c>
      <c r="I18" s="24" t="s">
        <v>281</v>
      </c>
      <c r="J18" s="24" t="s">
        <v>281</v>
      </c>
      <c r="K18" s="24" t="s">
        <v>281</v>
      </c>
      <c r="L18" s="24" t="s">
        <v>281</v>
      </c>
      <c r="M18" s="24" t="s">
        <v>281</v>
      </c>
      <c r="N18" s="24" t="s">
        <v>281</v>
      </c>
    </row>
    <row r="19" spans="2:14" s="15" customFormat="1" ht="28.5">
      <c r="B19" s="22">
        <v>30</v>
      </c>
      <c r="C19" s="22" t="s">
        <v>118</v>
      </c>
      <c r="D19" s="22" t="s">
        <v>277</v>
      </c>
      <c r="E19" s="22"/>
      <c r="F19" s="22"/>
      <c r="G19" s="22"/>
      <c r="H19" s="28"/>
      <c r="I19" s="28"/>
      <c r="J19" s="28"/>
      <c r="K19" s="28"/>
      <c r="L19" s="28"/>
      <c r="M19" s="28"/>
      <c r="N19" s="28"/>
    </row>
    <row r="20" spans="2:14" s="15" customFormat="1" ht="28.5">
      <c r="B20" s="22">
        <v>30</v>
      </c>
      <c r="C20" s="22" t="s">
        <v>118</v>
      </c>
      <c r="D20" s="22" t="s">
        <v>278</v>
      </c>
      <c r="E20" s="22"/>
      <c r="F20" s="22"/>
      <c r="G20" s="22"/>
      <c r="H20" s="28"/>
      <c r="I20" s="28"/>
      <c r="J20" s="28"/>
      <c r="K20" s="28"/>
      <c r="L20" s="28"/>
      <c r="M20" s="28"/>
      <c r="N20" s="28"/>
    </row>
    <row r="21" spans="2:14" s="15" customFormat="1" ht="28.5">
      <c r="B21" s="22">
        <v>40</v>
      </c>
      <c r="C21" s="25" t="s">
        <v>101</v>
      </c>
      <c r="D21" s="22" t="s">
        <v>279</v>
      </c>
      <c r="E21" s="22"/>
      <c r="F21" s="22"/>
      <c r="G21" s="22"/>
      <c r="H21" s="28"/>
      <c r="I21" s="28"/>
      <c r="J21" s="28"/>
      <c r="K21" s="28"/>
      <c r="L21" s="28"/>
      <c r="M21" s="28"/>
      <c r="N21" s="28"/>
    </row>
    <row r="22" spans="2:14" s="15" customFormat="1"/>
    <row r="23" spans="2:14" s="15" customFormat="1"/>
    <row r="24" spans="2:14" s="15" customFormat="1">
      <c r="B24" s="1338" t="s">
        <v>283</v>
      </c>
      <c r="C24" s="1338"/>
      <c r="D24" s="1338"/>
    </row>
    <row r="25" spans="2:14" s="15" customFormat="1">
      <c r="B25" s="1339"/>
      <c r="C25" s="1339"/>
      <c r="D25" s="1339"/>
      <c r="E25" s="26" t="s">
        <v>260</v>
      </c>
    </row>
    <row r="26" spans="2:14" s="15" customFormat="1" ht="100.5" customHeight="1">
      <c r="B26" s="1340" t="s">
        <v>235</v>
      </c>
      <c r="C26" s="1341"/>
      <c r="D26" s="32" t="s">
        <v>272</v>
      </c>
      <c r="E26" s="117" t="s">
        <v>290</v>
      </c>
    </row>
    <row r="27" spans="2:14" s="15" customFormat="1">
      <c r="B27" s="23">
        <v>10</v>
      </c>
      <c r="C27" s="23" t="s">
        <v>140</v>
      </c>
      <c r="D27" s="22" t="s">
        <v>273</v>
      </c>
      <c r="E27" s="28"/>
    </row>
    <row r="28" spans="2:14" s="15" customFormat="1">
      <c r="B28" s="23">
        <v>11</v>
      </c>
      <c r="C28" s="23" t="s">
        <v>81</v>
      </c>
      <c r="D28" s="22" t="s">
        <v>273</v>
      </c>
      <c r="E28" s="28"/>
    </row>
    <row r="29" spans="2:14" s="15" customFormat="1">
      <c r="B29" s="22">
        <v>20</v>
      </c>
      <c r="C29" s="22" t="s">
        <v>137</v>
      </c>
      <c r="D29" s="22" t="s">
        <v>275</v>
      </c>
      <c r="E29" s="28"/>
    </row>
    <row r="30" spans="2:14" s="15" customFormat="1">
      <c r="B30" s="22">
        <v>21</v>
      </c>
      <c r="C30" s="22" t="s">
        <v>52</v>
      </c>
      <c r="D30" s="22" t="s">
        <v>275</v>
      </c>
      <c r="E30" s="28"/>
    </row>
    <row r="31" spans="2:14" s="15" customFormat="1" ht="28.5">
      <c r="B31" s="22">
        <v>30</v>
      </c>
      <c r="C31" s="22" t="s">
        <v>118</v>
      </c>
      <c r="D31" s="22" t="s">
        <v>276</v>
      </c>
      <c r="E31" s="24" t="s">
        <v>281</v>
      </c>
    </row>
    <row r="32" spans="2:14" s="15" customFormat="1" ht="28.5">
      <c r="B32" s="22">
        <v>30</v>
      </c>
      <c r="C32" s="22" t="s">
        <v>118</v>
      </c>
      <c r="D32" s="22" t="s">
        <v>277</v>
      </c>
      <c r="E32" s="24" t="s">
        <v>281</v>
      </c>
    </row>
    <row r="33" spans="2:9" s="15" customFormat="1" ht="28.5">
      <c r="B33" s="22">
        <v>30</v>
      </c>
      <c r="C33" s="22" t="s">
        <v>118</v>
      </c>
      <c r="D33" s="22" t="s">
        <v>278</v>
      </c>
      <c r="E33" s="24" t="s">
        <v>281</v>
      </c>
    </row>
    <row r="34" spans="2:9" s="15" customFormat="1" ht="28.5">
      <c r="B34" s="22">
        <v>40</v>
      </c>
      <c r="C34" s="25" t="s">
        <v>101</v>
      </c>
      <c r="D34" s="22" t="s">
        <v>279</v>
      </c>
      <c r="E34" s="28"/>
    </row>
    <row r="35" spans="2:9" s="15" customFormat="1"/>
    <row r="36" spans="2:9" s="15" customFormat="1">
      <c r="B36" s="1338" t="s">
        <v>284</v>
      </c>
      <c r="C36" s="1338"/>
      <c r="D36" s="1338"/>
    </row>
    <row r="37" spans="2:9" s="15" customFormat="1">
      <c r="B37" s="1339"/>
      <c r="C37" s="1339"/>
      <c r="D37" s="1339"/>
      <c r="E37" s="26" t="s">
        <v>253</v>
      </c>
      <c r="F37" s="26" t="s">
        <v>261</v>
      </c>
      <c r="G37" s="26" t="s">
        <v>260</v>
      </c>
      <c r="H37" s="26" t="s">
        <v>262</v>
      </c>
      <c r="I37" s="26" t="s">
        <v>263</v>
      </c>
    </row>
    <row r="38" spans="2:9" s="15" customFormat="1" ht="100.5" customHeight="1">
      <c r="B38" s="1340" t="s">
        <v>235</v>
      </c>
      <c r="C38" s="1341"/>
      <c r="D38" s="118" t="s">
        <v>272</v>
      </c>
      <c r="E38" s="117" t="s">
        <v>290</v>
      </c>
      <c r="F38" s="117" t="s">
        <v>290</v>
      </c>
      <c r="G38" s="117" t="s">
        <v>290</v>
      </c>
      <c r="H38" s="117" t="s">
        <v>290</v>
      </c>
      <c r="I38" s="117" t="s">
        <v>290</v>
      </c>
    </row>
    <row r="39" spans="2:9" s="15" customFormat="1">
      <c r="B39" s="23">
        <v>10</v>
      </c>
      <c r="C39" s="23" t="s">
        <v>140</v>
      </c>
      <c r="D39" s="119" t="s">
        <v>273</v>
      </c>
      <c r="E39" s="28"/>
      <c r="F39" s="28"/>
      <c r="G39" s="28"/>
      <c r="H39" s="28"/>
      <c r="I39" s="28"/>
    </row>
    <row r="40" spans="2:9" s="15" customFormat="1">
      <c r="B40" s="23">
        <v>11</v>
      </c>
      <c r="C40" s="23" t="s">
        <v>81</v>
      </c>
      <c r="D40" s="119" t="s">
        <v>273</v>
      </c>
      <c r="E40" s="28"/>
      <c r="F40" s="28"/>
      <c r="G40" s="28"/>
      <c r="H40" s="28"/>
      <c r="I40" s="28"/>
    </row>
    <row r="41" spans="2:9" s="15" customFormat="1">
      <c r="B41" s="22">
        <v>20</v>
      </c>
      <c r="C41" s="22" t="s">
        <v>137</v>
      </c>
      <c r="D41" s="119" t="s">
        <v>275</v>
      </c>
      <c r="E41" s="28"/>
      <c r="F41" s="28"/>
      <c r="G41" s="28"/>
      <c r="H41" s="28"/>
      <c r="I41" s="28"/>
    </row>
    <row r="42" spans="2:9" s="15" customFormat="1">
      <c r="B42" s="22">
        <v>21</v>
      </c>
      <c r="C42" s="22" t="s">
        <v>52</v>
      </c>
      <c r="D42" s="119" t="s">
        <v>275</v>
      </c>
      <c r="E42" s="28"/>
      <c r="F42" s="28"/>
      <c r="G42" s="28"/>
      <c r="H42" s="28"/>
      <c r="I42" s="28"/>
    </row>
    <row r="43" spans="2:9" s="15" customFormat="1" ht="28.5">
      <c r="B43" s="22">
        <v>30</v>
      </c>
      <c r="C43" s="22" t="s">
        <v>118</v>
      </c>
      <c r="D43" s="119" t="s">
        <v>276</v>
      </c>
      <c r="E43" s="24" t="s">
        <v>281</v>
      </c>
      <c r="F43" s="24" t="s">
        <v>281</v>
      </c>
      <c r="G43" s="24" t="s">
        <v>281</v>
      </c>
      <c r="H43" s="24" t="s">
        <v>281</v>
      </c>
      <c r="I43" s="24" t="s">
        <v>281</v>
      </c>
    </row>
    <row r="44" spans="2:9" s="15" customFormat="1" ht="28.5">
      <c r="B44" s="22">
        <v>30</v>
      </c>
      <c r="C44" s="22" t="s">
        <v>118</v>
      </c>
      <c r="D44" s="119" t="s">
        <v>277</v>
      </c>
      <c r="E44" s="24" t="s">
        <v>281</v>
      </c>
      <c r="F44" s="24" t="s">
        <v>281</v>
      </c>
      <c r="G44" s="24" t="s">
        <v>281</v>
      </c>
      <c r="H44" s="24" t="s">
        <v>281</v>
      </c>
      <c r="I44" s="24" t="s">
        <v>281</v>
      </c>
    </row>
    <row r="45" spans="2:9" s="15" customFormat="1" ht="28.5">
      <c r="B45" s="22">
        <v>30</v>
      </c>
      <c r="C45" s="22" t="s">
        <v>118</v>
      </c>
      <c r="D45" s="119" t="s">
        <v>278</v>
      </c>
      <c r="E45" s="24" t="s">
        <v>281</v>
      </c>
      <c r="F45" s="24" t="s">
        <v>281</v>
      </c>
      <c r="G45" s="24" t="s">
        <v>281</v>
      </c>
      <c r="H45" s="24" t="s">
        <v>281</v>
      </c>
      <c r="I45" s="24" t="s">
        <v>281</v>
      </c>
    </row>
    <row r="46" spans="2:9" s="15" customFormat="1" ht="28.5">
      <c r="B46" s="22">
        <v>40</v>
      </c>
      <c r="C46" s="25" t="s">
        <v>101</v>
      </c>
      <c r="D46" s="119" t="s">
        <v>279</v>
      </c>
      <c r="E46" s="28"/>
      <c r="F46" s="28"/>
      <c r="G46" s="28"/>
      <c r="H46" s="28"/>
      <c r="I46" s="28"/>
    </row>
    <row r="47" spans="2:9" s="15" customFormat="1"/>
    <row r="48" spans="2:9" s="15" customFormat="1">
      <c r="B48" s="1338" t="s">
        <v>285</v>
      </c>
      <c r="C48" s="1338"/>
      <c r="D48" s="1338"/>
    </row>
    <row r="49" spans="2:19" s="15" customFormat="1">
      <c r="B49" s="1339"/>
      <c r="C49" s="1339"/>
      <c r="D49" s="1339"/>
      <c r="E49" s="26" t="s">
        <v>255</v>
      </c>
    </row>
    <row r="50" spans="2:19" s="15" customFormat="1" ht="100.5" customHeight="1">
      <c r="B50" s="1340" t="s">
        <v>235</v>
      </c>
      <c r="C50" s="1341"/>
      <c r="D50" s="32" t="s">
        <v>272</v>
      </c>
      <c r="E50" s="30" t="s">
        <v>290</v>
      </c>
      <c r="F50" s="14"/>
      <c r="G50" s="14"/>
      <c r="H50" s="14"/>
      <c r="I50" s="14"/>
    </row>
    <row r="51" spans="2:19" s="15" customFormat="1">
      <c r="B51" s="23">
        <v>10</v>
      </c>
      <c r="C51" s="23" t="s">
        <v>140</v>
      </c>
      <c r="D51" s="22" t="s">
        <v>273</v>
      </c>
      <c r="E51" s="28"/>
      <c r="F51" s="14"/>
      <c r="G51" s="14"/>
      <c r="H51" s="14"/>
      <c r="I51" s="14"/>
    </row>
    <row r="52" spans="2:19" s="15" customFormat="1">
      <c r="B52" s="23">
        <v>11</v>
      </c>
      <c r="C52" s="23" t="s">
        <v>81</v>
      </c>
      <c r="D52" s="22" t="s">
        <v>273</v>
      </c>
      <c r="E52" s="28"/>
      <c r="F52" s="14"/>
      <c r="G52" s="14"/>
      <c r="H52" s="14"/>
      <c r="I52" s="14"/>
    </row>
    <row r="53" spans="2:19" s="15" customFormat="1">
      <c r="B53" s="22">
        <v>20</v>
      </c>
      <c r="C53" s="22" t="s">
        <v>137</v>
      </c>
      <c r="D53" s="22" t="s">
        <v>275</v>
      </c>
      <c r="E53" s="28"/>
      <c r="F53" s="14"/>
      <c r="G53" s="14"/>
      <c r="H53" s="14"/>
      <c r="I53" s="14"/>
    </row>
    <row r="54" spans="2:19" s="15" customFormat="1">
      <c r="B54" s="22">
        <v>21</v>
      </c>
      <c r="C54" s="22" t="s">
        <v>52</v>
      </c>
      <c r="D54" s="22" t="s">
        <v>275</v>
      </c>
      <c r="E54" s="28"/>
      <c r="F54" s="14"/>
      <c r="G54" s="14"/>
      <c r="H54" s="14"/>
      <c r="I54" s="14"/>
    </row>
    <row r="55" spans="2:19" s="15" customFormat="1" ht="28.5">
      <c r="B55" s="22">
        <v>30</v>
      </c>
      <c r="C55" s="22" t="s">
        <v>118</v>
      </c>
      <c r="D55" s="22" t="s">
        <v>276</v>
      </c>
      <c r="E55" s="24" t="s">
        <v>281</v>
      </c>
      <c r="F55" s="14"/>
      <c r="G55" s="14"/>
      <c r="H55" s="14"/>
      <c r="I55" s="14"/>
    </row>
    <row r="56" spans="2:19" s="15" customFormat="1" ht="28.5">
      <c r="B56" s="22">
        <v>30</v>
      </c>
      <c r="C56" s="22" t="s">
        <v>118</v>
      </c>
      <c r="D56" s="22" t="s">
        <v>277</v>
      </c>
      <c r="E56" s="24" t="s">
        <v>281</v>
      </c>
      <c r="F56" s="14"/>
      <c r="G56" s="14"/>
      <c r="H56" s="14"/>
      <c r="I56" s="14"/>
    </row>
    <row r="57" spans="2:19" s="15" customFormat="1" ht="28.5">
      <c r="B57" s="22">
        <v>30</v>
      </c>
      <c r="C57" s="22" t="s">
        <v>118</v>
      </c>
      <c r="D57" s="22" t="s">
        <v>278</v>
      </c>
      <c r="E57" s="24" t="s">
        <v>281</v>
      </c>
      <c r="F57" s="14"/>
      <c r="G57" s="14"/>
      <c r="H57" s="14"/>
      <c r="I57" s="14"/>
    </row>
    <row r="58" spans="2:19" s="15" customFormat="1" ht="28.5">
      <c r="B58" s="22">
        <v>40</v>
      </c>
      <c r="C58" s="25" t="s">
        <v>101</v>
      </c>
      <c r="D58" s="22" t="s">
        <v>279</v>
      </c>
      <c r="E58" s="28"/>
      <c r="F58" s="14"/>
      <c r="G58" s="14"/>
      <c r="H58" s="14"/>
      <c r="I58" s="14"/>
    </row>
    <row r="61" spans="2:19" ht="15" thickBot="1"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</row>
    <row r="62" spans="2:19">
      <c r="C62" s="14" t="s">
        <v>293</v>
      </c>
    </row>
    <row r="63" spans="2:19" ht="15" thickBot="1"/>
    <row r="64" spans="2:19" ht="31.5">
      <c r="D64" s="33"/>
      <c r="E64" s="33"/>
      <c r="F64" s="39" t="s">
        <v>267</v>
      </c>
      <c r="G64" s="41"/>
      <c r="H64" s="39" t="s">
        <v>268</v>
      </c>
      <c r="I64" s="40"/>
      <c r="J64" s="40"/>
      <c r="K64" s="41"/>
      <c r="L64" s="49" t="s">
        <v>269</v>
      </c>
      <c r="M64" s="39" t="s">
        <v>270</v>
      </c>
      <c r="N64" s="40"/>
      <c r="O64" s="40"/>
      <c r="P64" s="40"/>
      <c r="Q64" s="41"/>
      <c r="R64" s="49" t="s">
        <v>271</v>
      </c>
    </row>
    <row r="65" spans="4:18" s="20" customFormat="1" ht="15.75">
      <c r="D65" s="35"/>
      <c r="E65" s="392" t="s">
        <v>203</v>
      </c>
      <c r="F65" s="394" t="s">
        <v>253</v>
      </c>
      <c r="G65" s="395" t="s">
        <v>266</v>
      </c>
      <c r="H65" s="42" t="s">
        <v>253</v>
      </c>
      <c r="I65" s="36" t="s">
        <v>257</v>
      </c>
      <c r="J65" s="36" t="s">
        <v>258</v>
      </c>
      <c r="K65" s="43" t="s">
        <v>259</v>
      </c>
      <c r="L65" s="50" t="s">
        <v>260</v>
      </c>
      <c r="M65" s="42" t="s">
        <v>253</v>
      </c>
      <c r="N65" s="36" t="s">
        <v>261</v>
      </c>
      <c r="O65" s="36" t="s">
        <v>260</v>
      </c>
      <c r="P65" s="36" t="s">
        <v>262</v>
      </c>
      <c r="Q65" s="43" t="s">
        <v>263</v>
      </c>
      <c r="R65" s="50" t="s">
        <v>255</v>
      </c>
    </row>
    <row r="66" spans="4:18" ht="15.75">
      <c r="D66" s="37" t="s">
        <v>202</v>
      </c>
      <c r="E66" s="392" t="s">
        <v>204</v>
      </c>
      <c r="F66" s="396" t="s">
        <v>213</v>
      </c>
      <c r="G66" s="397" t="s">
        <v>213</v>
      </c>
      <c r="H66" s="44" t="s">
        <v>218</v>
      </c>
      <c r="I66" s="34" t="s">
        <v>214</v>
      </c>
      <c r="J66" s="34" t="s">
        <v>218</v>
      </c>
      <c r="K66" s="45" t="s">
        <v>218</v>
      </c>
      <c r="L66" s="51" t="s">
        <v>214</v>
      </c>
      <c r="M66" s="44" t="s">
        <v>214</v>
      </c>
      <c r="N66" s="34" t="s">
        <v>214</v>
      </c>
      <c r="O66" s="34" t="s">
        <v>214</v>
      </c>
      <c r="P66" s="34" t="s">
        <v>214</v>
      </c>
      <c r="Q66" s="45" t="s">
        <v>214</v>
      </c>
      <c r="R66" s="51" t="s">
        <v>214</v>
      </c>
    </row>
    <row r="67" spans="4:18" ht="15.75">
      <c r="D67" s="37"/>
      <c r="E67" s="392" t="s">
        <v>205</v>
      </c>
      <c r="F67" s="396" t="s">
        <v>213</v>
      </c>
      <c r="G67" s="399" t="s">
        <v>216</v>
      </c>
      <c r="H67" s="44" t="s">
        <v>218</v>
      </c>
      <c r="I67" s="34" t="s">
        <v>218</v>
      </c>
      <c r="J67" s="34" t="s">
        <v>218</v>
      </c>
      <c r="K67" s="45" t="s">
        <v>218</v>
      </c>
      <c r="L67" s="51" t="s">
        <v>218</v>
      </c>
      <c r="M67" s="44" t="s">
        <v>218</v>
      </c>
      <c r="N67" s="34" t="s">
        <v>218</v>
      </c>
      <c r="O67" s="34" t="s">
        <v>218</v>
      </c>
      <c r="P67" s="34" t="s">
        <v>218</v>
      </c>
      <c r="Q67" s="54" t="s">
        <v>216</v>
      </c>
      <c r="R67" s="51" t="s">
        <v>218</v>
      </c>
    </row>
    <row r="68" spans="4:18" ht="15.75">
      <c r="D68" s="37"/>
      <c r="E68" s="392" t="s">
        <v>206</v>
      </c>
      <c r="F68" s="396" t="s">
        <v>213</v>
      </c>
      <c r="G68" s="399" t="s">
        <v>216</v>
      </c>
      <c r="H68" s="44" t="s">
        <v>218</v>
      </c>
      <c r="I68" s="38" t="s">
        <v>216</v>
      </c>
      <c r="J68" s="34" t="s">
        <v>218</v>
      </c>
      <c r="K68" s="45" t="s">
        <v>218</v>
      </c>
      <c r="L68" s="52" t="s">
        <v>216</v>
      </c>
      <c r="M68" s="55" t="s">
        <v>216</v>
      </c>
      <c r="N68" s="38" t="s">
        <v>216</v>
      </c>
      <c r="O68" s="38" t="s">
        <v>216</v>
      </c>
      <c r="P68" s="38" t="s">
        <v>216</v>
      </c>
      <c r="Q68" s="54" t="s">
        <v>216</v>
      </c>
      <c r="R68" s="52" t="s">
        <v>216</v>
      </c>
    </row>
    <row r="69" spans="4:18" ht="15.75">
      <c r="D69" s="37"/>
      <c r="E69" s="392" t="s">
        <v>207</v>
      </c>
      <c r="F69" s="396" t="s">
        <v>214</v>
      </c>
      <c r="G69" s="399" t="s">
        <v>216</v>
      </c>
      <c r="H69" s="44" t="s">
        <v>214</v>
      </c>
      <c r="I69" s="34" t="s">
        <v>214</v>
      </c>
      <c r="J69" s="34" t="s">
        <v>214</v>
      </c>
      <c r="K69" s="45" t="s">
        <v>214</v>
      </c>
      <c r="L69" s="52" t="s">
        <v>216</v>
      </c>
      <c r="M69" s="55" t="s">
        <v>216</v>
      </c>
      <c r="N69" s="38" t="s">
        <v>216</v>
      </c>
      <c r="O69" s="38" t="s">
        <v>216</v>
      </c>
      <c r="P69" s="38" t="s">
        <v>216</v>
      </c>
      <c r="Q69" s="54" t="s">
        <v>216</v>
      </c>
      <c r="R69" s="52" t="s">
        <v>216</v>
      </c>
    </row>
    <row r="70" spans="4:18" ht="15.75">
      <c r="D70" s="37"/>
      <c r="E70" s="392" t="s">
        <v>208</v>
      </c>
      <c r="F70" s="396" t="s">
        <v>213</v>
      </c>
      <c r="G70" s="399" t="s">
        <v>216</v>
      </c>
      <c r="H70" s="44" t="s">
        <v>218</v>
      </c>
      <c r="I70" s="38" t="s">
        <v>216</v>
      </c>
      <c r="J70" s="38" t="s">
        <v>216</v>
      </c>
      <c r="K70" s="45" t="s">
        <v>213</v>
      </c>
      <c r="L70" s="52" t="s">
        <v>216</v>
      </c>
      <c r="M70" s="55" t="s">
        <v>216</v>
      </c>
      <c r="N70" s="38" t="s">
        <v>216</v>
      </c>
      <c r="O70" s="38" t="s">
        <v>216</v>
      </c>
      <c r="P70" s="38" t="s">
        <v>216</v>
      </c>
      <c r="Q70" s="54" t="s">
        <v>216</v>
      </c>
      <c r="R70" s="52" t="s">
        <v>216</v>
      </c>
    </row>
    <row r="71" spans="4:18" ht="15.75">
      <c r="D71" s="37"/>
      <c r="E71" s="392" t="s">
        <v>209</v>
      </c>
      <c r="F71" s="396" t="s">
        <v>213</v>
      </c>
      <c r="G71" s="399" t="s">
        <v>216</v>
      </c>
      <c r="H71" s="44" t="s">
        <v>218</v>
      </c>
      <c r="I71" s="38" t="s">
        <v>216</v>
      </c>
      <c r="J71" s="38" t="s">
        <v>216</v>
      </c>
      <c r="K71" s="45" t="s">
        <v>213</v>
      </c>
      <c r="L71" s="52" t="s">
        <v>216</v>
      </c>
      <c r="M71" s="55" t="s">
        <v>216</v>
      </c>
      <c r="N71" s="38" t="s">
        <v>216</v>
      </c>
      <c r="O71" s="38" t="s">
        <v>216</v>
      </c>
      <c r="P71" s="38" t="s">
        <v>216</v>
      </c>
      <c r="Q71" s="54" t="s">
        <v>216</v>
      </c>
      <c r="R71" s="52" t="s">
        <v>216</v>
      </c>
    </row>
    <row r="72" spans="4:18" ht="31.5">
      <c r="D72" s="37"/>
      <c r="E72" s="393" t="s">
        <v>210</v>
      </c>
      <c r="F72" s="396" t="s">
        <v>213</v>
      </c>
      <c r="G72" s="399" t="s">
        <v>216</v>
      </c>
      <c r="H72" s="44" t="s">
        <v>213</v>
      </c>
      <c r="I72" s="34" t="s">
        <v>213</v>
      </c>
      <c r="J72" s="34" t="s">
        <v>213</v>
      </c>
      <c r="K72" s="45" t="s">
        <v>213</v>
      </c>
      <c r="L72" s="51" t="s">
        <v>213</v>
      </c>
      <c r="M72" s="44" t="s">
        <v>213</v>
      </c>
      <c r="N72" s="34" t="s">
        <v>213</v>
      </c>
      <c r="O72" s="34" t="s">
        <v>213</v>
      </c>
      <c r="P72" s="34" t="s">
        <v>213</v>
      </c>
      <c r="Q72" s="54" t="s">
        <v>216</v>
      </c>
      <c r="R72" s="51" t="s">
        <v>213</v>
      </c>
    </row>
    <row r="73" spans="4:18" ht="36" customHeight="1" thickBot="1">
      <c r="D73" s="37"/>
      <c r="E73" s="392" t="s">
        <v>211</v>
      </c>
      <c r="F73" s="398" t="s">
        <v>213</v>
      </c>
      <c r="G73" s="400" t="s">
        <v>216</v>
      </c>
      <c r="H73" s="46" t="s">
        <v>213</v>
      </c>
      <c r="I73" s="47" t="s">
        <v>213</v>
      </c>
      <c r="J73" s="47" t="s">
        <v>213</v>
      </c>
      <c r="K73" s="48" t="s">
        <v>213</v>
      </c>
      <c r="L73" s="53" t="s">
        <v>213</v>
      </c>
      <c r="M73" s="46" t="s">
        <v>213</v>
      </c>
      <c r="N73" s="47" t="s">
        <v>213</v>
      </c>
      <c r="O73" s="47" t="s">
        <v>213</v>
      </c>
      <c r="P73" s="47" t="s">
        <v>213</v>
      </c>
      <c r="Q73" s="56" t="s">
        <v>216</v>
      </c>
      <c r="R73" s="53" t="s">
        <v>213</v>
      </c>
    </row>
  </sheetData>
  <autoFilter ref="E65:R73" xr:uid="{DA69BA4C-334B-48C8-A9BA-2380F8CE49D7}"/>
  <mergeCells count="10">
    <mergeCell ref="B1:D2"/>
    <mergeCell ref="B26:C26"/>
    <mergeCell ref="B38:C38"/>
    <mergeCell ref="B50:C50"/>
    <mergeCell ref="B36:D37"/>
    <mergeCell ref="B48:D49"/>
    <mergeCell ref="B13:C13"/>
    <mergeCell ref="B3:C3"/>
    <mergeCell ref="B24:D25"/>
    <mergeCell ref="B11:D12"/>
  </mergeCells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05C6-3DF7-4A72-BEBF-467CD13BA520}">
  <sheetPr>
    <tabColor theme="0" tint="-0.34998626667073579"/>
  </sheetPr>
  <dimension ref="B1:U55"/>
  <sheetViews>
    <sheetView showGridLines="0" zoomScale="70" zoomScaleNormal="70" workbookViewId="0">
      <selection activeCell="C86" sqref="C86"/>
    </sheetView>
  </sheetViews>
  <sheetFormatPr defaultRowHeight="18.75"/>
  <cols>
    <col min="1" max="1" width="5" style="123" customWidth="1"/>
    <col min="2" max="2" width="9.25" style="4" bestFit="1" customWidth="1"/>
    <col min="3" max="3" width="11.25" style="66" bestFit="1" customWidth="1"/>
    <col min="4" max="4" width="3.875" style="123" customWidth="1"/>
    <col min="5" max="5" width="9.25" style="123" bestFit="1" customWidth="1"/>
    <col min="6" max="7" width="11.25" style="123" bestFit="1" customWidth="1"/>
    <col min="8" max="8" width="13.25" style="123" bestFit="1" customWidth="1"/>
    <col min="9" max="9" width="9.625" style="123" customWidth="1"/>
    <col min="10" max="10" width="13.75" style="123" bestFit="1" customWidth="1"/>
    <col min="11" max="11" width="5.25" style="123" customWidth="1"/>
    <col min="12" max="12" width="21.625" style="135" customWidth="1"/>
    <col min="13" max="13" width="11.25" style="135" bestFit="1" customWidth="1"/>
    <col min="14" max="14" width="16.25" style="135" customWidth="1"/>
    <col min="15" max="15" width="20.375" style="135" customWidth="1"/>
    <col min="16" max="17" width="9.625" style="135" customWidth="1"/>
    <col min="18" max="18" width="21.875" style="135" customWidth="1"/>
    <col min="19" max="19" width="20" style="135" customWidth="1"/>
    <col min="20" max="20" width="18.5" style="135" customWidth="1"/>
    <col min="21" max="21" width="10.375" style="161" bestFit="1" customWidth="1"/>
    <col min="22" max="16384" width="9" style="123"/>
  </cols>
  <sheetData>
    <row r="1" spans="2:21">
      <c r="E1" s="184" t="s">
        <v>351</v>
      </c>
    </row>
    <row r="2" spans="2:21">
      <c r="B2" s="1345" t="s">
        <v>4</v>
      </c>
      <c r="C2" s="1345" t="s">
        <v>5</v>
      </c>
      <c r="E2" s="1345" t="s">
        <v>4</v>
      </c>
      <c r="F2" s="1345" t="s">
        <v>5</v>
      </c>
      <c r="G2" s="1350" t="s">
        <v>336</v>
      </c>
      <c r="H2" s="1350" t="s">
        <v>337</v>
      </c>
      <c r="J2" s="1345" t="s">
        <v>355</v>
      </c>
      <c r="L2" s="1347" t="s">
        <v>327</v>
      </c>
      <c r="M2" s="1347" t="s">
        <v>336</v>
      </c>
      <c r="N2" s="1347" t="s">
        <v>337</v>
      </c>
      <c r="O2" s="1349" t="s">
        <v>329</v>
      </c>
      <c r="P2" s="1349"/>
      <c r="Q2" s="1342" t="s">
        <v>331</v>
      </c>
      <c r="R2" s="1343"/>
      <c r="S2" s="1343"/>
      <c r="T2" s="1344"/>
    </row>
    <row r="3" spans="2:21" ht="49.5" customHeight="1" thickBot="1">
      <c r="B3" s="1351"/>
      <c r="C3" s="1351"/>
      <c r="E3" s="1346"/>
      <c r="F3" s="1346"/>
      <c r="G3" s="1346"/>
      <c r="H3" s="1346"/>
      <c r="J3" s="1346"/>
      <c r="L3" s="1348"/>
      <c r="M3" s="1348"/>
      <c r="N3" s="1348"/>
      <c r="O3" s="159" t="s">
        <v>340</v>
      </c>
      <c r="P3" s="185" t="s">
        <v>339</v>
      </c>
      <c r="Q3" s="186"/>
      <c r="R3" s="214" t="s">
        <v>350</v>
      </c>
      <c r="S3" s="3" t="s">
        <v>332</v>
      </c>
      <c r="T3" s="214" t="s">
        <v>333</v>
      </c>
    </row>
    <row r="4" spans="2:21" ht="31.5">
      <c r="B4" s="3">
        <v>10</v>
      </c>
      <c r="C4" s="162" t="s">
        <v>140</v>
      </c>
      <c r="E4" s="59">
        <v>10</v>
      </c>
      <c r="F4" s="163" t="s">
        <v>140</v>
      </c>
      <c r="G4" s="60">
        <v>12</v>
      </c>
      <c r="H4" s="164" t="s">
        <v>82</v>
      </c>
      <c r="J4" s="164" t="s">
        <v>302</v>
      </c>
      <c r="L4" s="138" t="s">
        <v>325</v>
      </c>
      <c r="M4" s="144">
        <v>12</v>
      </c>
      <c r="N4" s="145" t="s">
        <v>82</v>
      </c>
      <c r="O4" s="153" t="s">
        <v>334</v>
      </c>
      <c r="P4" s="187" t="s">
        <v>334</v>
      </c>
      <c r="Q4" s="188"/>
      <c r="R4" s="176"/>
      <c r="S4" s="199" t="s">
        <v>356</v>
      </c>
      <c r="T4" s="215" t="s">
        <v>357</v>
      </c>
    </row>
    <row r="5" spans="2:21" ht="31.5">
      <c r="B5" s="3">
        <v>11</v>
      </c>
      <c r="C5" s="162" t="s">
        <v>81</v>
      </c>
      <c r="E5" s="61">
        <v>10</v>
      </c>
      <c r="F5" s="165" t="s">
        <v>140</v>
      </c>
      <c r="G5" s="12">
        <v>13</v>
      </c>
      <c r="H5" s="166" t="s">
        <v>87</v>
      </c>
      <c r="J5" s="166" t="s">
        <v>303</v>
      </c>
      <c r="L5" s="140"/>
      <c r="M5" s="146">
        <v>13</v>
      </c>
      <c r="N5" s="147" t="s">
        <v>87</v>
      </c>
      <c r="O5" s="154" t="s">
        <v>334</v>
      </c>
      <c r="P5" s="189" t="s">
        <v>334</v>
      </c>
      <c r="Q5" s="190"/>
      <c r="R5" s="177"/>
      <c r="S5" s="200" t="s">
        <v>356</v>
      </c>
      <c r="T5" s="216" t="s">
        <v>357</v>
      </c>
    </row>
    <row r="6" spans="2:21" ht="31.5">
      <c r="B6" s="2">
        <v>20</v>
      </c>
      <c r="C6" s="165" t="s">
        <v>137</v>
      </c>
      <c r="E6" s="61">
        <v>10</v>
      </c>
      <c r="F6" s="165" t="s">
        <v>140</v>
      </c>
      <c r="G6" s="12">
        <v>21</v>
      </c>
      <c r="H6" s="166" t="s">
        <v>90</v>
      </c>
      <c r="J6" s="166" t="s">
        <v>304</v>
      </c>
      <c r="L6" s="140"/>
      <c r="M6" s="146">
        <v>21</v>
      </c>
      <c r="N6" s="147" t="s">
        <v>90</v>
      </c>
      <c r="O6" s="154" t="s">
        <v>334</v>
      </c>
      <c r="P6" s="189" t="s">
        <v>334</v>
      </c>
      <c r="Q6" s="190"/>
      <c r="R6" s="177"/>
      <c r="S6" s="200" t="s">
        <v>356</v>
      </c>
      <c r="T6" s="216" t="s">
        <v>358</v>
      </c>
    </row>
    <row r="7" spans="2:21" ht="31.5">
      <c r="B7" s="2">
        <v>21</v>
      </c>
      <c r="C7" s="165" t="s">
        <v>52</v>
      </c>
      <c r="E7" s="61">
        <v>10</v>
      </c>
      <c r="F7" s="165" t="s">
        <v>140</v>
      </c>
      <c r="G7" s="12">
        <v>23</v>
      </c>
      <c r="H7" s="166" t="s">
        <v>95</v>
      </c>
      <c r="J7" s="166" t="s">
        <v>305</v>
      </c>
      <c r="L7" s="140"/>
      <c r="M7" s="146">
        <v>23</v>
      </c>
      <c r="N7" s="147" t="s">
        <v>95</v>
      </c>
      <c r="O7" s="154" t="s">
        <v>334</v>
      </c>
      <c r="P7" s="189" t="s">
        <v>334</v>
      </c>
      <c r="Q7" s="190"/>
      <c r="R7" s="177"/>
      <c r="S7" s="200" t="s">
        <v>356</v>
      </c>
      <c r="T7" s="216" t="s">
        <v>358</v>
      </c>
    </row>
    <row r="8" spans="2:21" ht="31.5">
      <c r="B8" s="2">
        <v>30</v>
      </c>
      <c r="C8" s="165" t="s">
        <v>118</v>
      </c>
      <c r="E8" s="61">
        <v>10</v>
      </c>
      <c r="F8" s="165" t="s">
        <v>140</v>
      </c>
      <c r="G8" s="12">
        <v>31</v>
      </c>
      <c r="H8" s="166" t="s">
        <v>97</v>
      </c>
      <c r="J8" s="166" t="s">
        <v>306</v>
      </c>
      <c r="L8" s="140"/>
      <c r="M8" s="146">
        <v>31</v>
      </c>
      <c r="N8" s="147" t="s">
        <v>97</v>
      </c>
      <c r="O8" s="154" t="s">
        <v>334</v>
      </c>
      <c r="P8" s="189" t="s">
        <v>334</v>
      </c>
      <c r="Q8" s="190"/>
      <c r="R8" s="177"/>
      <c r="S8" s="200" t="s">
        <v>356</v>
      </c>
      <c r="T8" s="216" t="s">
        <v>358</v>
      </c>
    </row>
    <row r="9" spans="2:21" ht="32.25" thickBot="1">
      <c r="B9" s="2">
        <v>40</v>
      </c>
      <c r="C9" s="167" t="s">
        <v>101</v>
      </c>
      <c r="E9" s="62">
        <v>10</v>
      </c>
      <c r="F9" s="168" t="s">
        <v>140</v>
      </c>
      <c r="G9" s="63">
        <v>32</v>
      </c>
      <c r="H9" s="169" t="s">
        <v>99</v>
      </c>
      <c r="J9" s="169" t="s">
        <v>307</v>
      </c>
      <c r="L9" s="140"/>
      <c r="M9" s="156">
        <v>32</v>
      </c>
      <c r="N9" s="157" t="s">
        <v>99</v>
      </c>
      <c r="O9" s="198" t="s">
        <v>334</v>
      </c>
      <c r="P9" s="193" t="s">
        <v>334</v>
      </c>
      <c r="Q9" s="194"/>
      <c r="R9" s="180"/>
      <c r="S9" s="201" t="s">
        <v>356</v>
      </c>
      <c r="T9" s="225" t="s">
        <v>358</v>
      </c>
    </row>
    <row r="10" spans="2:21" ht="47.25">
      <c r="B10" s="123"/>
      <c r="C10" s="123"/>
      <c r="E10" s="59">
        <v>11</v>
      </c>
      <c r="F10" s="163" t="s">
        <v>81</v>
      </c>
      <c r="G10" s="64">
        <v>12</v>
      </c>
      <c r="H10" s="164" t="s">
        <v>82</v>
      </c>
      <c r="J10" s="164" t="s">
        <v>302</v>
      </c>
      <c r="L10" s="138" t="s">
        <v>324</v>
      </c>
      <c r="M10" s="144">
        <v>11</v>
      </c>
      <c r="N10" s="145" t="s">
        <v>53</v>
      </c>
      <c r="O10" s="215" t="s">
        <v>361</v>
      </c>
      <c r="P10" s="219" t="s">
        <v>361</v>
      </c>
      <c r="Q10" s="188"/>
      <c r="R10" s="153"/>
      <c r="S10" s="199" t="s">
        <v>356</v>
      </c>
      <c r="T10" s="215" t="s">
        <v>358</v>
      </c>
    </row>
    <row r="11" spans="2:21" ht="47.25">
      <c r="B11" s="123"/>
      <c r="C11" s="123"/>
      <c r="E11" s="61">
        <v>11</v>
      </c>
      <c r="F11" s="165" t="s">
        <v>81</v>
      </c>
      <c r="G11" s="12">
        <v>13</v>
      </c>
      <c r="H11" s="166" t="s">
        <v>87</v>
      </c>
      <c r="J11" s="166" t="s">
        <v>303</v>
      </c>
      <c r="L11" s="141"/>
      <c r="M11" s="148">
        <v>22</v>
      </c>
      <c r="N11" s="149" t="s">
        <v>93</v>
      </c>
      <c r="O11" s="221" t="s">
        <v>361</v>
      </c>
      <c r="P11" s="222" t="s">
        <v>361</v>
      </c>
      <c r="Q11" s="192"/>
      <c r="R11" s="155"/>
      <c r="S11" s="202" t="s">
        <v>356</v>
      </c>
      <c r="T11" s="221" t="s">
        <v>358</v>
      </c>
    </row>
    <row r="12" spans="2:21" ht="47.25">
      <c r="B12" s="123"/>
      <c r="C12" s="123"/>
      <c r="E12" s="61">
        <v>11</v>
      </c>
      <c r="F12" s="165" t="s">
        <v>81</v>
      </c>
      <c r="G12" s="58">
        <v>21</v>
      </c>
      <c r="H12" s="166" t="s">
        <v>90</v>
      </c>
      <c r="J12" s="166" t="s">
        <v>304</v>
      </c>
      <c r="L12" s="140" t="s">
        <v>101</v>
      </c>
      <c r="M12" s="150">
        <v>33</v>
      </c>
      <c r="N12" s="151" t="s">
        <v>326</v>
      </c>
      <c r="O12" s="215" t="s">
        <v>360</v>
      </c>
      <c r="P12" s="219" t="s">
        <v>360</v>
      </c>
      <c r="Q12" s="188"/>
      <c r="R12" s="223" t="s">
        <v>361</v>
      </c>
      <c r="S12" s="215" t="s">
        <v>362</v>
      </c>
      <c r="T12" s="215" t="s">
        <v>358</v>
      </c>
    </row>
    <row r="13" spans="2:21" ht="31.5">
      <c r="B13" s="123"/>
      <c r="C13" s="123"/>
      <c r="E13" s="61">
        <v>11</v>
      </c>
      <c r="F13" s="165" t="s">
        <v>81</v>
      </c>
      <c r="G13" s="12">
        <v>23</v>
      </c>
      <c r="H13" s="166" t="s">
        <v>95</v>
      </c>
      <c r="J13" s="166" t="s">
        <v>305</v>
      </c>
      <c r="L13" s="140"/>
      <c r="M13" s="146">
        <v>41</v>
      </c>
      <c r="N13" s="147" t="s">
        <v>110</v>
      </c>
      <c r="O13" s="154"/>
      <c r="P13" s="189"/>
      <c r="Q13" s="190"/>
      <c r="R13" s="224" t="s">
        <v>361</v>
      </c>
      <c r="S13" s="216" t="s">
        <v>362</v>
      </c>
      <c r="T13" s="216" t="s">
        <v>358</v>
      </c>
    </row>
    <row r="14" spans="2:21" ht="47.25">
      <c r="B14" s="123"/>
      <c r="C14" s="123"/>
      <c r="E14" s="61">
        <v>11</v>
      </c>
      <c r="F14" s="165" t="s">
        <v>81</v>
      </c>
      <c r="G14" s="12">
        <v>31</v>
      </c>
      <c r="H14" s="166" t="s">
        <v>97</v>
      </c>
      <c r="J14" s="166" t="s">
        <v>306</v>
      </c>
      <c r="L14" s="140"/>
      <c r="M14" s="146">
        <v>42</v>
      </c>
      <c r="N14" s="147" t="s">
        <v>114</v>
      </c>
      <c r="O14" s="216" t="s">
        <v>360</v>
      </c>
      <c r="P14" s="220" t="s">
        <v>360</v>
      </c>
      <c r="Q14" s="190"/>
      <c r="R14" s="224" t="s">
        <v>361</v>
      </c>
      <c r="S14" s="216" t="s">
        <v>362</v>
      </c>
      <c r="T14" s="216" t="s">
        <v>358</v>
      </c>
    </row>
    <row r="15" spans="2:21" ht="19.5" thickBot="1">
      <c r="B15" s="123"/>
      <c r="C15" s="123"/>
      <c r="E15" s="62">
        <v>11</v>
      </c>
      <c r="F15" s="168" t="s">
        <v>81</v>
      </c>
      <c r="G15" s="63">
        <v>32</v>
      </c>
      <c r="H15" s="169" t="s">
        <v>99</v>
      </c>
      <c r="J15" s="169" t="s">
        <v>307</v>
      </c>
      <c r="L15" s="140"/>
      <c r="M15" s="209">
        <v>43</v>
      </c>
      <c r="N15" s="210" t="s">
        <v>322</v>
      </c>
      <c r="O15" s="211" t="s">
        <v>335</v>
      </c>
      <c r="P15" s="212" t="s">
        <v>335</v>
      </c>
      <c r="Q15" s="213"/>
      <c r="R15" s="211" t="s">
        <v>341</v>
      </c>
      <c r="S15" s="211" t="s">
        <v>341</v>
      </c>
      <c r="T15" s="211" t="s">
        <v>335</v>
      </c>
      <c r="U15" s="160" t="s">
        <v>338</v>
      </c>
    </row>
    <row r="16" spans="2:21" ht="31.5">
      <c r="B16" s="123"/>
      <c r="C16" s="123"/>
      <c r="E16" s="59">
        <v>20</v>
      </c>
      <c r="F16" s="163" t="s">
        <v>137</v>
      </c>
      <c r="G16" s="60">
        <v>11</v>
      </c>
      <c r="H16" s="164" t="s">
        <v>53</v>
      </c>
      <c r="J16" s="164" t="s">
        <v>308</v>
      </c>
      <c r="L16" s="138" t="s">
        <v>118</v>
      </c>
      <c r="M16" s="144">
        <v>51</v>
      </c>
      <c r="N16" s="145" t="s">
        <v>119</v>
      </c>
      <c r="O16" s="158"/>
      <c r="P16" s="195"/>
      <c r="Q16" s="196"/>
      <c r="R16" s="197"/>
      <c r="S16" s="158"/>
      <c r="T16" s="226" t="s">
        <v>358</v>
      </c>
    </row>
    <row r="17" spans="2:21" ht="32.25" thickBot="1">
      <c r="B17" s="123"/>
      <c r="C17" s="123"/>
      <c r="E17" s="62">
        <v>20</v>
      </c>
      <c r="F17" s="168" t="s">
        <v>137</v>
      </c>
      <c r="G17" s="63">
        <v>22</v>
      </c>
      <c r="H17" s="169" t="s">
        <v>93</v>
      </c>
      <c r="J17" s="169" t="s">
        <v>309</v>
      </c>
      <c r="L17" s="140"/>
      <c r="M17" s="146">
        <v>52</v>
      </c>
      <c r="N17" s="147" t="s">
        <v>123</v>
      </c>
      <c r="O17" s="154"/>
      <c r="P17" s="189"/>
      <c r="Q17" s="190"/>
      <c r="R17" s="177"/>
      <c r="S17" s="154"/>
      <c r="T17" s="216" t="s">
        <v>358</v>
      </c>
    </row>
    <row r="18" spans="2:21" ht="31.5">
      <c r="B18" s="123"/>
      <c r="C18" s="123"/>
      <c r="E18" s="59">
        <v>21</v>
      </c>
      <c r="F18" s="163" t="s">
        <v>52</v>
      </c>
      <c r="G18" s="64">
        <v>11</v>
      </c>
      <c r="H18" s="164" t="s">
        <v>53</v>
      </c>
      <c r="J18" s="164" t="s">
        <v>308</v>
      </c>
      <c r="L18" s="140"/>
      <c r="M18" s="146">
        <v>61</v>
      </c>
      <c r="N18" s="147" t="s">
        <v>323</v>
      </c>
      <c r="O18" s="154"/>
      <c r="P18" s="189"/>
      <c r="Q18" s="190"/>
      <c r="R18" s="177"/>
      <c r="S18" s="154"/>
      <c r="T18" s="216" t="s">
        <v>358</v>
      </c>
    </row>
    <row r="19" spans="2:21" ht="32.25" thickBot="1">
      <c r="B19" s="123"/>
      <c r="C19" s="123"/>
      <c r="E19" s="62">
        <v>21</v>
      </c>
      <c r="F19" s="168" t="s">
        <v>52</v>
      </c>
      <c r="G19" s="63">
        <v>22</v>
      </c>
      <c r="H19" s="169" t="s">
        <v>93</v>
      </c>
      <c r="J19" s="169" t="s">
        <v>309</v>
      </c>
      <c r="L19" s="140"/>
      <c r="M19" s="146" t="s">
        <v>354</v>
      </c>
      <c r="N19" s="147" t="s">
        <v>134</v>
      </c>
      <c r="O19" s="154"/>
      <c r="P19" s="189"/>
      <c r="Q19" s="190"/>
      <c r="R19" s="177"/>
      <c r="S19" s="154"/>
      <c r="T19" s="216" t="s">
        <v>358</v>
      </c>
    </row>
    <row r="20" spans="2:21" ht="31.5">
      <c r="B20" s="123"/>
      <c r="C20" s="123"/>
      <c r="E20" s="59">
        <v>30</v>
      </c>
      <c r="F20" s="163" t="s">
        <v>118</v>
      </c>
      <c r="G20" s="60">
        <v>51</v>
      </c>
      <c r="H20" s="164" t="s">
        <v>119</v>
      </c>
      <c r="J20" s="164" t="s">
        <v>310</v>
      </c>
      <c r="L20" s="140"/>
      <c r="M20" s="146">
        <v>63</v>
      </c>
      <c r="N20" s="147" t="s">
        <v>184</v>
      </c>
      <c r="O20" s="154"/>
      <c r="P20" s="189"/>
      <c r="Q20" s="190"/>
      <c r="R20" s="177"/>
      <c r="S20" s="154"/>
      <c r="T20" s="216" t="s">
        <v>358</v>
      </c>
      <c r="U20" s="161" t="s">
        <v>353</v>
      </c>
    </row>
    <row r="21" spans="2:21" ht="31.5">
      <c r="B21" s="123"/>
      <c r="C21" s="123"/>
      <c r="E21" s="61">
        <v>30</v>
      </c>
      <c r="F21" s="165" t="s">
        <v>118</v>
      </c>
      <c r="G21" s="12">
        <v>52</v>
      </c>
      <c r="H21" s="166" t="s">
        <v>123</v>
      </c>
      <c r="J21" s="166" t="s">
        <v>311</v>
      </c>
      <c r="L21" s="140"/>
      <c r="M21" s="146">
        <v>71</v>
      </c>
      <c r="N21" s="147" t="s">
        <v>127</v>
      </c>
      <c r="O21" s="154"/>
      <c r="P21" s="189"/>
      <c r="Q21" s="190"/>
      <c r="R21" s="177"/>
      <c r="S21" s="154"/>
      <c r="T21" s="216" t="s">
        <v>358</v>
      </c>
      <c r="U21" s="161" t="s">
        <v>353</v>
      </c>
    </row>
    <row r="22" spans="2:21" ht="31.5">
      <c r="B22" s="123"/>
      <c r="C22" s="123"/>
      <c r="E22" s="61">
        <v>30</v>
      </c>
      <c r="F22" s="165" t="s">
        <v>118</v>
      </c>
      <c r="G22" s="12">
        <v>62</v>
      </c>
      <c r="H22" s="166" t="s">
        <v>134</v>
      </c>
      <c r="J22" s="166" t="s">
        <v>312</v>
      </c>
      <c r="L22" s="140"/>
      <c r="M22" s="146">
        <v>81</v>
      </c>
      <c r="N22" s="147" t="s">
        <v>189</v>
      </c>
      <c r="O22" s="154"/>
      <c r="P22" s="189"/>
      <c r="Q22" s="190"/>
      <c r="R22" s="177"/>
      <c r="S22" s="154"/>
      <c r="T22" s="216" t="s">
        <v>358</v>
      </c>
      <c r="U22" s="161" t="s">
        <v>353</v>
      </c>
    </row>
    <row r="23" spans="2:21" ht="31.5">
      <c r="B23" s="123"/>
      <c r="C23" s="123"/>
      <c r="E23" s="61">
        <v>30</v>
      </c>
      <c r="F23" s="165" t="s">
        <v>118</v>
      </c>
      <c r="G23" s="170">
        <v>63</v>
      </c>
      <c r="H23" s="171" t="s">
        <v>184</v>
      </c>
      <c r="J23" s="171" t="s">
        <v>313</v>
      </c>
      <c r="L23" s="140"/>
      <c r="M23" s="146">
        <v>91</v>
      </c>
      <c r="N23" s="147" t="s">
        <v>192</v>
      </c>
      <c r="O23" s="154"/>
      <c r="P23" s="189"/>
      <c r="Q23" s="190"/>
      <c r="R23" s="177"/>
      <c r="S23" s="154"/>
      <c r="T23" s="216" t="s">
        <v>358</v>
      </c>
      <c r="U23" s="161" t="s">
        <v>353</v>
      </c>
    </row>
    <row r="24" spans="2:21" ht="31.5">
      <c r="B24" s="123"/>
      <c r="C24" s="123"/>
      <c r="E24" s="61">
        <v>30</v>
      </c>
      <c r="F24" s="165" t="s">
        <v>118</v>
      </c>
      <c r="G24" s="12">
        <v>71</v>
      </c>
      <c r="H24" s="166" t="s">
        <v>127</v>
      </c>
      <c r="J24" s="166" t="s">
        <v>314</v>
      </c>
      <c r="L24" s="141"/>
      <c r="M24" s="148">
        <v>92</v>
      </c>
      <c r="N24" s="149" t="s">
        <v>194</v>
      </c>
      <c r="O24" s="155"/>
      <c r="P24" s="191"/>
      <c r="Q24" s="192"/>
      <c r="R24" s="181"/>
      <c r="S24" s="155"/>
      <c r="T24" s="221" t="s">
        <v>358</v>
      </c>
      <c r="U24" s="161" t="s">
        <v>353</v>
      </c>
    </row>
    <row r="25" spans="2:21">
      <c r="B25" s="123"/>
      <c r="C25" s="123"/>
      <c r="E25" s="61">
        <v>30</v>
      </c>
      <c r="F25" s="165" t="s">
        <v>118</v>
      </c>
      <c r="G25" s="12" t="s">
        <v>130</v>
      </c>
      <c r="H25" s="166" t="s">
        <v>131</v>
      </c>
      <c r="J25" s="166" t="s">
        <v>321</v>
      </c>
    </row>
    <row r="26" spans="2:21">
      <c r="B26" s="123"/>
      <c r="C26" s="123"/>
      <c r="E26" s="61">
        <v>30</v>
      </c>
      <c r="F26" s="165" t="s">
        <v>118</v>
      </c>
      <c r="G26" s="170">
        <v>81</v>
      </c>
      <c r="H26" s="171" t="s">
        <v>189</v>
      </c>
      <c r="J26" s="171" t="s">
        <v>315</v>
      </c>
    </row>
    <row r="27" spans="2:21">
      <c r="B27" s="123"/>
      <c r="C27" s="123"/>
      <c r="E27" s="61">
        <v>30</v>
      </c>
      <c r="F27" s="165" t="s">
        <v>118</v>
      </c>
      <c r="G27" s="170">
        <v>91</v>
      </c>
      <c r="H27" s="171" t="s">
        <v>192</v>
      </c>
      <c r="J27" s="171" t="s">
        <v>316</v>
      </c>
    </row>
    <row r="28" spans="2:21" ht="19.5" thickBot="1">
      <c r="B28" s="123"/>
      <c r="C28" s="123"/>
      <c r="E28" s="62">
        <v>30</v>
      </c>
      <c r="F28" s="168" t="s">
        <v>118</v>
      </c>
      <c r="G28" s="172">
        <v>92</v>
      </c>
      <c r="H28" s="173" t="s">
        <v>194</v>
      </c>
      <c r="J28" s="173" t="s">
        <v>317</v>
      </c>
    </row>
    <row r="29" spans="2:21">
      <c r="B29" s="123"/>
      <c r="C29" s="123"/>
      <c r="E29" s="59">
        <v>40</v>
      </c>
      <c r="F29" s="174" t="s">
        <v>101</v>
      </c>
      <c r="G29" s="60">
        <v>33</v>
      </c>
      <c r="H29" s="164" t="s">
        <v>102</v>
      </c>
      <c r="J29" s="164" t="s">
        <v>318</v>
      </c>
    </row>
    <row r="30" spans="2:21">
      <c r="B30" s="123"/>
      <c r="C30" s="123"/>
      <c r="E30" s="61">
        <v>40</v>
      </c>
      <c r="F30" s="167" t="s">
        <v>101</v>
      </c>
      <c r="G30" s="12">
        <v>41</v>
      </c>
      <c r="H30" s="166" t="s">
        <v>110</v>
      </c>
      <c r="J30" s="166" t="s">
        <v>319</v>
      </c>
    </row>
    <row r="31" spans="2:21" ht="19.5" thickBot="1">
      <c r="B31" s="123"/>
      <c r="C31" s="123"/>
      <c r="E31" s="62">
        <v>40</v>
      </c>
      <c r="F31" s="175" t="s">
        <v>101</v>
      </c>
      <c r="G31" s="63">
        <v>42</v>
      </c>
      <c r="H31" s="169" t="s">
        <v>114</v>
      </c>
      <c r="J31" s="169" t="s">
        <v>320</v>
      </c>
    </row>
    <row r="32" spans="2:21">
      <c r="B32" s="123"/>
      <c r="C32" s="123"/>
    </row>
    <row r="33" spans="2:3">
      <c r="B33" s="123"/>
      <c r="C33" s="123"/>
    </row>
    <row r="34" spans="2:3">
      <c r="B34" s="123"/>
      <c r="C34" s="123"/>
    </row>
    <row r="35" spans="2:3">
      <c r="B35" s="123"/>
      <c r="C35" s="123"/>
    </row>
    <row r="36" spans="2:3">
      <c r="B36" s="123"/>
      <c r="C36" s="123"/>
    </row>
    <row r="37" spans="2:3">
      <c r="B37" s="123"/>
      <c r="C37" s="123"/>
    </row>
    <row r="38" spans="2:3">
      <c r="B38" s="123"/>
      <c r="C38" s="123"/>
    </row>
    <row r="39" spans="2:3">
      <c r="B39" s="123"/>
      <c r="C39" s="123"/>
    </row>
    <row r="40" spans="2:3">
      <c r="B40" s="123"/>
      <c r="C40" s="123"/>
    </row>
    <row r="41" spans="2:3">
      <c r="B41" s="123"/>
      <c r="C41" s="123"/>
    </row>
    <row r="42" spans="2:3">
      <c r="B42" s="123"/>
      <c r="C42" s="123"/>
    </row>
    <row r="43" spans="2:3">
      <c r="B43" s="123"/>
      <c r="C43" s="123"/>
    </row>
    <row r="44" spans="2:3">
      <c r="B44" s="123"/>
      <c r="C44" s="123"/>
    </row>
    <row r="45" spans="2:3">
      <c r="B45" s="123"/>
      <c r="C45" s="123"/>
    </row>
    <row r="46" spans="2:3">
      <c r="B46" s="123"/>
      <c r="C46" s="123"/>
    </row>
    <row r="47" spans="2:3">
      <c r="B47" s="123"/>
      <c r="C47" s="123"/>
    </row>
    <row r="48" spans="2:3">
      <c r="B48" s="123"/>
      <c r="C48" s="123"/>
    </row>
    <row r="49" spans="2:3">
      <c r="B49" s="123"/>
      <c r="C49" s="123"/>
    </row>
    <row r="50" spans="2:3">
      <c r="B50" s="123"/>
      <c r="C50" s="123"/>
    </row>
    <row r="51" spans="2:3">
      <c r="B51" s="123"/>
      <c r="C51" s="123"/>
    </row>
    <row r="52" spans="2:3">
      <c r="B52" s="123"/>
      <c r="C52" s="123"/>
    </row>
    <row r="53" spans="2:3">
      <c r="B53" s="1"/>
      <c r="C53" s="65"/>
    </row>
    <row r="54" spans="2:3">
      <c r="B54" s="1"/>
      <c r="C54" s="65"/>
    </row>
    <row r="55" spans="2:3">
      <c r="B55" s="1"/>
      <c r="C55" s="65"/>
    </row>
  </sheetData>
  <sortState xmlns:xlrd2="http://schemas.microsoft.com/office/spreadsheetml/2017/richdata2" ref="M4:N76">
    <sortCondition ref="M4:M76"/>
    <sortCondition ref="N4:N76"/>
  </sortState>
  <mergeCells count="12">
    <mergeCell ref="H2:H3"/>
    <mergeCell ref="B2:B3"/>
    <mergeCell ref="C2:C3"/>
    <mergeCell ref="E2:E3"/>
    <mergeCell ref="F2:F3"/>
    <mergeCell ref="G2:G3"/>
    <mergeCell ref="Q2:T2"/>
    <mergeCell ref="J2:J3"/>
    <mergeCell ref="M2:M3"/>
    <mergeCell ref="N2:N3"/>
    <mergeCell ref="L2:L3"/>
    <mergeCell ref="O2:P2"/>
  </mergeCells>
  <phoneticPr fontId="6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75C7-DF00-45E7-A794-E899BA1F7885}">
  <sheetPr>
    <tabColor theme="0" tint="-0.34998626667073579"/>
  </sheetPr>
  <dimension ref="B1:BL23"/>
  <sheetViews>
    <sheetView showGridLines="0" workbookViewId="0">
      <selection activeCell="C86" sqref="C86"/>
    </sheetView>
  </sheetViews>
  <sheetFormatPr defaultColWidth="2.625" defaultRowHeight="18.75"/>
  <sheetData>
    <row r="1" spans="2:64">
      <c r="B1" s="5"/>
      <c r="C1" s="5"/>
      <c r="D1" s="5"/>
      <c r="E1" s="6"/>
      <c r="F1" s="5"/>
      <c r="G1" s="5"/>
      <c r="H1" s="5"/>
      <c r="I1" s="5"/>
      <c r="J1" s="5"/>
      <c r="K1" s="5"/>
      <c r="L1" s="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</row>
    <row r="2" spans="2:64">
      <c r="B2" s="8"/>
      <c r="C2" s="8"/>
      <c r="D2" s="8"/>
      <c r="E2" s="9"/>
      <c r="F2" s="8"/>
      <c r="G2" s="8"/>
      <c r="H2" s="8"/>
      <c r="I2" s="8"/>
      <c r="J2" s="8"/>
      <c r="K2" s="8"/>
      <c r="L2" s="10"/>
      <c r="M2" s="8"/>
      <c r="N2" s="8"/>
      <c r="O2" s="8"/>
      <c r="P2" s="8"/>
      <c r="Q2" s="895" t="s">
        <v>202</v>
      </c>
      <c r="R2" s="895"/>
      <c r="S2" s="895"/>
      <c r="T2" s="895"/>
      <c r="U2" s="895"/>
      <c r="V2" s="895"/>
      <c r="W2" s="895"/>
      <c r="X2" s="895"/>
      <c r="Y2" s="895"/>
      <c r="Z2" s="895"/>
      <c r="AA2" s="895"/>
      <c r="AB2" s="895"/>
      <c r="AC2" s="895"/>
      <c r="AD2" s="895"/>
      <c r="AE2" s="895"/>
      <c r="AF2" s="895"/>
      <c r="AG2" s="895"/>
      <c r="AH2" s="895"/>
      <c r="AI2" s="895"/>
      <c r="AJ2" s="895"/>
      <c r="AK2" s="895"/>
      <c r="AL2" s="895"/>
      <c r="AM2" s="895"/>
      <c r="AN2" s="895"/>
      <c r="AO2" s="895"/>
      <c r="AP2" s="895"/>
      <c r="AQ2" s="895"/>
      <c r="AR2" s="895"/>
      <c r="AS2" s="895"/>
      <c r="AT2" s="895"/>
      <c r="AU2" s="895"/>
      <c r="AV2" s="895"/>
      <c r="AW2" s="895"/>
      <c r="AX2" s="895"/>
      <c r="AY2" s="895"/>
      <c r="AZ2" s="895"/>
      <c r="BA2" s="895"/>
      <c r="BB2" s="895"/>
      <c r="BC2" s="895"/>
      <c r="BD2" s="895"/>
      <c r="BE2" s="895"/>
      <c r="BF2" s="895"/>
      <c r="BG2" s="895"/>
      <c r="BH2" s="895"/>
      <c r="BI2" s="895"/>
      <c r="BJ2" s="895"/>
      <c r="BK2" s="895"/>
      <c r="BL2" s="895"/>
    </row>
    <row r="3" spans="2:64">
      <c r="B3" s="892" t="s">
        <v>203</v>
      </c>
      <c r="C3" s="1352"/>
      <c r="D3" s="1352"/>
      <c r="E3" s="1352"/>
      <c r="F3" s="1352"/>
      <c r="G3" s="1352"/>
      <c r="H3" s="1352"/>
      <c r="I3" s="1352"/>
      <c r="J3" s="1352"/>
      <c r="K3" s="1352"/>
      <c r="L3" s="1352"/>
      <c r="M3" s="1352"/>
      <c r="N3" s="1352"/>
      <c r="O3" s="1352"/>
      <c r="P3" s="1353"/>
      <c r="Q3" s="889" t="s">
        <v>204</v>
      </c>
      <c r="R3" s="889"/>
      <c r="S3" s="889"/>
      <c r="T3" s="889"/>
      <c r="U3" s="889"/>
      <c r="V3" s="889"/>
      <c r="W3" s="889" t="s">
        <v>205</v>
      </c>
      <c r="X3" s="889"/>
      <c r="Y3" s="889"/>
      <c r="Z3" s="889"/>
      <c r="AA3" s="889"/>
      <c r="AB3" s="889"/>
      <c r="AC3" s="889" t="s">
        <v>206</v>
      </c>
      <c r="AD3" s="889"/>
      <c r="AE3" s="889"/>
      <c r="AF3" s="889"/>
      <c r="AG3" s="889"/>
      <c r="AH3" s="889"/>
      <c r="AI3" s="889" t="s">
        <v>207</v>
      </c>
      <c r="AJ3" s="889"/>
      <c r="AK3" s="889"/>
      <c r="AL3" s="889"/>
      <c r="AM3" s="889"/>
      <c r="AN3" s="889"/>
      <c r="AO3" s="889" t="s">
        <v>208</v>
      </c>
      <c r="AP3" s="889"/>
      <c r="AQ3" s="889"/>
      <c r="AR3" s="889"/>
      <c r="AS3" s="889"/>
      <c r="AT3" s="889"/>
      <c r="AU3" s="889" t="s">
        <v>209</v>
      </c>
      <c r="AV3" s="889"/>
      <c r="AW3" s="889"/>
      <c r="AX3" s="889"/>
      <c r="AY3" s="889"/>
      <c r="AZ3" s="889"/>
      <c r="BA3" s="890" t="s">
        <v>210</v>
      </c>
      <c r="BB3" s="890"/>
      <c r="BC3" s="890"/>
      <c r="BD3" s="890"/>
      <c r="BE3" s="890"/>
      <c r="BF3" s="890"/>
      <c r="BG3" s="889" t="s">
        <v>211</v>
      </c>
      <c r="BH3" s="889"/>
      <c r="BI3" s="889"/>
      <c r="BJ3" s="889"/>
      <c r="BK3" s="889"/>
      <c r="BL3" s="889"/>
    </row>
    <row r="4" spans="2:64">
      <c r="B4" s="878" t="s">
        <v>212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85" t="s">
        <v>213</v>
      </c>
      <c r="R4" s="886"/>
      <c r="S4" s="886"/>
      <c r="T4" s="886"/>
      <c r="U4" s="886"/>
      <c r="V4" s="886"/>
      <c r="W4" s="885" t="s">
        <v>213</v>
      </c>
      <c r="X4" s="886"/>
      <c r="Y4" s="886"/>
      <c r="Z4" s="886"/>
      <c r="AA4" s="886"/>
      <c r="AB4" s="886"/>
      <c r="AC4" s="885" t="s">
        <v>213</v>
      </c>
      <c r="AD4" s="886"/>
      <c r="AE4" s="886"/>
      <c r="AF4" s="886"/>
      <c r="AG4" s="886"/>
      <c r="AH4" s="886"/>
      <c r="AI4" s="885" t="s">
        <v>214</v>
      </c>
      <c r="AJ4" s="886"/>
      <c r="AK4" s="886"/>
      <c r="AL4" s="886"/>
      <c r="AM4" s="886"/>
      <c r="AN4" s="886"/>
      <c r="AO4" s="885" t="s">
        <v>213</v>
      </c>
      <c r="AP4" s="886"/>
      <c r="AQ4" s="886"/>
      <c r="AR4" s="886"/>
      <c r="AS4" s="886"/>
      <c r="AT4" s="886"/>
      <c r="AU4" s="885" t="s">
        <v>213</v>
      </c>
      <c r="AV4" s="886"/>
      <c r="AW4" s="886"/>
      <c r="AX4" s="886"/>
      <c r="AY4" s="886"/>
      <c r="AZ4" s="886"/>
      <c r="BA4" s="885" t="s">
        <v>213</v>
      </c>
      <c r="BB4" s="886"/>
      <c r="BC4" s="886"/>
      <c r="BD4" s="886"/>
      <c r="BE4" s="886"/>
      <c r="BF4" s="886"/>
      <c r="BG4" s="882" t="s">
        <v>213</v>
      </c>
      <c r="BH4" s="883"/>
      <c r="BI4" s="883"/>
      <c r="BJ4" s="883"/>
      <c r="BK4" s="883"/>
      <c r="BL4" s="884"/>
    </row>
    <row r="5" spans="2:64">
      <c r="B5" s="878" t="s">
        <v>215</v>
      </c>
      <c r="C5" s="878"/>
      <c r="D5" s="878"/>
      <c r="E5" s="878"/>
      <c r="F5" s="878"/>
      <c r="G5" s="878"/>
      <c r="H5" s="878"/>
      <c r="I5" s="878"/>
      <c r="J5" s="878"/>
      <c r="K5" s="878"/>
      <c r="L5" s="878"/>
      <c r="M5" s="878"/>
      <c r="N5" s="878"/>
      <c r="O5" s="878"/>
      <c r="P5" s="878"/>
      <c r="Q5" s="885" t="s">
        <v>213</v>
      </c>
      <c r="R5" s="886"/>
      <c r="S5" s="886"/>
      <c r="T5" s="886"/>
      <c r="U5" s="886"/>
      <c r="V5" s="886"/>
      <c r="W5" s="887" t="s">
        <v>216</v>
      </c>
      <c r="X5" s="886"/>
      <c r="Y5" s="886"/>
      <c r="Z5" s="886"/>
      <c r="AA5" s="886"/>
      <c r="AB5" s="886"/>
      <c r="AC5" s="887" t="s">
        <v>216</v>
      </c>
      <c r="AD5" s="886"/>
      <c r="AE5" s="886"/>
      <c r="AF5" s="886"/>
      <c r="AG5" s="886"/>
      <c r="AH5" s="886"/>
      <c r="AI5" s="887" t="s">
        <v>216</v>
      </c>
      <c r="AJ5" s="886"/>
      <c r="AK5" s="886"/>
      <c r="AL5" s="886"/>
      <c r="AM5" s="886"/>
      <c r="AN5" s="886"/>
      <c r="AO5" s="887" t="s">
        <v>216</v>
      </c>
      <c r="AP5" s="886"/>
      <c r="AQ5" s="886"/>
      <c r="AR5" s="886"/>
      <c r="AS5" s="886"/>
      <c r="AT5" s="886"/>
      <c r="AU5" s="887" t="s">
        <v>216</v>
      </c>
      <c r="AV5" s="886"/>
      <c r="AW5" s="886"/>
      <c r="AX5" s="886"/>
      <c r="AY5" s="886"/>
      <c r="AZ5" s="886"/>
      <c r="BA5" s="887" t="s">
        <v>216</v>
      </c>
      <c r="BB5" s="886"/>
      <c r="BC5" s="886"/>
      <c r="BD5" s="886"/>
      <c r="BE5" s="886"/>
      <c r="BF5" s="886"/>
      <c r="BG5" s="887" t="s">
        <v>216</v>
      </c>
      <c r="BH5" s="886"/>
      <c r="BI5" s="886"/>
      <c r="BJ5" s="886"/>
      <c r="BK5" s="886"/>
      <c r="BL5" s="888"/>
    </row>
    <row r="6" spans="2:64">
      <c r="B6" s="878" t="s">
        <v>217</v>
      </c>
      <c r="C6" s="878"/>
      <c r="D6" s="878"/>
      <c r="E6" s="878"/>
      <c r="F6" s="878"/>
      <c r="G6" s="878"/>
      <c r="H6" s="878"/>
      <c r="I6" s="878"/>
      <c r="J6" s="878"/>
      <c r="K6" s="878"/>
      <c r="L6" s="878"/>
      <c r="M6" s="878"/>
      <c r="N6" s="878"/>
      <c r="O6" s="878"/>
      <c r="P6" s="878"/>
      <c r="Q6" s="885" t="s">
        <v>218</v>
      </c>
      <c r="R6" s="886"/>
      <c r="S6" s="886"/>
      <c r="T6" s="886"/>
      <c r="U6" s="886"/>
      <c r="V6" s="886"/>
      <c r="W6" s="885" t="s">
        <v>218</v>
      </c>
      <c r="X6" s="886"/>
      <c r="Y6" s="886"/>
      <c r="Z6" s="886"/>
      <c r="AA6" s="886"/>
      <c r="AB6" s="886"/>
      <c r="AC6" s="885" t="s">
        <v>218</v>
      </c>
      <c r="AD6" s="886"/>
      <c r="AE6" s="886"/>
      <c r="AF6" s="886"/>
      <c r="AG6" s="886"/>
      <c r="AH6" s="886"/>
      <c r="AI6" s="885" t="s">
        <v>214</v>
      </c>
      <c r="AJ6" s="886"/>
      <c r="AK6" s="886"/>
      <c r="AL6" s="886"/>
      <c r="AM6" s="886"/>
      <c r="AN6" s="886"/>
      <c r="AO6" s="885" t="s">
        <v>218</v>
      </c>
      <c r="AP6" s="886"/>
      <c r="AQ6" s="886"/>
      <c r="AR6" s="886"/>
      <c r="AS6" s="886"/>
      <c r="AT6" s="886"/>
      <c r="AU6" s="885" t="s">
        <v>218</v>
      </c>
      <c r="AV6" s="886"/>
      <c r="AW6" s="886"/>
      <c r="AX6" s="886"/>
      <c r="AY6" s="886"/>
      <c r="AZ6" s="886"/>
      <c r="BA6" s="885" t="s">
        <v>213</v>
      </c>
      <c r="BB6" s="886"/>
      <c r="BC6" s="886"/>
      <c r="BD6" s="886"/>
      <c r="BE6" s="886"/>
      <c r="BF6" s="886"/>
      <c r="BG6" s="882" t="s">
        <v>213</v>
      </c>
      <c r="BH6" s="883"/>
      <c r="BI6" s="883"/>
      <c r="BJ6" s="883"/>
      <c r="BK6" s="883"/>
      <c r="BL6" s="884"/>
    </row>
    <row r="7" spans="2:64">
      <c r="B7" s="878" t="s">
        <v>219</v>
      </c>
      <c r="C7" s="878"/>
      <c r="D7" s="878"/>
      <c r="E7" s="878"/>
      <c r="F7" s="878"/>
      <c r="G7" s="878"/>
      <c r="H7" s="878"/>
      <c r="I7" s="878"/>
      <c r="J7" s="878"/>
      <c r="K7" s="878"/>
      <c r="L7" s="878"/>
      <c r="M7" s="878"/>
      <c r="N7" s="878"/>
      <c r="O7" s="878"/>
      <c r="P7" s="878"/>
      <c r="Q7" s="885" t="s">
        <v>214</v>
      </c>
      <c r="R7" s="886"/>
      <c r="S7" s="886"/>
      <c r="T7" s="886"/>
      <c r="U7" s="886"/>
      <c r="V7" s="886"/>
      <c r="W7" s="885" t="s">
        <v>218</v>
      </c>
      <c r="X7" s="886"/>
      <c r="Y7" s="886"/>
      <c r="Z7" s="886"/>
      <c r="AA7" s="886"/>
      <c r="AB7" s="886"/>
      <c r="AC7" s="887" t="s">
        <v>216</v>
      </c>
      <c r="AD7" s="886"/>
      <c r="AE7" s="886"/>
      <c r="AF7" s="886"/>
      <c r="AG7" s="886"/>
      <c r="AH7" s="886"/>
      <c r="AI7" s="885" t="s">
        <v>214</v>
      </c>
      <c r="AJ7" s="886"/>
      <c r="AK7" s="886"/>
      <c r="AL7" s="886"/>
      <c r="AM7" s="886"/>
      <c r="AN7" s="886"/>
      <c r="AO7" s="887" t="s">
        <v>216</v>
      </c>
      <c r="AP7" s="886"/>
      <c r="AQ7" s="886"/>
      <c r="AR7" s="886"/>
      <c r="AS7" s="886"/>
      <c r="AT7" s="886"/>
      <c r="AU7" s="887" t="s">
        <v>216</v>
      </c>
      <c r="AV7" s="886"/>
      <c r="AW7" s="886"/>
      <c r="AX7" s="886"/>
      <c r="AY7" s="886"/>
      <c r="AZ7" s="886"/>
      <c r="BA7" s="885" t="s">
        <v>213</v>
      </c>
      <c r="BB7" s="886"/>
      <c r="BC7" s="886"/>
      <c r="BD7" s="886"/>
      <c r="BE7" s="886"/>
      <c r="BF7" s="886"/>
      <c r="BG7" s="882" t="s">
        <v>213</v>
      </c>
      <c r="BH7" s="883"/>
      <c r="BI7" s="883"/>
      <c r="BJ7" s="883"/>
      <c r="BK7" s="883"/>
      <c r="BL7" s="884"/>
    </row>
    <row r="8" spans="2:64">
      <c r="B8" s="878" t="s">
        <v>220</v>
      </c>
      <c r="C8" s="878"/>
      <c r="D8" s="878"/>
      <c r="E8" s="878"/>
      <c r="F8" s="878"/>
      <c r="G8" s="878"/>
      <c r="H8" s="878"/>
      <c r="I8" s="878"/>
      <c r="J8" s="878"/>
      <c r="K8" s="878"/>
      <c r="L8" s="878"/>
      <c r="M8" s="878"/>
      <c r="N8" s="878"/>
      <c r="O8" s="878"/>
      <c r="P8" s="878"/>
      <c r="Q8" s="885" t="s">
        <v>218</v>
      </c>
      <c r="R8" s="886"/>
      <c r="S8" s="886"/>
      <c r="T8" s="886"/>
      <c r="U8" s="886"/>
      <c r="V8" s="886"/>
      <c r="W8" s="885" t="s">
        <v>218</v>
      </c>
      <c r="X8" s="886"/>
      <c r="Y8" s="886"/>
      <c r="Z8" s="886"/>
      <c r="AA8" s="886"/>
      <c r="AB8" s="886"/>
      <c r="AC8" s="885" t="s">
        <v>218</v>
      </c>
      <c r="AD8" s="886"/>
      <c r="AE8" s="886"/>
      <c r="AF8" s="886"/>
      <c r="AG8" s="886"/>
      <c r="AH8" s="886"/>
      <c r="AI8" s="885" t="s">
        <v>214</v>
      </c>
      <c r="AJ8" s="886"/>
      <c r="AK8" s="886"/>
      <c r="AL8" s="886"/>
      <c r="AM8" s="886"/>
      <c r="AN8" s="886"/>
      <c r="AO8" s="887" t="s">
        <v>216</v>
      </c>
      <c r="AP8" s="886"/>
      <c r="AQ8" s="886"/>
      <c r="AR8" s="886"/>
      <c r="AS8" s="886"/>
      <c r="AT8" s="886"/>
      <c r="AU8" s="887" t="s">
        <v>216</v>
      </c>
      <c r="AV8" s="886"/>
      <c r="AW8" s="886"/>
      <c r="AX8" s="886"/>
      <c r="AY8" s="886"/>
      <c r="AZ8" s="886"/>
      <c r="BA8" s="885" t="s">
        <v>213</v>
      </c>
      <c r="BB8" s="886"/>
      <c r="BC8" s="886"/>
      <c r="BD8" s="886"/>
      <c r="BE8" s="886"/>
      <c r="BF8" s="886"/>
      <c r="BG8" s="882" t="s">
        <v>213</v>
      </c>
      <c r="BH8" s="883"/>
      <c r="BI8" s="883"/>
      <c r="BJ8" s="883"/>
      <c r="BK8" s="883"/>
      <c r="BL8" s="884"/>
    </row>
    <row r="9" spans="2:64">
      <c r="B9" s="878" t="s">
        <v>221</v>
      </c>
      <c r="C9" s="878"/>
      <c r="D9" s="878"/>
      <c r="E9" s="878"/>
      <c r="F9" s="878"/>
      <c r="G9" s="878"/>
      <c r="H9" s="878"/>
      <c r="I9" s="878"/>
      <c r="J9" s="878"/>
      <c r="K9" s="878"/>
      <c r="L9" s="878"/>
      <c r="M9" s="878"/>
      <c r="N9" s="878"/>
      <c r="O9" s="878"/>
      <c r="P9" s="878"/>
      <c r="Q9" s="885" t="s">
        <v>218</v>
      </c>
      <c r="R9" s="886"/>
      <c r="S9" s="886"/>
      <c r="T9" s="886"/>
      <c r="U9" s="886"/>
      <c r="V9" s="886"/>
      <c r="W9" s="885" t="s">
        <v>218</v>
      </c>
      <c r="X9" s="886"/>
      <c r="Y9" s="886"/>
      <c r="Z9" s="886"/>
      <c r="AA9" s="886"/>
      <c r="AB9" s="886"/>
      <c r="AC9" s="885" t="s">
        <v>218</v>
      </c>
      <c r="AD9" s="886"/>
      <c r="AE9" s="886"/>
      <c r="AF9" s="886"/>
      <c r="AG9" s="886"/>
      <c r="AH9" s="886"/>
      <c r="AI9" s="885" t="s">
        <v>214</v>
      </c>
      <c r="AJ9" s="886"/>
      <c r="AK9" s="886"/>
      <c r="AL9" s="886"/>
      <c r="AM9" s="886"/>
      <c r="AN9" s="886"/>
      <c r="AO9" s="885" t="s">
        <v>213</v>
      </c>
      <c r="AP9" s="886"/>
      <c r="AQ9" s="886"/>
      <c r="AR9" s="886"/>
      <c r="AS9" s="886"/>
      <c r="AT9" s="886"/>
      <c r="AU9" s="885" t="s">
        <v>213</v>
      </c>
      <c r="AV9" s="886"/>
      <c r="AW9" s="886"/>
      <c r="AX9" s="886"/>
      <c r="AY9" s="886"/>
      <c r="AZ9" s="886"/>
      <c r="BA9" s="885" t="s">
        <v>213</v>
      </c>
      <c r="BB9" s="886"/>
      <c r="BC9" s="886"/>
      <c r="BD9" s="886"/>
      <c r="BE9" s="886"/>
      <c r="BF9" s="886"/>
      <c r="BG9" s="882" t="s">
        <v>213</v>
      </c>
      <c r="BH9" s="883"/>
      <c r="BI9" s="883"/>
      <c r="BJ9" s="883"/>
      <c r="BK9" s="883"/>
      <c r="BL9" s="884"/>
    </row>
    <row r="10" spans="2:64">
      <c r="B10" s="878" t="s">
        <v>222</v>
      </c>
      <c r="C10" s="878"/>
      <c r="D10" s="878"/>
      <c r="E10" s="878"/>
      <c r="F10" s="878"/>
      <c r="G10" s="878"/>
      <c r="H10" s="878"/>
      <c r="I10" s="878"/>
      <c r="J10" s="878"/>
      <c r="K10" s="878"/>
      <c r="L10" s="878"/>
      <c r="M10" s="878"/>
      <c r="N10" s="878"/>
      <c r="O10" s="878"/>
      <c r="P10" s="878"/>
      <c r="Q10" s="879" t="s">
        <v>214</v>
      </c>
      <c r="R10" s="879"/>
      <c r="S10" s="879"/>
      <c r="T10" s="879"/>
      <c r="U10" s="879"/>
      <c r="V10" s="879"/>
      <c r="W10" s="879" t="s">
        <v>218</v>
      </c>
      <c r="X10" s="879"/>
      <c r="Y10" s="879"/>
      <c r="Z10" s="879"/>
      <c r="AA10" s="879"/>
      <c r="AB10" s="879"/>
      <c r="AC10" s="880" t="s">
        <v>216</v>
      </c>
      <c r="AD10" s="879"/>
      <c r="AE10" s="879"/>
      <c r="AF10" s="879"/>
      <c r="AG10" s="879"/>
      <c r="AH10" s="879"/>
      <c r="AI10" s="880" t="s">
        <v>216</v>
      </c>
      <c r="AJ10" s="879"/>
      <c r="AK10" s="879"/>
      <c r="AL10" s="879"/>
      <c r="AM10" s="879"/>
      <c r="AN10" s="879"/>
      <c r="AO10" s="880" t="s">
        <v>216</v>
      </c>
      <c r="AP10" s="879"/>
      <c r="AQ10" s="879"/>
      <c r="AR10" s="879"/>
      <c r="AS10" s="879"/>
      <c r="AT10" s="879"/>
      <c r="AU10" s="880" t="s">
        <v>216</v>
      </c>
      <c r="AV10" s="879"/>
      <c r="AW10" s="879"/>
      <c r="AX10" s="879"/>
      <c r="AY10" s="879"/>
      <c r="AZ10" s="879"/>
      <c r="BA10" s="879" t="s">
        <v>213</v>
      </c>
      <c r="BB10" s="879"/>
      <c r="BC10" s="879"/>
      <c r="BD10" s="879"/>
      <c r="BE10" s="879"/>
      <c r="BF10" s="879"/>
      <c r="BG10" s="879" t="s">
        <v>213</v>
      </c>
      <c r="BH10" s="879"/>
      <c r="BI10" s="879"/>
      <c r="BJ10" s="879"/>
      <c r="BK10" s="879"/>
      <c r="BL10" s="879"/>
    </row>
    <row r="11" spans="2:64">
      <c r="B11" s="878" t="s">
        <v>223</v>
      </c>
      <c r="C11" s="878"/>
      <c r="D11" s="878"/>
      <c r="E11" s="878"/>
      <c r="F11" s="878"/>
      <c r="G11" s="878"/>
      <c r="H11" s="878"/>
      <c r="I11" s="878"/>
      <c r="J11" s="878"/>
      <c r="K11" s="878"/>
      <c r="L11" s="878"/>
      <c r="M11" s="878"/>
      <c r="N11" s="878"/>
      <c r="O11" s="878"/>
      <c r="P11" s="878"/>
      <c r="Q11" s="879" t="s">
        <v>214</v>
      </c>
      <c r="R11" s="879"/>
      <c r="S11" s="879"/>
      <c r="T11" s="879"/>
      <c r="U11" s="879"/>
      <c r="V11" s="879"/>
      <c r="W11" s="879" t="s">
        <v>218</v>
      </c>
      <c r="X11" s="879"/>
      <c r="Y11" s="879"/>
      <c r="Z11" s="879"/>
      <c r="AA11" s="879"/>
      <c r="AB11" s="879"/>
      <c r="AC11" s="880" t="s">
        <v>216</v>
      </c>
      <c r="AD11" s="879"/>
      <c r="AE11" s="879"/>
      <c r="AF11" s="879"/>
      <c r="AG11" s="879"/>
      <c r="AH11" s="879"/>
      <c r="AI11" s="880" t="s">
        <v>216</v>
      </c>
      <c r="AJ11" s="879"/>
      <c r="AK11" s="879"/>
      <c r="AL11" s="879"/>
      <c r="AM11" s="879"/>
      <c r="AN11" s="879"/>
      <c r="AO11" s="880" t="s">
        <v>216</v>
      </c>
      <c r="AP11" s="879"/>
      <c r="AQ11" s="879"/>
      <c r="AR11" s="879"/>
      <c r="AS11" s="879"/>
      <c r="AT11" s="879"/>
      <c r="AU11" s="880" t="s">
        <v>216</v>
      </c>
      <c r="AV11" s="879"/>
      <c r="AW11" s="879"/>
      <c r="AX11" s="879"/>
      <c r="AY11" s="879"/>
      <c r="AZ11" s="879"/>
      <c r="BA11" s="879" t="s">
        <v>213</v>
      </c>
      <c r="BB11" s="879"/>
      <c r="BC11" s="879"/>
      <c r="BD11" s="879"/>
      <c r="BE11" s="879"/>
      <c r="BF11" s="879"/>
      <c r="BG11" s="879" t="s">
        <v>213</v>
      </c>
      <c r="BH11" s="879"/>
      <c r="BI11" s="879"/>
      <c r="BJ11" s="879"/>
      <c r="BK11" s="879"/>
      <c r="BL11" s="879"/>
    </row>
    <row r="12" spans="2:64">
      <c r="B12" s="878" t="s">
        <v>224</v>
      </c>
      <c r="C12" s="878"/>
      <c r="D12" s="878"/>
      <c r="E12" s="878"/>
      <c r="F12" s="878"/>
      <c r="G12" s="878"/>
      <c r="H12" s="878"/>
      <c r="I12" s="878"/>
      <c r="J12" s="878"/>
      <c r="K12" s="878"/>
      <c r="L12" s="878"/>
      <c r="M12" s="878"/>
      <c r="N12" s="878"/>
      <c r="O12" s="878"/>
      <c r="P12" s="878"/>
      <c r="Q12" s="879" t="s">
        <v>214</v>
      </c>
      <c r="R12" s="879"/>
      <c r="S12" s="879"/>
      <c r="T12" s="879"/>
      <c r="U12" s="879"/>
      <c r="V12" s="879"/>
      <c r="W12" s="879" t="s">
        <v>218</v>
      </c>
      <c r="X12" s="879"/>
      <c r="Y12" s="879"/>
      <c r="Z12" s="879"/>
      <c r="AA12" s="879"/>
      <c r="AB12" s="879"/>
      <c r="AC12" s="880" t="s">
        <v>216</v>
      </c>
      <c r="AD12" s="879"/>
      <c r="AE12" s="879"/>
      <c r="AF12" s="879"/>
      <c r="AG12" s="879"/>
      <c r="AH12" s="879"/>
      <c r="AI12" s="880" t="s">
        <v>216</v>
      </c>
      <c r="AJ12" s="879"/>
      <c r="AK12" s="879"/>
      <c r="AL12" s="879"/>
      <c r="AM12" s="879"/>
      <c r="AN12" s="879"/>
      <c r="AO12" s="880" t="s">
        <v>216</v>
      </c>
      <c r="AP12" s="879"/>
      <c r="AQ12" s="879"/>
      <c r="AR12" s="879"/>
      <c r="AS12" s="879"/>
      <c r="AT12" s="879"/>
      <c r="AU12" s="880" t="s">
        <v>216</v>
      </c>
      <c r="AV12" s="879"/>
      <c r="AW12" s="879"/>
      <c r="AX12" s="879"/>
      <c r="AY12" s="879"/>
      <c r="AZ12" s="879"/>
      <c r="BA12" s="879" t="s">
        <v>213</v>
      </c>
      <c r="BB12" s="879"/>
      <c r="BC12" s="879"/>
      <c r="BD12" s="879"/>
      <c r="BE12" s="879"/>
      <c r="BF12" s="879"/>
      <c r="BG12" s="879" t="s">
        <v>213</v>
      </c>
      <c r="BH12" s="879"/>
      <c r="BI12" s="879"/>
      <c r="BJ12" s="879"/>
      <c r="BK12" s="879"/>
      <c r="BL12" s="879"/>
    </row>
    <row r="13" spans="2:64">
      <c r="B13" s="878" t="s">
        <v>225</v>
      </c>
      <c r="C13" s="878"/>
      <c r="D13" s="878"/>
      <c r="E13" s="878"/>
      <c r="F13" s="878"/>
      <c r="G13" s="878"/>
      <c r="H13" s="878"/>
      <c r="I13" s="878"/>
      <c r="J13" s="878"/>
      <c r="K13" s="878"/>
      <c r="L13" s="878"/>
      <c r="M13" s="878"/>
      <c r="N13" s="878"/>
      <c r="O13" s="878"/>
      <c r="P13" s="878"/>
      <c r="Q13" s="879" t="s">
        <v>214</v>
      </c>
      <c r="R13" s="879"/>
      <c r="S13" s="879"/>
      <c r="T13" s="879"/>
      <c r="U13" s="879"/>
      <c r="V13" s="879"/>
      <c r="W13" s="879" t="s">
        <v>218</v>
      </c>
      <c r="X13" s="879"/>
      <c r="Y13" s="879"/>
      <c r="Z13" s="879"/>
      <c r="AA13" s="879"/>
      <c r="AB13" s="879"/>
      <c r="AC13" s="880" t="s">
        <v>216</v>
      </c>
      <c r="AD13" s="879"/>
      <c r="AE13" s="879"/>
      <c r="AF13" s="879"/>
      <c r="AG13" s="879"/>
      <c r="AH13" s="879"/>
      <c r="AI13" s="880" t="s">
        <v>216</v>
      </c>
      <c r="AJ13" s="879"/>
      <c r="AK13" s="879"/>
      <c r="AL13" s="879"/>
      <c r="AM13" s="879"/>
      <c r="AN13" s="879"/>
      <c r="AO13" s="880" t="s">
        <v>216</v>
      </c>
      <c r="AP13" s="879"/>
      <c r="AQ13" s="879"/>
      <c r="AR13" s="879"/>
      <c r="AS13" s="879"/>
      <c r="AT13" s="879"/>
      <c r="AU13" s="880" t="s">
        <v>216</v>
      </c>
      <c r="AV13" s="879"/>
      <c r="AW13" s="879"/>
      <c r="AX13" s="879"/>
      <c r="AY13" s="879"/>
      <c r="AZ13" s="879"/>
      <c r="BA13" s="879" t="s">
        <v>213</v>
      </c>
      <c r="BB13" s="879"/>
      <c r="BC13" s="879"/>
      <c r="BD13" s="879"/>
      <c r="BE13" s="879"/>
      <c r="BF13" s="879"/>
      <c r="BG13" s="879" t="s">
        <v>213</v>
      </c>
      <c r="BH13" s="879"/>
      <c r="BI13" s="879"/>
      <c r="BJ13" s="879"/>
      <c r="BK13" s="879"/>
      <c r="BL13" s="879"/>
    </row>
    <row r="14" spans="2:64">
      <c r="B14" s="878" t="s">
        <v>226</v>
      </c>
      <c r="C14" s="878"/>
      <c r="D14" s="878"/>
      <c r="E14" s="878"/>
      <c r="F14" s="878"/>
      <c r="G14" s="878"/>
      <c r="H14" s="878"/>
      <c r="I14" s="878"/>
      <c r="J14" s="878"/>
      <c r="K14" s="878"/>
      <c r="L14" s="878"/>
      <c r="M14" s="878"/>
      <c r="N14" s="878"/>
      <c r="O14" s="878"/>
      <c r="P14" s="878"/>
      <c r="Q14" s="879" t="s">
        <v>214</v>
      </c>
      <c r="R14" s="879"/>
      <c r="S14" s="879"/>
      <c r="T14" s="879"/>
      <c r="U14" s="879"/>
      <c r="V14" s="879"/>
      <c r="W14" s="879" t="s">
        <v>218</v>
      </c>
      <c r="X14" s="879"/>
      <c r="Y14" s="879"/>
      <c r="Z14" s="879"/>
      <c r="AA14" s="879"/>
      <c r="AB14" s="879"/>
      <c r="AC14" s="880" t="s">
        <v>216</v>
      </c>
      <c r="AD14" s="879"/>
      <c r="AE14" s="879"/>
      <c r="AF14" s="879"/>
      <c r="AG14" s="879"/>
      <c r="AH14" s="879"/>
      <c r="AI14" s="880" t="s">
        <v>216</v>
      </c>
      <c r="AJ14" s="879"/>
      <c r="AK14" s="879"/>
      <c r="AL14" s="879"/>
      <c r="AM14" s="879"/>
      <c r="AN14" s="879"/>
      <c r="AO14" s="880" t="s">
        <v>216</v>
      </c>
      <c r="AP14" s="879"/>
      <c r="AQ14" s="879"/>
      <c r="AR14" s="879"/>
      <c r="AS14" s="879"/>
      <c r="AT14" s="879"/>
      <c r="AU14" s="880" t="s">
        <v>216</v>
      </c>
      <c r="AV14" s="879"/>
      <c r="AW14" s="879"/>
      <c r="AX14" s="879"/>
      <c r="AY14" s="879"/>
      <c r="AZ14" s="879"/>
      <c r="BA14" s="879" t="s">
        <v>213</v>
      </c>
      <c r="BB14" s="879"/>
      <c r="BC14" s="879"/>
      <c r="BD14" s="879"/>
      <c r="BE14" s="879"/>
      <c r="BF14" s="879"/>
      <c r="BG14" s="879" t="s">
        <v>213</v>
      </c>
      <c r="BH14" s="879"/>
      <c r="BI14" s="879"/>
      <c r="BJ14" s="879"/>
      <c r="BK14" s="879"/>
      <c r="BL14" s="879"/>
    </row>
    <row r="15" spans="2:64">
      <c r="B15" s="878" t="s">
        <v>227</v>
      </c>
      <c r="C15" s="878"/>
      <c r="D15" s="878"/>
      <c r="E15" s="878"/>
      <c r="F15" s="878"/>
      <c r="G15" s="878"/>
      <c r="H15" s="878"/>
      <c r="I15" s="878"/>
      <c r="J15" s="878"/>
      <c r="K15" s="878"/>
      <c r="L15" s="878"/>
      <c r="M15" s="878"/>
      <c r="N15" s="878"/>
      <c r="O15" s="878"/>
      <c r="P15" s="878"/>
      <c r="Q15" s="879" t="s">
        <v>214</v>
      </c>
      <c r="R15" s="879"/>
      <c r="S15" s="879"/>
      <c r="T15" s="879"/>
      <c r="U15" s="879"/>
      <c r="V15" s="879"/>
      <c r="W15" s="880" t="s">
        <v>216</v>
      </c>
      <c r="X15" s="879"/>
      <c r="Y15" s="879"/>
      <c r="Z15" s="879"/>
      <c r="AA15" s="879"/>
      <c r="AB15" s="879"/>
      <c r="AC15" s="880" t="s">
        <v>216</v>
      </c>
      <c r="AD15" s="879"/>
      <c r="AE15" s="879"/>
      <c r="AF15" s="879"/>
      <c r="AG15" s="879"/>
      <c r="AH15" s="879"/>
      <c r="AI15" s="880" t="s">
        <v>216</v>
      </c>
      <c r="AJ15" s="879"/>
      <c r="AK15" s="879"/>
      <c r="AL15" s="879"/>
      <c r="AM15" s="879"/>
      <c r="AN15" s="879"/>
      <c r="AO15" s="880" t="s">
        <v>216</v>
      </c>
      <c r="AP15" s="879"/>
      <c r="AQ15" s="879"/>
      <c r="AR15" s="879"/>
      <c r="AS15" s="879"/>
      <c r="AT15" s="879"/>
      <c r="AU15" s="880" t="s">
        <v>216</v>
      </c>
      <c r="AV15" s="879"/>
      <c r="AW15" s="879"/>
      <c r="AX15" s="879"/>
      <c r="AY15" s="879"/>
      <c r="AZ15" s="879"/>
      <c r="BA15" s="880" t="s">
        <v>216</v>
      </c>
      <c r="BB15" s="879"/>
      <c r="BC15" s="879"/>
      <c r="BD15" s="879"/>
      <c r="BE15" s="879"/>
      <c r="BF15" s="879"/>
      <c r="BG15" s="880" t="s">
        <v>216</v>
      </c>
      <c r="BH15" s="879"/>
      <c r="BI15" s="879"/>
      <c r="BJ15" s="879"/>
      <c r="BK15" s="879"/>
      <c r="BL15" s="879"/>
    </row>
    <row r="16" spans="2:64">
      <c r="B16" s="878" t="s">
        <v>228</v>
      </c>
      <c r="C16" s="878"/>
      <c r="D16" s="878"/>
      <c r="E16" s="878"/>
      <c r="F16" s="878"/>
      <c r="G16" s="878"/>
      <c r="H16" s="878"/>
      <c r="I16" s="878"/>
      <c r="J16" s="878"/>
      <c r="K16" s="878"/>
      <c r="L16" s="878"/>
      <c r="M16" s="878"/>
      <c r="N16" s="878"/>
      <c r="O16" s="878"/>
      <c r="P16" s="878"/>
      <c r="Q16" s="879" t="s">
        <v>214</v>
      </c>
      <c r="R16" s="879"/>
      <c r="S16" s="879"/>
      <c r="T16" s="879"/>
      <c r="U16" s="879"/>
      <c r="V16" s="879"/>
      <c r="W16" s="879" t="s">
        <v>218</v>
      </c>
      <c r="X16" s="879"/>
      <c r="Y16" s="879"/>
      <c r="Z16" s="879"/>
      <c r="AA16" s="879"/>
      <c r="AB16" s="879"/>
      <c r="AC16" s="880" t="s">
        <v>216</v>
      </c>
      <c r="AD16" s="879"/>
      <c r="AE16" s="879"/>
      <c r="AF16" s="879"/>
      <c r="AG16" s="879"/>
      <c r="AH16" s="879"/>
      <c r="AI16" s="880" t="s">
        <v>216</v>
      </c>
      <c r="AJ16" s="879"/>
      <c r="AK16" s="879"/>
      <c r="AL16" s="879"/>
      <c r="AM16" s="879"/>
      <c r="AN16" s="879"/>
      <c r="AO16" s="880" t="s">
        <v>216</v>
      </c>
      <c r="AP16" s="879"/>
      <c r="AQ16" s="879"/>
      <c r="AR16" s="879"/>
      <c r="AS16" s="879"/>
      <c r="AT16" s="879"/>
      <c r="AU16" s="880" t="s">
        <v>216</v>
      </c>
      <c r="AV16" s="879"/>
      <c r="AW16" s="879"/>
      <c r="AX16" s="879"/>
      <c r="AY16" s="879"/>
      <c r="AZ16" s="879"/>
      <c r="BA16" s="879" t="s">
        <v>213</v>
      </c>
      <c r="BB16" s="879"/>
      <c r="BC16" s="879"/>
      <c r="BD16" s="879"/>
      <c r="BE16" s="879"/>
      <c r="BF16" s="879"/>
      <c r="BG16" s="879" t="s">
        <v>213</v>
      </c>
      <c r="BH16" s="879"/>
      <c r="BI16" s="879"/>
      <c r="BJ16" s="879"/>
      <c r="BK16" s="879"/>
      <c r="BL16" s="879"/>
    </row>
    <row r="17" spans="2:64">
      <c r="B17" s="8"/>
      <c r="C17" s="8"/>
      <c r="D17" s="8"/>
      <c r="E17" s="9"/>
      <c r="F17" s="8"/>
      <c r="G17" s="8"/>
      <c r="H17" s="8"/>
      <c r="I17" s="8"/>
      <c r="J17" s="8"/>
      <c r="K17" s="8"/>
      <c r="L17" s="1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</row>
    <row r="18" spans="2:64">
      <c r="B18" s="8" t="s">
        <v>229</v>
      </c>
      <c r="C18" s="8"/>
      <c r="D18" s="8"/>
      <c r="E18" s="9"/>
      <c r="F18" s="8"/>
      <c r="G18" s="8"/>
      <c r="H18" s="8"/>
      <c r="I18" s="8"/>
      <c r="J18" s="8"/>
      <c r="K18" s="8"/>
      <c r="L18" s="1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</row>
    <row r="19" spans="2:64">
      <c r="B19" s="8"/>
      <c r="C19" s="8" t="s">
        <v>230</v>
      </c>
      <c r="D19" s="8"/>
      <c r="E19" s="9"/>
      <c r="F19" s="8"/>
      <c r="G19" s="8"/>
      <c r="H19" s="8"/>
      <c r="I19" s="8"/>
      <c r="J19" s="8"/>
      <c r="K19" s="8"/>
      <c r="L19" s="1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</row>
    <row r="20" spans="2:64">
      <c r="B20" s="8"/>
      <c r="C20" s="8" t="s">
        <v>231</v>
      </c>
      <c r="D20" s="8"/>
      <c r="E20" s="9"/>
      <c r="F20" s="8"/>
      <c r="G20" s="8"/>
      <c r="H20" s="8"/>
      <c r="I20" s="8"/>
      <c r="J20" s="8"/>
      <c r="K20" s="8"/>
      <c r="L20" s="1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</row>
    <row r="21" spans="2:64">
      <c r="B21" s="8"/>
      <c r="C21" s="11" t="s">
        <v>232</v>
      </c>
      <c r="D21" s="8"/>
      <c r="E21" s="9"/>
      <c r="F21" s="8"/>
      <c r="G21" s="8"/>
      <c r="H21" s="8"/>
      <c r="I21" s="8"/>
      <c r="J21" s="8"/>
      <c r="K21" s="8"/>
      <c r="L21" s="1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2:64">
      <c r="B22" s="8"/>
      <c r="C22" s="8"/>
      <c r="D22" s="8"/>
      <c r="E22" s="9"/>
      <c r="F22" s="8"/>
      <c r="G22" s="8"/>
      <c r="H22" s="8"/>
      <c r="I22" s="8"/>
      <c r="J22" s="8"/>
      <c r="K22" s="8"/>
      <c r="L22" s="1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</row>
    <row r="23" spans="2:64">
      <c r="B23" s="8" t="s">
        <v>233</v>
      </c>
      <c r="C23" s="8"/>
      <c r="D23" s="8"/>
      <c r="E23" s="9"/>
      <c r="F23" s="8"/>
      <c r="G23" s="8"/>
      <c r="H23" s="8"/>
      <c r="I23" s="8"/>
      <c r="J23" s="8"/>
      <c r="K23" s="8"/>
      <c r="L23" s="1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</row>
  </sheetData>
  <mergeCells count="127">
    <mergeCell ref="Q2:BL2"/>
    <mergeCell ref="B3:P3"/>
    <mergeCell ref="Q3:V3"/>
    <mergeCell ref="W3:AB3"/>
    <mergeCell ref="AC3:AH3"/>
    <mergeCell ref="AI3:AN3"/>
    <mergeCell ref="AO3:AT3"/>
    <mergeCell ref="AU3:AZ3"/>
    <mergeCell ref="BA3:BF3"/>
    <mergeCell ref="BG3:BL3"/>
    <mergeCell ref="AU4:AZ4"/>
    <mergeCell ref="BA4:BF4"/>
    <mergeCell ref="BG4:BL4"/>
    <mergeCell ref="B5:P5"/>
    <mergeCell ref="Q5:V5"/>
    <mergeCell ref="W5:AB5"/>
    <mergeCell ref="AC5:AH5"/>
    <mergeCell ref="AI5:AN5"/>
    <mergeCell ref="AO5:AT5"/>
    <mergeCell ref="AU5:AZ5"/>
    <mergeCell ref="B4:P4"/>
    <mergeCell ref="Q4:V4"/>
    <mergeCell ref="W4:AB4"/>
    <mergeCell ref="AC4:AH4"/>
    <mergeCell ref="AI4:AN4"/>
    <mergeCell ref="AO4:AT4"/>
    <mergeCell ref="BA5:BF5"/>
    <mergeCell ref="BG5:BL5"/>
    <mergeCell ref="B6:P6"/>
    <mergeCell ref="Q6:V6"/>
    <mergeCell ref="W6:AB6"/>
    <mergeCell ref="AC6:AH6"/>
    <mergeCell ref="AI6:AN6"/>
    <mergeCell ref="AO6:AT6"/>
    <mergeCell ref="AU6:AZ6"/>
    <mergeCell ref="BA6:BF6"/>
    <mergeCell ref="BG6:BL6"/>
    <mergeCell ref="B7:P7"/>
    <mergeCell ref="Q7:V7"/>
    <mergeCell ref="W7:AB7"/>
    <mergeCell ref="AC7:AH7"/>
    <mergeCell ref="AI7:AN7"/>
    <mergeCell ref="AO7:AT7"/>
    <mergeCell ref="AU7:AZ7"/>
    <mergeCell ref="BA7:BF7"/>
    <mergeCell ref="BG7:BL7"/>
    <mergeCell ref="AU8:AZ8"/>
    <mergeCell ref="BA8:BF8"/>
    <mergeCell ref="BG8:BL8"/>
    <mergeCell ref="B9:P9"/>
    <mergeCell ref="Q9:V9"/>
    <mergeCell ref="W9:AB9"/>
    <mergeCell ref="AC9:AH9"/>
    <mergeCell ref="AI9:AN9"/>
    <mergeCell ref="AO9:AT9"/>
    <mergeCell ref="AU9:AZ9"/>
    <mergeCell ref="B8:P8"/>
    <mergeCell ref="Q8:V8"/>
    <mergeCell ref="W8:AB8"/>
    <mergeCell ref="AC8:AH8"/>
    <mergeCell ref="AI8:AN8"/>
    <mergeCell ref="AO8:AT8"/>
    <mergeCell ref="BA9:BF9"/>
    <mergeCell ref="BG9:BL9"/>
    <mergeCell ref="B10:P10"/>
    <mergeCell ref="Q10:V10"/>
    <mergeCell ref="W10:AB10"/>
    <mergeCell ref="AC10:AH10"/>
    <mergeCell ref="AI10:AN10"/>
    <mergeCell ref="AO10:AT10"/>
    <mergeCell ref="AU10:AZ10"/>
    <mergeCell ref="BA10:BF10"/>
    <mergeCell ref="BG10:BL10"/>
    <mergeCell ref="B11:P11"/>
    <mergeCell ref="Q11:V11"/>
    <mergeCell ref="W11:AB11"/>
    <mergeCell ref="AC11:AH11"/>
    <mergeCell ref="AI11:AN11"/>
    <mergeCell ref="AO11:AT11"/>
    <mergeCell ref="AU11:AZ11"/>
    <mergeCell ref="BA11:BF11"/>
    <mergeCell ref="BG11:BL11"/>
    <mergeCell ref="AU12:AZ12"/>
    <mergeCell ref="BA12:BF12"/>
    <mergeCell ref="BG12:BL12"/>
    <mergeCell ref="B13:P13"/>
    <mergeCell ref="Q13:V13"/>
    <mergeCell ref="W13:AB13"/>
    <mergeCell ref="AC13:AH13"/>
    <mergeCell ref="AI13:AN13"/>
    <mergeCell ref="AO13:AT13"/>
    <mergeCell ref="AU13:AZ13"/>
    <mergeCell ref="B12:P12"/>
    <mergeCell ref="Q12:V12"/>
    <mergeCell ref="W12:AB12"/>
    <mergeCell ref="AC12:AH12"/>
    <mergeCell ref="AI12:AN12"/>
    <mergeCell ref="AO12:AT12"/>
    <mergeCell ref="BA13:BF13"/>
    <mergeCell ref="BG13:BL13"/>
    <mergeCell ref="B14:P14"/>
    <mergeCell ref="Q14:V14"/>
    <mergeCell ref="W14:AB14"/>
    <mergeCell ref="AC14:AH14"/>
    <mergeCell ref="AI14:AN14"/>
    <mergeCell ref="AO14:AT14"/>
    <mergeCell ref="AU14:AZ14"/>
    <mergeCell ref="BA14:BF14"/>
    <mergeCell ref="BG14:BL14"/>
    <mergeCell ref="B15:P15"/>
    <mergeCell ref="Q15:V15"/>
    <mergeCell ref="W15:AB15"/>
    <mergeCell ref="AC15:AH15"/>
    <mergeCell ref="AI15:AN15"/>
    <mergeCell ref="AO15:AT15"/>
    <mergeCell ref="AU15:AZ15"/>
    <mergeCell ref="BA15:BF15"/>
    <mergeCell ref="BG15:BL15"/>
    <mergeCell ref="AU16:AZ16"/>
    <mergeCell ref="BA16:BF16"/>
    <mergeCell ref="BG16:BL16"/>
    <mergeCell ref="B16:P16"/>
    <mergeCell ref="Q16:V16"/>
    <mergeCell ref="W16:AB16"/>
    <mergeCell ref="AC16:AH16"/>
    <mergeCell ref="AI16:AN16"/>
    <mergeCell ref="AO16:AT16"/>
  </mergeCells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0" tint="-0.34998626667073579"/>
  </sheetPr>
  <dimension ref="A1:AW193"/>
  <sheetViews>
    <sheetView showGridLines="0" zoomScale="70" zoomScaleNormal="70" workbookViewId="0">
      <pane xSplit="14" ySplit="2" topLeftCell="O3" activePane="bottomRight" state="frozen"/>
      <selection activeCell="C86" sqref="C86"/>
      <selection pane="topRight" activeCell="C86" sqref="C86"/>
      <selection pane="bottomLeft" activeCell="C86" sqref="C86"/>
      <selection pane="bottomRight" activeCell="C86" sqref="C86"/>
    </sheetView>
  </sheetViews>
  <sheetFormatPr defaultColWidth="8.875" defaultRowHeight="24"/>
  <cols>
    <col min="1" max="1" width="5" style="69" bestFit="1" customWidth="1"/>
    <col min="2" max="2" width="6.375" style="69" bestFit="1" customWidth="1"/>
    <col min="3" max="3" width="9.375" style="115" bestFit="1" customWidth="1"/>
    <col min="4" max="4" width="11.25" style="69" bestFit="1" customWidth="1"/>
    <col min="5" max="5" width="7" style="69" customWidth="1"/>
    <col min="6" max="6" width="13.25" style="69" bestFit="1" customWidth="1"/>
    <col min="7" max="7" width="6.625" style="115" customWidth="1"/>
    <col min="8" max="8" width="9.125" style="69" customWidth="1"/>
    <col min="9" max="9" width="9.875" style="69" customWidth="1"/>
    <col min="10" max="10" width="16.375" style="69" customWidth="1"/>
    <col min="11" max="11" width="14" style="69" customWidth="1"/>
    <col min="12" max="12" width="17.75" style="69" bestFit="1" customWidth="1"/>
    <col min="13" max="13" width="31.625" style="69" bestFit="1" customWidth="1"/>
    <col min="14" max="14" width="17" style="69" customWidth="1"/>
    <col min="15" max="28" width="10.125" style="115" customWidth="1"/>
    <col min="29" max="32" width="10.125" style="69" customWidth="1"/>
    <col min="33" max="34" width="13.25" style="69" customWidth="1"/>
    <col min="35" max="35" width="27.25" style="69" customWidth="1"/>
    <col min="36" max="36" width="12.875" style="69" bestFit="1" customWidth="1"/>
    <col min="37" max="37" width="11.25" style="69" bestFit="1" customWidth="1"/>
    <col min="38" max="38" width="16.125" style="69" bestFit="1" customWidth="1"/>
    <col min="39" max="39" width="15.25" style="69" bestFit="1" customWidth="1"/>
    <col min="40" max="41" width="13.625" style="69" bestFit="1" customWidth="1"/>
    <col min="42" max="42" width="15.25" style="69" bestFit="1" customWidth="1"/>
    <col min="43" max="43" width="21.25" style="69" bestFit="1" customWidth="1"/>
    <col min="44" max="44" width="47.625" style="69" customWidth="1"/>
    <col min="45" max="45" width="35.75" style="69" bestFit="1" customWidth="1"/>
    <col min="46" max="46" width="24.125" style="69" bestFit="1" customWidth="1"/>
    <col min="47" max="47" width="15" style="69" bestFit="1" customWidth="1"/>
    <col min="48" max="48" width="107.75" style="69" bestFit="1" customWidth="1"/>
    <col min="49" max="49" width="19.5" style="69" bestFit="1" customWidth="1"/>
    <col min="50" max="16384" width="8.875" style="69"/>
  </cols>
  <sheetData>
    <row r="1" spans="1:49" ht="39">
      <c r="A1" s="1364" t="s">
        <v>2</v>
      </c>
      <c r="B1" s="1364" t="s">
        <v>3</v>
      </c>
      <c r="C1" s="1360" t="s">
        <v>4</v>
      </c>
      <c r="D1" s="1360" t="s">
        <v>5</v>
      </c>
      <c r="E1" s="1360" t="s">
        <v>6</v>
      </c>
      <c r="F1" s="1360" t="s">
        <v>7</v>
      </c>
      <c r="G1" s="1360" t="s">
        <v>8</v>
      </c>
      <c r="H1" s="1360" t="s">
        <v>9</v>
      </c>
      <c r="I1" s="1360" t="s">
        <v>10</v>
      </c>
      <c r="J1" s="1360" t="s">
        <v>11</v>
      </c>
      <c r="K1" s="1360" t="s">
        <v>12</v>
      </c>
      <c r="L1" s="1360" t="s">
        <v>13</v>
      </c>
      <c r="M1" s="1360" t="s">
        <v>14</v>
      </c>
      <c r="N1" s="1360" t="s">
        <v>15</v>
      </c>
      <c r="O1" s="1363" t="s">
        <v>16</v>
      </c>
      <c r="P1" s="1363"/>
      <c r="Q1" s="1363"/>
      <c r="R1" s="1363"/>
      <c r="S1" s="1363"/>
      <c r="T1" s="1363"/>
      <c r="U1" s="1363"/>
      <c r="V1" s="1363"/>
      <c r="W1" s="1363"/>
      <c r="X1" s="1363"/>
      <c r="Y1" s="1363"/>
      <c r="Z1" s="1363"/>
      <c r="AA1" s="1363"/>
      <c r="AB1" s="1363"/>
      <c r="AC1" s="1362" t="s">
        <v>17</v>
      </c>
      <c r="AD1" s="1362" t="s">
        <v>18</v>
      </c>
      <c r="AE1" s="1362" t="s">
        <v>19</v>
      </c>
      <c r="AF1" s="1362" t="s">
        <v>20</v>
      </c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 t="s">
        <v>21</v>
      </c>
      <c r="AU1" s="67"/>
      <c r="AV1" s="67"/>
      <c r="AW1" s="68" t="s">
        <v>22</v>
      </c>
    </row>
    <row r="2" spans="1:49" s="76" customFormat="1" ht="108" customHeight="1">
      <c r="A2" s="1365"/>
      <c r="B2" s="1365"/>
      <c r="C2" s="1361"/>
      <c r="D2" s="1361"/>
      <c r="E2" s="1361"/>
      <c r="F2" s="1361"/>
      <c r="G2" s="1361"/>
      <c r="H2" s="1361"/>
      <c r="I2" s="1361"/>
      <c r="J2" s="1361"/>
      <c r="K2" s="1361"/>
      <c r="L2" s="1361"/>
      <c r="M2" s="1361"/>
      <c r="N2" s="1361"/>
      <c r="O2" s="72" t="s">
        <v>23</v>
      </c>
      <c r="P2" s="72" t="s">
        <v>24</v>
      </c>
      <c r="Q2" s="72" t="s">
        <v>25</v>
      </c>
      <c r="R2" s="72" t="s">
        <v>26</v>
      </c>
      <c r="S2" s="72" t="s">
        <v>27</v>
      </c>
      <c r="T2" s="72" t="s">
        <v>28</v>
      </c>
      <c r="U2" s="72" t="s">
        <v>29</v>
      </c>
      <c r="V2" s="72" t="s">
        <v>30</v>
      </c>
      <c r="W2" s="72" t="s">
        <v>31</v>
      </c>
      <c r="X2" s="72" t="s">
        <v>32</v>
      </c>
      <c r="Y2" s="72" t="s">
        <v>33</v>
      </c>
      <c r="Z2" s="72" t="s">
        <v>34</v>
      </c>
      <c r="AA2" s="72" t="s">
        <v>35</v>
      </c>
      <c r="AB2" s="72" t="s">
        <v>36</v>
      </c>
      <c r="AC2" s="1362"/>
      <c r="AD2" s="1362"/>
      <c r="AE2" s="1362"/>
      <c r="AF2" s="1362"/>
      <c r="AG2" s="73" t="s">
        <v>37</v>
      </c>
      <c r="AH2" s="73" t="s">
        <v>38</v>
      </c>
      <c r="AI2" s="73" t="s">
        <v>39</v>
      </c>
      <c r="AJ2" s="73" t="s">
        <v>40</v>
      </c>
      <c r="AK2" s="73" t="s">
        <v>41</v>
      </c>
      <c r="AL2" s="73" t="s">
        <v>42</v>
      </c>
      <c r="AM2" s="73" t="s">
        <v>43</v>
      </c>
      <c r="AN2" s="73" t="s">
        <v>44</v>
      </c>
      <c r="AO2" s="73" t="s">
        <v>45</v>
      </c>
      <c r="AP2" s="73" t="s">
        <v>46</v>
      </c>
      <c r="AQ2" s="73" t="s">
        <v>47</v>
      </c>
      <c r="AR2" s="73" t="s">
        <v>48</v>
      </c>
      <c r="AS2" s="73" t="s">
        <v>49</v>
      </c>
      <c r="AT2" s="73" t="s">
        <v>50</v>
      </c>
      <c r="AU2" s="73" t="s">
        <v>51</v>
      </c>
      <c r="AV2" s="74"/>
      <c r="AW2" s="75" t="s">
        <v>22</v>
      </c>
    </row>
    <row r="3" spans="1:49" ht="39">
      <c r="A3" s="1354">
        <v>1</v>
      </c>
      <c r="B3" s="1357">
        <v>1</v>
      </c>
      <c r="C3" s="98">
        <v>21</v>
      </c>
      <c r="D3" s="99" t="s">
        <v>52</v>
      </c>
      <c r="E3" s="100">
        <v>11</v>
      </c>
      <c r="F3" s="101" t="s">
        <v>53</v>
      </c>
      <c r="G3" s="102">
        <v>1</v>
      </c>
      <c r="H3" s="81" t="s">
        <v>54</v>
      </c>
      <c r="I3" s="81">
        <v>111</v>
      </c>
      <c r="J3" s="81" t="s">
        <v>55</v>
      </c>
      <c r="K3" s="81" t="s">
        <v>56</v>
      </c>
      <c r="L3" s="207" t="s">
        <v>57</v>
      </c>
      <c r="M3" s="81" t="s">
        <v>58</v>
      </c>
      <c r="N3" s="81" t="s">
        <v>59</v>
      </c>
      <c r="O3" s="93" t="s">
        <v>60</v>
      </c>
      <c r="P3" s="93" t="s">
        <v>60</v>
      </c>
      <c r="Q3" s="93" t="s">
        <v>60</v>
      </c>
      <c r="R3" s="91"/>
      <c r="S3" s="94" t="s">
        <v>61</v>
      </c>
      <c r="T3" s="94" t="s">
        <v>60</v>
      </c>
      <c r="U3" s="91"/>
      <c r="V3" s="91"/>
      <c r="W3" s="91"/>
      <c r="X3" s="91"/>
      <c r="Y3" s="91"/>
      <c r="Z3" s="93"/>
      <c r="AA3" s="93"/>
      <c r="AB3" s="91"/>
      <c r="AC3" s="70" t="s">
        <v>57</v>
      </c>
      <c r="AD3" s="70" t="s">
        <v>57</v>
      </c>
      <c r="AE3" s="70" t="s">
        <v>57</v>
      </c>
      <c r="AF3" s="95" t="s">
        <v>62</v>
      </c>
      <c r="AG3" s="96" t="s">
        <v>0</v>
      </c>
      <c r="AH3" s="70" t="s">
        <v>0</v>
      </c>
      <c r="AI3" s="70" t="s">
        <v>63</v>
      </c>
      <c r="AJ3" s="70" t="s">
        <v>64</v>
      </c>
      <c r="AK3" s="70"/>
      <c r="AL3" s="70"/>
      <c r="AM3" s="70" t="s">
        <v>65</v>
      </c>
      <c r="AN3" s="70" t="s">
        <v>66</v>
      </c>
      <c r="AO3" s="70" t="s">
        <v>65</v>
      </c>
      <c r="AP3" s="70" t="s">
        <v>67</v>
      </c>
      <c r="AQ3" s="70" t="s">
        <v>68</v>
      </c>
      <c r="AR3" s="70" t="s">
        <v>69</v>
      </c>
      <c r="AS3" s="70" t="s">
        <v>68</v>
      </c>
      <c r="AT3" s="70" t="s">
        <v>70</v>
      </c>
      <c r="AU3" s="70" t="s">
        <v>68</v>
      </c>
      <c r="AV3" s="67"/>
      <c r="AW3" s="68" t="s">
        <v>22</v>
      </c>
    </row>
    <row r="4" spans="1:49" ht="39">
      <c r="A4" s="1356"/>
      <c r="B4" s="1358"/>
      <c r="C4" s="98">
        <v>21</v>
      </c>
      <c r="D4" s="99" t="s">
        <v>52</v>
      </c>
      <c r="E4" s="100">
        <v>11</v>
      </c>
      <c r="F4" s="101" t="s">
        <v>53</v>
      </c>
      <c r="G4" s="102">
        <v>1</v>
      </c>
      <c r="H4" s="81" t="s">
        <v>54</v>
      </c>
      <c r="I4" s="81">
        <v>111</v>
      </c>
      <c r="J4" s="81" t="s">
        <v>55</v>
      </c>
      <c r="K4" s="81" t="s">
        <v>56</v>
      </c>
      <c r="L4" s="207" t="s">
        <v>57</v>
      </c>
      <c r="M4" s="81" t="s">
        <v>58</v>
      </c>
      <c r="N4" s="81" t="s">
        <v>59</v>
      </c>
      <c r="O4" s="93" t="s">
        <v>60</v>
      </c>
      <c r="P4" s="93" t="s">
        <v>60</v>
      </c>
      <c r="Q4" s="93" t="s">
        <v>60</v>
      </c>
      <c r="R4" s="91"/>
      <c r="S4" s="94" t="s">
        <v>61</v>
      </c>
      <c r="T4" s="94" t="s">
        <v>60</v>
      </c>
      <c r="U4" s="91"/>
      <c r="V4" s="91"/>
      <c r="W4" s="91"/>
      <c r="X4" s="91"/>
      <c r="Y4" s="91"/>
      <c r="Z4" s="93"/>
      <c r="AA4" s="93"/>
      <c r="AB4" s="91"/>
      <c r="AC4" s="70" t="s">
        <v>57</v>
      </c>
      <c r="AD4" s="70" t="s">
        <v>57</v>
      </c>
      <c r="AE4" s="70" t="s">
        <v>57</v>
      </c>
      <c r="AF4" s="95" t="s">
        <v>62</v>
      </c>
      <c r="AG4" s="70" t="s">
        <v>71</v>
      </c>
      <c r="AH4" s="96" t="s">
        <v>62</v>
      </c>
      <c r="AI4" s="70" t="s">
        <v>63</v>
      </c>
      <c r="AJ4" s="70" t="s">
        <v>64</v>
      </c>
      <c r="AK4" s="70"/>
      <c r="AL4" s="70"/>
      <c r="AM4" s="70" t="s">
        <v>65</v>
      </c>
      <c r="AN4" s="70" t="s">
        <v>71</v>
      </c>
      <c r="AO4" s="70" t="s">
        <v>65</v>
      </c>
      <c r="AP4" s="70" t="s">
        <v>71</v>
      </c>
      <c r="AQ4" s="70" t="s">
        <v>68</v>
      </c>
      <c r="AR4" s="70" t="s">
        <v>72</v>
      </c>
      <c r="AS4" s="70" t="s">
        <v>68</v>
      </c>
      <c r="AT4" s="70" t="s">
        <v>70</v>
      </c>
      <c r="AU4" s="70" t="s">
        <v>68</v>
      </c>
      <c r="AV4" s="67"/>
      <c r="AW4" s="68" t="s">
        <v>22</v>
      </c>
    </row>
    <row r="5" spans="1:49" ht="39">
      <c r="A5" s="1354">
        <v>2</v>
      </c>
      <c r="B5" s="1357">
        <v>2</v>
      </c>
      <c r="C5" s="98">
        <v>21</v>
      </c>
      <c r="D5" s="99" t="s">
        <v>52</v>
      </c>
      <c r="E5" s="100">
        <v>11</v>
      </c>
      <c r="F5" s="101" t="s">
        <v>53</v>
      </c>
      <c r="G5" s="102">
        <v>1</v>
      </c>
      <c r="H5" s="81" t="s">
        <v>54</v>
      </c>
      <c r="I5" s="81">
        <v>111</v>
      </c>
      <c r="J5" s="81" t="s">
        <v>55</v>
      </c>
      <c r="K5" s="83" t="s">
        <v>73</v>
      </c>
      <c r="L5" s="86" t="s">
        <v>74</v>
      </c>
      <c r="M5" s="85" t="s">
        <v>75</v>
      </c>
      <c r="N5" s="86" t="s">
        <v>76</v>
      </c>
      <c r="O5" s="93" t="s">
        <v>60</v>
      </c>
      <c r="P5" s="93" t="s">
        <v>60</v>
      </c>
      <c r="Q5" s="93" t="s">
        <v>60</v>
      </c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70" t="s">
        <v>57</v>
      </c>
      <c r="AD5" s="70" t="s">
        <v>57</v>
      </c>
      <c r="AE5" s="70" t="s">
        <v>57</v>
      </c>
      <c r="AF5" s="95" t="s">
        <v>62</v>
      </c>
      <c r="AG5" s="70" t="s">
        <v>0</v>
      </c>
      <c r="AH5" s="70" t="s">
        <v>0</v>
      </c>
      <c r="AI5" s="70" t="s">
        <v>77</v>
      </c>
      <c r="AJ5" s="70"/>
      <c r="AK5" s="70"/>
      <c r="AL5" s="70"/>
      <c r="AM5" s="70" t="s">
        <v>65</v>
      </c>
      <c r="AN5" s="70" t="s">
        <v>65</v>
      </c>
      <c r="AO5" s="70" t="s">
        <v>65</v>
      </c>
      <c r="AP5" s="70" t="s">
        <v>67</v>
      </c>
      <c r="AQ5" s="70" t="s">
        <v>78</v>
      </c>
      <c r="AR5" s="71" t="s">
        <v>79</v>
      </c>
      <c r="AS5" s="70" t="s">
        <v>62</v>
      </c>
      <c r="AT5" s="70" t="s">
        <v>70</v>
      </c>
      <c r="AU5" s="70" t="s">
        <v>68</v>
      </c>
      <c r="AV5" s="67"/>
      <c r="AW5" s="68" t="s">
        <v>22</v>
      </c>
    </row>
    <row r="6" spans="1:49" ht="39">
      <c r="A6" s="1356"/>
      <c r="B6" s="1358"/>
      <c r="C6" s="98">
        <v>21</v>
      </c>
      <c r="D6" s="99" t="s">
        <v>52</v>
      </c>
      <c r="E6" s="100">
        <v>11</v>
      </c>
      <c r="F6" s="101" t="s">
        <v>53</v>
      </c>
      <c r="G6" s="102">
        <v>1</v>
      </c>
      <c r="H6" s="81" t="s">
        <v>54</v>
      </c>
      <c r="I6" s="81">
        <v>111</v>
      </c>
      <c r="J6" s="81" t="s">
        <v>55</v>
      </c>
      <c r="K6" s="83" t="s">
        <v>73</v>
      </c>
      <c r="L6" s="86" t="s">
        <v>74</v>
      </c>
      <c r="M6" s="85" t="s">
        <v>75</v>
      </c>
      <c r="N6" s="86" t="s">
        <v>76</v>
      </c>
      <c r="O6" s="93" t="s">
        <v>60</v>
      </c>
      <c r="P6" s="93" t="s">
        <v>60</v>
      </c>
      <c r="Q6" s="93" t="s">
        <v>60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70" t="s">
        <v>57</v>
      </c>
      <c r="AD6" s="70" t="s">
        <v>57</v>
      </c>
      <c r="AE6" s="70" t="s">
        <v>57</v>
      </c>
      <c r="AF6" s="95" t="s">
        <v>62</v>
      </c>
      <c r="AG6" s="70" t="s">
        <v>71</v>
      </c>
      <c r="AH6" s="96" t="s">
        <v>62</v>
      </c>
      <c r="AI6" s="70" t="s">
        <v>77</v>
      </c>
      <c r="AJ6" s="70"/>
      <c r="AK6" s="70"/>
      <c r="AL6" s="70"/>
      <c r="AM6" s="70" t="s">
        <v>65</v>
      </c>
      <c r="AN6" s="70" t="s">
        <v>71</v>
      </c>
      <c r="AO6" s="70" t="s">
        <v>65</v>
      </c>
      <c r="AP6" s="70" t="s">
        <v>71</v>
      </c>
      <c r="AQ6" s="70" t="s">
        <v>78</v>
      </c>
      <c r="AR6" s="70" t="s">
        <v>72</v>
      </c>
      <c r="AS6" s="70" t="s">
        <v>62</v>
      </c>
      <c r="AT6" s="70" t="s">
        <v>70</v>
      </c>
      <c r="AU6" s="70" t="s">
        <v>68</v>
      </c>
      <c r="AV6" s="67"/>
      <c r="AW6" s="68" t="s">
        <v>22</v>
      </c>
    </row>
    <row r="7" spans="1:49" ht="39">
      <c r="A7" s="70">
        <v>3</v>
      </c>
      <c r="B7" s="97">
        <v>3</v>
      </c>
      <c r="C7" s="98">
        <v>21</v>
      </c>
      <c r="D7" s="99" t="s">
        <v>52</v>
      </c>
      <c r="E7" s="100">
        <v>11</v>
      </c>
      <c r="F7" s="101" t="s">
        <v>53</v>
      </c>
      <c r="G7" s="102">
        <v>1</v>
      </c>
      <c r="H7" s="81" t="s">
        <v>54</v>
      </c>
      <c r="I7" s="81">
        <v>111</v>
      </c>
      <c r="J7" s="81" t="s">
        <v>55</v>
      </c>
      <c r="K7" s="81" t="s">
        <v>80</v>
      </c>
      <c r="L7" s="207" t="s">
        <v>57</v>
      </c>
      <c r="M7" s="81" t="s">
        <v>58</v>
      </c>
      <c r="N7" s="81" t="s">
        <v>59</v>
      </c>
      <c r="O7" s="93" t="s">
        <v>60</v>
      </c>
      <c r="P7" s="93" t="s">
        <v>60</v>
      </c>
      <c r="Q7" s="93" t="s">
        <v>60</v>
      </c>
      <c r="R7" s="91"/>
      <c r="S7" s="94" t="s">
        <v>61</v>
      </c>
      <c r="T7" s="94" t="s">
        <v>60</v>
      </c>
      <c r="U7" s="91"/>
      <c r="V7" s="91"/>
      <c r="W7" s="93"/>
      <c r="X7" s="91"/>
      <c r="Y7" s="91"/>
      <c r="Z7" s="91"/>
      <c r="AA7" s="91"/>
      <c r="AB7" s="91"/>
      <c r="AC7" s="95" t="s">
        <v>62</v>
      </c>
      <c r="AD7" s="95" t="s">
        <v>62</v>
      </c>
      <c r="AE7" s="95" t="s">
        <v>62</v>
      </c>
      <c r="AF7" s="95" t="s">
        <v>62</v>
      </c>
      <c r="AG7" s="96" t="s">
        <v>0</v>
      </c>
      <c r="AH7" s="70" t="s">
        <v>0</v>
      </c>
      <c r="AI7" s="70" t="s">
        <v>63</v>
      </c>
      <c r="AJ7" s="70" t="s">
        <v>64</v>
      </c>
      <c r="AK7" s="70"/>
      <c r="AL7" s="70"/>
      <c r="AM7" s="70" t="s">
        <v>62</v>
      </c>
      <c r="AN7" s="70" t="s">
        <v>62</v>
      </c>
      <c r="AO7" s="70" t="s">
        <v>62</v>
      </c>
      <c r="AP7" s="70" t="s">
        <v>62</v>
      </c>
      <c r="AQ7" s="70" t="s">
        <v>62</v>
      </c>
      <c r="AR7" s="70" t="s">
        <v>62</v>
      </c>
      <c r="AS7" s="70" t="s">
        <v>62</v>
      </c>
      <c r="AT7" s="70" t="s">
        <v>62</v>
      </c>
      <c r="AU7" s="70" t="s">
        <v>68</v>
      </c>
      <c r="AV7" s="67"/>
      <c r="AW7" s="68" t="s">
        <v>22</v>
      </c>
    </row>
    <row r="8" spans="1:49" ht="78">
      <c r="A8" s="1354">
        <v>4</v>
      </c>
      <c r="B8" s="1357">
        <v>4</v>
      </c>
      <c r="C8" s="98">
        <v>11</v>
      </c>
      <c r="D8" s="99" t="s">
        <v>343</v>
      </c>
      <c r="E8" s="100">
        <v>12</v>
      </c>
      <c r="F8" s="101" t="s">
        <v>82</v>
      </c>
      <c r="G8" s="102">
        <v>1</v>
      </c>
      <c r="H8" s="81" t="s">
        <v>54</v>
      </c>
      <c r="I8" s="81">
        <v>112</v>
      </c>
      <c r="J8" s="81" t="s">
        <v>352</v>
      </c>
      <c r="K8" s="81" t="s">
        <v>56</v>
      </c>
      <c r="L8" s="81" t="s">
        <v>84</v>
      </c>
      <c r="M8" s="81" t="s">
        <v>58</v>
      </c>
      <c r="N8" s="81" t="s">
        <v>85</v>
      </c>
      <c r="O8" s="93" t="s">
        <v>60</v>
      </c>
      <c r="P8" s="93" t="s">
        <v>60</v>
      </c>
      <c r="Q8" s="93" t="s">
        <v>60</v>
      </c>
      <c r="R8" s="91"/>
      <c r="S8" s="94" t="s">
        <v>61</v>
      </c>
      <c r="T8" s="94" t="s">
        <v>60</v>
      </c>
      <c r="U8" s="91"/>
      <c r="V8" s="91"/>
      <c r="W8" s="94" t="s">
        <v>60</v>
      </c>
      <c r="X8" s="103" t="s">
        <v>61</v>
      </c>
      <c r="Y8" s="91"/>
      <c r="Z8" s="91"/>
      <c r="AA8" s="91"/>
      <c r="AB8" s="91"/>
      <c r="AC8" s="70" t="s">
        <v>86</v>
      </c>
      <c r="AD8" s="70" t="s">
        <v>57</v>
      </c>
      <c r="AE8" s="70" t="s">
        <v>57</v>
      </c>
      <c r="AF8" s="95" t="s">
        <v>62</v>
      </c>
      <c r="AG8" s="96" t="s">
        <v>0</v>
      </c>
      <c r="AH8" s="70" t="s">
        <v>0</v>
      </c>
      <c r="AI8" s="70" t="s">
        <v>63</v>
      </c>
      <c r="AJ8" s="70" t="s">
        <v>64</v>
      </c>
      <c r="AK8" s="70"/>
      <c r="AL8" s="70"/>
      <c r="AM8" s="70" t="s">
        <v>65</v>
      </c>
      <c r="AN8" s="70" t="s">
        <v>66</v>
      </c>
      <c r="AO8" s="70" t="s">
        <v>65</v>
      </c>
      <c r="AP8" s="70" t="s">
        <v>67</v>
      </c>
      <c r="AQ8" s="70" t="s">
        <v>68</v>
      </c>
      <c r="AR8" s="70" t="s">
        <v>69</v>
      </c>
      <c r="AS8" s="70" t="s">
        <v>68</v>
      </c>
      <c r="AT8" s="70" t="s">
        <v>70</v>
      </c>
      <c r="AU8" s="70" t="s">
        <v>68</v>
      </c>
      <c r="AV8" s="67"/>
      <c r="AW8" s="68" t="s">
        <v>22</v>
      </c>
    </row>
    <row r="9" spans="1:49" ht="78">
      <c r="A9" s="1356"/>
      <c r="B9" s="1358"/>
      <c r="C9" s="98">
        <v>11</v>
      </c>
      <c r="D9" s="99" t="s">
        <v>343</v>
      </c>
      <c r="E9" s="100">
        <v>12</v>
      </c>
      <c r="F9" s="101" t="s">
        <v>82</v>
      </c>
      <c r="G9" s="102">
        <v>1</v>
      </c>
      <c r="H9" s="81" t="s">
        <v>54</v>
      </c>
      <c r="I9" s="81">
        <v>112</v>
      </c>
      <c r="J9" s="81" t="s">
        <v>352</v>
      </c>
      <c r="K9" s="81" t="s">
        <v>56</v>
      </c>
      <c r="L9" s="81" t="s">
        <v>84</v>
      </c>
      <c r="M9" s="81" t="s">
        <v>58</v>
      </c>
      <c r="N9" s="81" t="s">
        <v>85</v>
      </c>
      <c r="O9" s="93" t="s">
        <v>60</v>
      </c>
      <c r="P9" s="93" t="s">
        <v>60</v>
      </c>
      <c r="Q9" s="93" t="s">
        <v>60</v>
      </c>
      <c r="R9" s="91"/>
      <c r="S9" s="94" t="s">
        <v>61</v>
      </c>
      <c r="T9" s="94" t="s">
        <v>60</v>
      </c>
      <c r="U9" s="91"/>
      <c r="V9" s="91"/>
      <c r="W9" s="94" t="s">
        <v>60</v>
      </c>
      <c r="X9" s="103" t="s">
        <v>61</v>
      </c>
      <c r="Y9" s="91"/>
      <c r="Z9" s="91"/>
      <c r="AA9" s="91"/>
      <c r="AB9" s="91"/>
      <c r="AC9" s="70" t="s">
        <v>86</v>
      </c>
      <c r="AD9" s="70" t="s">
        <v>57</v>
      </c>
      <c r="AE9" s="70" t="s">
        <v>57</v>
      </c>
      <c r="AF9" s="95" t="s">
        <v>62</v>
      </c>
      <c r="AG9" s="70" t="s">
        <v>71</v>
      </c>
      <c r="AH9" s="96" t="s">
        <v>62</v>
      </c>
      <c r="AI9" s="70" t="s">
        <v>63</v>
      </c>
      <c r="AJ9" s="70" t="s">
        <v>64</v>
      </c>
      <c r="AK9" s="70"/>
      <c r="AL9" s="70"/>
      <c r="AM9" s="70" t="s">
        <v>65</v>
      </c>
      <c r="AN9" s="70" t="s">
        <v>71</v>
      </c>
      <c r="AO9" s="70" t="s">
        <v>65</v>
      </c>
      <c r="AP9" s="70" t="s">
        <v>71</v>
      </c>
      <c r="AQ9" s="70" t="s">
        <v>68</v>
      </c>
      <c r="AR9" s="70" t="s">
        <v>72</v>
      </c>
      <c r="AS9" s="70" t="s">
        <v>68</v>
      </c>
      <c r="AT9" s="70" t="s">
        <v>70</v>
      </c>
      <c r="AU9" s="70" t="s">
        <v>68</v>
      </c>
      <c r="AV9" s="67"/>
      <c r="AW9" s="68" t="s">
        <v>22</v>
      </c>
    </row>
    <row r="10" spans="1:49" ht="39">
      <c r="A10" s="1354">
        <v>5</v>
      </c>
      <c r="B10" s="1357">
        <v>5</v>
      </c>
      <c r="C10" s="98">
        <v>11</v>
      </c>
      <c r="D10" s="99" t="s">
        <v>343</v>
      </c>
      <c r="E10" s="100">
        <v>12</v>
      </c>
      <c r="F10" s="101" t="s">
        <v>82</v>
      </c>
      <c r="G10" s="102">
        <v>1</v>
      </c>
      <c r="H10" s="81" t="s">
        <v>54</v>
      </c>
      <c r="I10" s="81">
        <v>112</v>
      </c>
      <c r="J10" s="81" t="s">
        <v>352</v>
      </c>
      <c r="K10" s="83" t="s">
        <v>73</v>
      </c>
      <c r="L10" s="86" t="s">
        <v>74</v>
      </c>
      <c r="M10" s="85" t="s">
        <v>75</v>
      </c>
      <c r="N10" s="86" t="s">
        <v>76</v>
      </c>
      <c r="O10" s="93" t="s">
        <v>60</v>
      </c>
      <c r="P10" s="93" t="s">
        <v>60</v>
      </c>
      <c r="Q10" s="93" t="s">
        <v>60</v>
      </c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70" t="s">
        <v>57</v>
      </c>
      <c r="AD10" s="70" t="s">
        <v>57</v>
      </c>
      <c r="AE10" s="70" t="s">
        <v>57</v>
      </c>
      <c r="AF10" s="95" t="s">
        <v>62</v>
      </c>
      <c r="AG10" s="70" t="s">
        <v>0</v>
      </c>
      <c r="AH10" s="70" t="s">
        <v>0</v>
      </c>
      <c r="AI10" s="70" t="s">
        <v>77</v>
      </c>
      <c r="AJ10" s="70"/>
      <c r="AK10" s="70"/>
      <c r="AL10" s="70"/>
      <c r="AM10" s="70" t="s">
        <v>65</v>
      </c>
      <c r="AN10" s="70" t="s">
        <v>65</v>
      </c>
      <c r="AO10" s="70" t="s">
        <v>65</v>
      </c>
      <c r="AP10" s="70" t="s">
        <v>67</v>
      </c>
      <c r="AQ10" s="70" t="s">
        <v>78</v>
      </c>
      <c r="AR10" s="71" t="s">
        <v>79</v>
      </c>
      <c r="AS10" s="70" t="s">
        <v>62</v>
      </c>
      <c r="AT10" s="70" t="s">
        <v>70</v>
      </c>
      <c r="AU10" s="70" t="s">
        <v>68</v>
      </c>
      <c r="AV10" s="67"/>
      <c r="AW10" s="68" t="s">
        <v>22</v>
      </c>
    </row>
    <row r="11" spans="1:49" ht="39">
      <c r="A11" s="1356"/>
      <c r="B11" s="1358"/>
      <c r="C11" s="98">
        <v>11</v>
      </c>
      <c r="D11" s="99" t="s">
        <v>343</v>
      </c>
      <c r="E11" s="100">
        <v>12</v>
      </c>
      <c r="F11" s="101" t="s">
        <v>82</v>
      </c>
      <c r="G11" s="102">
        <v>1</v>
      </c>
      <c r="H11" s="81" t="s">
        <v>54</v>
      </c>
      <c r="I11" s="81">
        <v>112</v>
      </c>
      <c r="J11" s="81" t="s">
        <v>352</v>
      </c>
      <c r="K11" s="83" t="s">
        <v>73</v>
      </c>
      <c r="L11" s="86" t="s">
        <v>74</v>
      </c>
      <c r="M11" s="85" t="s">
        <v>75</v>
      </c>
      <c r="N11" s="86" t="s">
        <v>76</v>
      </c>
      <c r="O11" s="93" t="s">
        <v>60</v>
      </c>
      <c r="P11" s="93" t="s">
        <v>60</v>
      </c>
      <c r="Q11" s="93" t="s">
        <v>60</v>
      </c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70" t="s">
        <v>57</v>
      </c>
      <c r="AD11" s="70" t="s">
        <v>57</v>
      </c>
      <c r="AE11" s="70" t="s">
        <v>57</v>
      </c>
      <c r="AF11" s="95" t="s">
        <v>62</v>
      </c>
      <c r="AG11" s="70" t="s">
        <v>71</v>
      </c>
      <c r="AH11" s="96" t="s">
        <v>62</v>
      </c>
      <c r="AI11" s="70" t="s">
        <v>77</v>
      </c>
      <c r="AJ11" s="70"/>
      <c r="AK11" s="70"/>
      <c r="AL11" s="70"/>
      <c r="AM11" s="70" t="s">
        <v>65</v>
      </c>
      <c r="AN11" s="70" t="s">
        <v>71</v>
      </c>
      <c r="AO11" s="70" t="s">
        <v>65</v>
      </c>
      <c r="AP11" s="70" t="s">
        <v>71</v>
      </c>
      <c r="AQ11" s="70" t="s">
        <v>78</v>
      </c>
      <c r="AR11" s="70" t="s">
        <v>72</v>
      </c>
      <c r="AS11" s="70" t="s">
        <v>62</v>
      </c>
      <c r="AT11" s="70" t="s">
        <v>70</v>
      </c>
      <c r="AU11" s="70" t="s">
        <v>68</v>
      </c>
      <c r="AV11" s="67"/>
      <c r="AW11" s="68" t="s">
        <v>22</v>
      </c>
    </row>
    <row r="12" spans="1:49" ht="39">
      <c r="A12" s="70">
        <v>6</v>
      </c>
      <c r="B12" s="97">
        <v>6</v>
      </c>
      <c r="C12" s="98">
        <v>11</v>
      </c>
      <c r="D12" s="99" t="s">
        <v>343</v>
      </c>
      <c r="E12" s="104">
        <v>12</v>
      </c>
      <c r="F12" s="101" t="s">
        <v>82</v>
      </c>
      <c r="G12" s="102">
        <v>1</v>
      </c>
      <c r="H12" s="81" t="s">
        <v>54</v>
      </c>
      <c r="I12" s="81">
        <v>112</v>
      </c>
      <c r="J12" s="81" t="s">
        <v>83</v>
      </c>
      <c r="K12" s="81" t="s">
        <v>80</v>
      </c>
      <c r="L12" s="81" t="s">
        <v>84</v>
      </c>
      <c r="M12" s="81" t="s">
        <v>58</v>
      </c>
      <c r="N12" s="81" t="s">
        <v>85</v>
      </c>
      <c r="O12" s="93" t="s">
        <v>60</v>
      </c>
      <c r="P12" s="93" t="s">
        <v>60</v>
      </c>
      <c r="Q12" s="93" t="s">
        <v>60</v>
      </c>
      <c r="R12" s="91"/>
      <c r="S12" s="94" t="s">
        <v>61</v>
      </c>
      <c r="T12" s="94" t="s">
        <v>60</v>
      </c>
      <c r="U12" s="91"/>
      <c r="V12" s="91"/>
      <c r="W12" s="94" t="s">
        <v>60</v>
      </c>
      <c r="X12" s="91"/>
      <c r="Y12" s="91"/>
      <c r="Z12" s="91"/>
      <c r="AA12" s="91"/>
      <c r="AB12" s="91"/>
      <c r="AC12" s="95" t="s">
        <v>62</v>
      </c>
      <c r="AD12" s="95" t="s">
        <v>62</v>
      </c>
      <c r="AE12" s="95" t="s">
        <v>62</v>
      </c>
      <c r="AF12" s="95" t="s">
        <v>62</v>
      </c>
      <c r="AG12" s="96" t="s">
        <v>0</v>
      </c>
      <c r="AH12" s="70" t="s">
        <v>0</v>
      </c>
      <c r="AI12" s="70" t="s">
        <v>63</v>
      </c>
      <c r="AJ12" s="70" t="s">
        <v>64</v>
      </c>
      <c r="AK12" s="70"/>
      <c r="AL12" s="70"/>
      <c r="AM12" s="70" t="s">
        <v>62</v>
      </c>
      <c r="AN12" s="70" t="s">
        <v>62</v>
      </c>
      <c r="AO12" s="70" t="s">
        <v>62</v>
      </c>
      <c r="AP12" s="70" t="s">
        <v>62</v>
      </c>
      <c r="AQ12" s="70" t="s">
        <v>62</v>
      </c>
      <c r="AR12" s="70" t="s">
        <v>62</v>
      </c>
      <c r="AS12" s="70" t="s">
        <v>62</v>
      </c>
      <c r="AT12" s="70" t="s">
        <v>62</v>
      </c>
      <c r="AU12" s="70" t="s">
        <v>68</v>
      </c>
      <c r="AV12" s="67"/>
      <c r="AW12" s="68" t="s">
        <v>22</v>
      </c>
    </row>
    <row r="13" spans="1:49" ht="78">
      <c r="A13" s="1354">
        <v>7</v>
      </c>
      <c r="B13" s="1357">
        <v>7</v>
      </c>
      <c r="C13" s="98">
        <v>11</v>
      </c>
      <c r="D13" s="99" t="s">
        <v>81</v>
      </c>
      <c r="E13" s="104">
        <v>13</v>
      </c>
      <c r="F13" s="101" t="s">
        <v>87</v>
      </c>
      <c r="G13" s="102">
        <v>1</v>
      </c>
      <c r="H13" s="81" t="s">
        <v>54</v>
      </c>
      <c r="I13" s="81">
        <v>113</v>
      </c>
      <c r="J13" s="81" t="s">
        <v>88</v>
      </c>
      <c r="K13" s="81" t="s">
        <v>56</v>
      </c>
      <c r="L13" s="81" t="s">
        <v>84</v>
      </c>
      <c r="M13" s="81" t="s">
        <v>58</v>
      </c>
      <c r="N13" s="81" t="s">
        <v>85</v>
      </c>
      <c r="O13" s="93" t="s">
        <v>60</v>
      </c>
      <c r="P13" s="93" t="s">
        <v>60</v>
      </c>
      <c r="Q13" s="93" t="s">
        <v>60</v>
      </c>
      <c r="R13" s="91"/>
      <c r="S13" s="94" t="s">
        <v>61</v>
      </c>
      <c r="T13" s="94" t="s">
        <v>60</v>
      </c>
      <c r="U13" s="91"/>
      <c r="V13" s="91"/>
      <c r="W13" s="94" t="s">
        <v>60</v>
      </c>
      <c r="X13" s="103" t="s">
        <v>61</v>
      </c>
      <c r="Y13" s="91"/>
      <c r="Z13" s="91"/>
      <c r="AA13" s="91"/>
      <c r="AB13" s="91"/>
      <c r="AC13" s="70" t="s">
        <v>86</v>
      </c>
      <c r="AD13" s="70" t="s">
        <v>86</v>
      </c>
      <c r="AE13" s="70" t="s">
        <v>89</v>
      </c>
      <c r="AF13" s="95" t="s">
        <v>62</v>
      </c>
      <c r="AG13" s="96" t="s">
        <v>0</v>
      </c>
      <c r="AH13" s="70" t="s">
        <v>0</v>
      </c>
      <c r="AI13" s="70" t="s">
        <v>63</v>
      </c>
      <c r="AJ13" s="70" t="s">
        <v>64</v>
      </c>
      <c r="AK13" s="70"/>
      <c r="AL13" s="70"/>
      <c r="AM13" s="70" t="s">
        <v>65</v>
      </c>
      <c r="AN13" s="70" t="s">
        <v>66</v>
      </c>
      <c r="AO13" s="70" t="s">
        <v>65</v>
      </c>
      <c r="AP13" s="70" t="s">
        <v>67</v>
      </c>
      <c r="AQ13" s="70" t="s">
        <v>68</v>
      </c>
      <c r="AR13" s="70" t="s">
        <v>69</v>
      </c>
      <c r="AS13" s="70" t="s">
        <v>68</v>
      </c>
      <c r="AT13" s="70" t="s">
        <v>70</v>
      </c>
      <c r="AU13" s="70" t="s">
        <v>68</v>
      </c>
      <c r="AV13" s="67"/>
      <c r="AW13" s="68" t="s">
        <v>22</v>
      </c>
    </row>
    <row r="14" spans="1:49" ht="78">
      <c r="A14" s="1356"/>
      <c r="B14" s="1358"/>
      <c r="C14" s="98">
        <v>11</v>
      </c>
      <c r="D14" s="99" t="s">
        <v>81</v>
      </c>
      <c r="E14" s="104">
        <v>13</v>
      </c>
      <c r="F14" s="101" t="s">
        <v>87</v>
      </c>
      <c r="G14" s="102">
        <v>1</v>
      </c>
      <c r="H14" s="81" t="s">
        <v>54</v>
      </c>
      <c r="I14" s="81">
        <v>113</v>
      </c>
      <c r="J14" s="81" t="s">
        <v>88</v>
      </c>
      <c r="K14" s="81" t="s">
        <v>56</v>
      </c>
      <c r="L14" s="81" t="s">
        <v>84</v>
      </c>
      <c r="M14" s="81" t="s">
        <v>58</v>
      </c>
      <c r="N14" s="81" t="s">
        <v>85</v>
      </c>
      <c r="O14" s="93" t="s">
        <v>60</v>
      </c>
      <c r="P14" s="93" t="s">
        <v>60</v>
      </c>
      <c r="Q14" s="93" t="s">
        <v>60</v>
      </c>
      <c r="R14" s="91"/>
      <c r="S14" s="94" t="s">
        <v>61</v>
      </c>
      <c r="T14" s="94" t="s">
        <v>60</v>
      </c>
      <c r="U14" s="91"/>
      <c r="V14" s="91"/>
      <c r="W14" s="94" t="s">
        <v>60</v>
      </c>
      <c r="X14" s="103" t="s">
        <v>61</v>
      </c>
      <c r="Y14" s="91"/>
      <c r="Z14" s="91"/>
      <c r="AA14" s="91"/>
      <c r="AB14" s="91"/>
      <c r="AC14" s="70" t="s">
        <v>86</v>
      </c>
      <c r="AD14" s="70" t="s">
        <v>86</v>
      </c>
      <c r="AE14" s="70" t="s">
        <v>89</v>
      </c>
      <c r="AF14" s="95" t="s">
        <v>62</v>
      </c>
      <c r="AG14" s="70" t="s">
        <v>71</v>
      </c>
      <c r="AH14" s="96" t="s">
        <v>62</v>
      </c>
      <c r="AI14" s="70" t="s">
        <v>63</v>
      </c>
      <c r="AJ14" s="70" t="s">
        <v>64</v>
      </c>
      <c r="AK14" s="70"/>
      <c r="AL14" s="70"/>
      <c r="AM14" s="70" t="s">
        <v>65</v>
      </c>
      <c r="AN14" s="70" t="s">
        <v>71</v>
      </c>
      <c r="AO14" s="70" t="s">
        <v>65</v>
      </c>
      <c r="AP14" s="70" t="s">
        <v>71</v>
      </c>
      <c r="AQ14" s="70" t="s">
        <v>68</v>
      </c>
      <c r="AR14" s="70" t="s">
        <v>72</v>
      </c>
      <c r="AS14" s="70" t="s">
        <v>68</v>
      </c>
      <c r="AT14" s="70" t="s">
        <v>70</v>
      </c>
      <c r="AU14" s="70" t="s">
        <v>68</v>
      </c>
      <c r="AV14" s="67"/>
      <c r="AW14" s="68" t="s">
        <v>22</v>
      </c>
    </row>
    <row r="15" spans="1:49" ht="39">
      <c r="A15" s="1354">
        <v>8</v>
      </c>
      <c r="B15" s="1357">
        <v>8</v>
      </c>
      <c r="C15" s="98">
        <v>11</v>
      </c>
      <c r="D15" s="99" t="s">
        <v>81</v>
      </c>
      <c r="E15" s="104">
        <v>13</v>
      </c>
      <c r="F15" s="101" t="s">
        <v>87</v>
      </c>
      <c r="G15" s="102">
        <v>1</v>
      </c>
      <c r="H15" s="81" t="s">
        <v>54</v>
      </c>
      <c r="I15" s="81">
        <v>113</v>
      </c>
      <c r="J15" s="81" t="s">
        <v>88</v>
      </c>
      <c r="K15" s="83" t="s">
        <v>73</v>
      </c>
      <c r="L15" s="86" t="s">
        <v>74</v>
      </c>
      <c r="M15" s="85" t="s">
        <v>75</v>
      </c>
      <c r="N15" s="86" t="s">
        <v>76</v>
      </c>
      <c r="O15" s="93" t="s">
        <v>60</v>
      </c>
      <c r="P15" s="93" t="s">
        <v>60</v>
      </c>
      <c r="Q15" s="93" t="s">
        <v>60</v>
      </c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70" t="s">
        <v>57</v>
      </c>
      <c r="AD15" s="70" t="s">
        <v>57</v>
      </c>
      <c r="AE15" s="70" t="s">
        <v>57</v>
      </c>
      <c r="AF15" s="95" t="s">
        <v>62</v>
      </c>
      <c r="AG15" s="70" t="s">
        <v>0</v>
      </c>
      <c r="AH15" s="70" t="s">
        <v>0</v>
      </c>
      <c r="AI15" s="70" t="s">
        <v>77</v>
      </c>
      <c r="AJ15" s="70"/>
      <c r="AK15" s="70"/>
      <c r="AL15" s="70"/>
      <c r="AM15" s="70" t="s">
        <v>65</v>
      </c>
      <c r="AN15" s="70" t="s">
        <v>65</v>
      </c>
      <c r="AO15" s="70" t="s">
        <v>65</v>
      </c>
      <c r="AP15" s="70" t="s">
        <v>67</v>
      </c>
      <c r="AQ15" s="70" t="s">
        <v>78</v>
      </c>
      <c r="AR15" s="71" t="s">
        <v>79</v>
      </c>
      <c r="AS15" s="70" t="s">
        <v>62</v>
      </c>
      <c r="AT15" s="70" t="s">
        <v>70</v>
      </c>
      <c r="AU15" s="70" t="s">
        <v>68</v>
      </c>
      <c r="AV15" s="67"/>
      <c r="AW15" s="68" t="s">
        <v>22</v>
      </c>
    </row>
    <row r="16" spans="1:49" ht="39">
      <c r="A16" s="1356"/>
      <c r="B16" s="1358"/>
      <c r="C16" s="98">
        <v>11</v>
      </c>
      <c r="D16" s="99" t="s">
        <v>81</v>
      </c>
      <c r="E16" s="104">
        <v>13</v>
      </c>
      <c r="F16" s="101" t="s">
        <v>87</v>
      </c>
      <c r="G16" s="102">
        <v>1</v>
      </c>
      <c r="H16" s="81" t="s">
        <v>54</v>
      </c>
      <c r="I16" s="81">
        <v>113</v>
      </c>
      <c r="J16" s="81" t="s">
        <v>88</v>
      </c>
      <c r="K16" s="83" t="s">
        <v>73</v>
      </c>
      <c r="L16" s="86" t="s">
        <v>74</v>
      </c>
      <c r="M16" s="85" t="s">
        <v>75</v>
      </c>
      <c r="N16" s="86" t="s">
        <v>76</v>
      </c>
      <c r="O16" s="93" t="s">
        <v>60</v>
      </c>
      <c r="P16" s="93" t="s">
        <v>60</v>
      </c>
      <c r="Q16" s="93" t="s">
        <v>60</v>
      </c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70" t="s">
        <v>57</v>
      </c>
      <c r="AD16" s="70" t="s">
        <v>57</v>
      </c>
      <c r="AE16" s="70" t="s">
        <v>57</v>
      </c>
      <c r="AF16" s="95" t="s">
        <v>62</v>
      </c>
      <c r="AG16" s="70" t="s">
        <v>71</v>
      </c>
      <c r="AH16" s="96" t="s">
        <v>62</v>
      </c>
      <c r="AI16" s="70" t="s">
        <v>77</v>
      </c>
      <c r="AJ16" s="70"/>
      <c r="AK16" s="70"/>
      <c r="AL16" s="70"/>
      <c r="AM16" s="70" t="s">
        <v>65</v>
      </c>
      <c r="AN16" s="70" t="s">
        <v>71</v>
      </c>
      <c r="AO16" s="70" t="s">
        <v>65</v>
      </c>
      <c r="AP16" s="70" t="s">
        <v>71</v>
      </c>
      <c r="AQ16" s="70" t="s">
        <v>78</v>
      </c>
      <c r="AR16" s="70" t="s">
        <v>72</v>
      </c>
      <c r="AS16" s="70" t="s">
        <v>62</v>
      </c>
      <c r="AT16" s="70" t="s">
        <v>70</v>
      </c>
      <c r="AU16" s="70" t="s">
        <v>68</v>
      </c>
      <c r="AV16" s="67"/>
      <c r="AW16" s="68" t="s">
        <v>22</v>
      </c>
    </row>
    <row r="17" spans="1:49" ht="39">
      <c r="A17" s="70">
        <v>9</v>
      </c>
      <c r="B17" s="97">
        <v>9</v>
      </c>
      <c r="C17" s="98">
        <v>11</v>
      </c>
      <c r="D17" s="99" t="s">
        <v>81</v>
      </c>
      <c r="E17" s="104">
        <v>13</v>
      </c>
      <c r="F17" s="101" t="s">
        <v>87</v>
      </c>
      <c r="G17" s="102">
        <v>1</v>
      </c>
      <c r="H17" s="81" t="s">
        <v>54</v>
      </c>
      <c r="I17" s="81">
        <v>113</v>
      </c>
      <c r="J17" s="81" t="s">
        <v>88</v>
      </c>
      <c r="K17" s="81" t="s">
        <v>80</v>
      </c>
      <c r="L17" s="81" t="s">
        <v>84</v>
      </c>
      <c r="M17" s="81" t="s">
        <v>58</v>
      </c>
      <c r="N17" s="81" t="s">
        <v>85</v>
      </c>
      <c r="O17" s="93" t="s">
        <v>60</v>
      </c>
      <c r="P17" s="93" t="s">
        <v>60</v>
      </c>
      <c r="Q17" s="93" t="s">
        <v>60</v>
      </c>
      <c r="R17" s="91"/>
      <c r="S17" s="94" t="s">
        <v>61</v>
      </c>
      <c r="T17" s="94" t="s">
        <v>60</v>
      </c>
      <c r="U17" s="91"/>
      <c r="V17" s="91"/>
      <c r="W17" s="94" t="s">
        <v>60</v>
      </c>
      <c r="X17" s="91"/>
      <c r="Y17" s="91"/>
      <c r="Z17" s="91"/>
      <c r="AA17" s="91"/>
      <c r="AB17" s="91"/>
      <c r="AC17" s="95" t="s">
        <v>62</v>
      </c>
      <c r="AD17" s="95" t="s">
        <v>62</v>
      </c>
      <c r="AE17" s="95" t="s">
        <v>62</v>
      </c>
      <c r="AF17" s="95" t="s">
        <v>62</v>
      </c>
      <c r="AG17" s="96" t="s">
        <v>0</v>
      </c>
      <c r="AH17" s="70" t="s">
        <v>0</v>
      </c>
      <c r="AI17" s="70" t="s">
        <v>63</v>
      </c>
      <c r="AJ17" s="70" t="s">
        <v>64</v>
      </c>
      <c r="AK17" s="70"/>
      <c r="AL17" s="70"/>
      <c r="AM17" s="70" t="s">
        <v>62</v>
      </c>
      <c r="AN17" s="70" t="s">
        <v>62</v>
      </c>
      <c r="AO17" s="70" t="s">
        <v>62</v>
      </c>
      <c r="AP17" s="70" t="s">
        <v>62</v>
      </c>
      <c r="AQ17" s="70" t="s">
        <v>62</v>
      </c>
      <c r="AR17" s="70" t="s">
        <v>62</v>
      </c>
      <c r="AS17" s="70" t="s">
        <v>62</v>
      </c>
      <c r="AT17" s="70" t="s">
        <v>62</v>
      </c>
      <c r="AU17" s="70" t="s">
        <v>68</v>
      </c>
      <c r="AV17" s="67"/>
      <c r="AW17" s="68" t="s">
        <v>22</v>
      </c>
    </row>
    <row r="18" spans="1:49" ht="78">
      <c r="A18" s="1354">
        <v>10</v>
      </c>
      <c r="B18" s="1357">
        <v>10</v>
      </c>
      <c r="C18" s="98">
        <v>11</v>
      </c>
      <c r="D18" s="99" t="s">
        <v>81</v>
      </c>
      <c r="E18" s="100">
        <v>21</v>
      </c>
      <c r="F18" s="101" t="s">
        <v>90</v>
      </c>
      <c r="G18" s="102">
        <v>1</v>
      </c>
      <c r="H18" s="81" t="s">
        <v>54</v>
      </c>
      <c r="I18" s="81">
        <v>121</v>
      </c>
      <c r="J18" s="81" t="s">
        <v>91</v>
      </c>
      <c r="K18" s="81" t="s">
        <v>56</v>
      </c>
      <c r="L18" s="81" t="s">
        <v>84</v>
      </c>
      <c r="M18" s="81" t="s">
        <v>58</v>
      </c>
      <c r="N18" s="81" t="s">
        <v>85</v>
      </c>
      <c r="O18" s="93" t="s">
        <v>60</v>
      </c>
      <c r="P18" s="93" t="s">
        <v>60</v>
      </c>
      <c r="Q18" s="93" t="s">
        <v>60</v>
      </c>
      <c r="R18" s="91"/>
      <c r="S18" s="94" t="s">
        <v>61</v>
      </c>
      <c r="T18" s="94" t="s">
        <v>60</v>
      </c>
      <c r="U18" s="91"/>
      <c r="V18" s="91"/>
      <c r="W18" s="94" t="s">
        <v>60</v>
      </c>
      <c r="X18" s="103" t="s">
        <v>61</v>
      </c>
      <c r="Y18" s="91"/>
      <c r="Z18" s="91"/>
      <c r="AA18" s="91"/>
      <c r="AB18" s="91"/>
      <c r="AC18" s="70" t="s">
        <v>86</v>
      </c>
      <c r="AD18" s="70" t="s">
        <v>86</v>
      </c>
      <c r="AE18" s="70" t="s">
        <v>89</v>
      </c>
      <c r="AF18" s="70" t="s">
        <v>92</v>
      </c>
      <c r="AG18" s="96" t="s">
        <v>0</v>
      </c>
      <c r="AH18" s="70" t="s">
        <v>0</v>
      </c>
      <c r="AI18" s="70" t="s">
        <v>63</v>
      </c>
      <c r="AJ18" s="70" t="s">
        <v>64</v>
      </c>
      <c r="AK18" s="70"/>
      <c r="AL18" s="70"/>
      <c r="AM18" s="70" t="s">
        <v>65</v>
      </c>
      <c r="AN18" s="70" t="s">
        <v>66</v>
      </c>
      <c r="AO18" s="70" t="s">
        <v>65</v>
      </c>
      <c r="AP18" s="70" t="s">
        <v>67</v>
      </c>
      <c r="AQ18" s="70" t="s">
        <v>68</v>
      </c>
      <c r="AR18" s="70" t="s">
        <v>69</v>
      </c>
      <c r="AS18" s="70" t="s">
        <v>68</v>
      </c>
      <c r="AT18" s="70" t="s">
        <v>70</v>
      </c>
      <c r="AU18" s="70" t="s">
        <v>68</v>
      </c>
      <c r="AV18" s="67"/>
      <c r="AW18" s="68" t="s">
        <v>22</v>
      </c>
    </row>
    <row r="19" spans="1:49" ht="78">
      <c r="A19" s="1356"/>
      <c r="B19" s="1358"/>
      <c r="C19" s="98">
        <v>11</v>
      </c>
      <c r="D19" s="99" t="s">
        <v>81</v>
      </c>
      <c r="E19" s="100">
        <v>21</v>
      </c>
      <c r="F19" s="101" t="s">
        <v>90</v>
      </c>
      <c r="G19" s="102">
        <v>1</v>
      </c>
      <c r="H19" s="81" t="s">
        <v>54</v>
      </c>
      <c r="I19" s="81">
        <v>121</v>
      </c>
      <c r="J19" s="81" t="s">
        <v>91</v>
      </c>
      <c r="K19" s="81" t="s">
        <v>56</v>
      </c>
      <c r="L19" s="81" t="s">
        <v>84</v>
      </c>
      <c r="M19" s="81" t="s">
        <v>58</v>
      </c>
      <c r="N19" s="81" t="s">
        <v>85</v>
      </c>
      <c r="O19" s="93" t="s">
        <v>60</v>
      </c>
      <c r="P19" s="93" t="s">
        <v>60</v>
      </c>
      <c r="Q19" s="93" t="s">
        <v>60</v>
      </c>
      <c r="R19" s="91"/>
      <c r="S19" s="94" t="s">
        <v>61</v>
      </c>
      <c r="T19" s="94" t="s">
        <v>60</v>
      </c>
      <c r="U19" s="91"/>
      <c r="V19" s="91"/>
      <c r="W19" s="94" t="s">
        <v>60</v>
      </c>
      <c r="X19" s="103" t="s">
        <v>61</v>
      </c>
      <c r="Y19" s="91"/>
      <c r="Z19" s="91"/>
      <c r="AA19" s="91"/>
      <c r="AB19" s="91"/>
      <c r="AC19" s="70" t="s">
        <v>86</v>
      </c>
      <c r="AD19" s="70" t="s">
        <v>86</v>
      </c>
      <c r="AE19" s="70" t="s">
        <v>89</v>
      </c>
      <c r="AF19" s="70" t="s">
        <v>92</v>
      </c>
      <c r="AG19" s="70" t="s">
        <v>71</v>
      </c>
      <c r="AH19" s="96" t="s">
        <v>62</v>
      </c>
      <c r="AI19" s="70" t="s">
        <v>63</v>
      </c>
      <c r="AJ19" s="70" t="s">
        <v>64</v>
      </c>
      <c r="AK19" s="70"/>
      <c r="AL19" s="70"/>
      <c r="AM19" s="70" t="s">
        <v>65</v>
      </c>
      <c r="AN19" s="70" t="s">
        <v>71</v>
      </c>
      <c r="AO19" s="70" t="s">
        <v>65</v>
      </c>
      <c r="AP19" s="70" t="s">
        <v>71</v>
      </c>
      <c r="AQ19" s="70" t="s">
        <v>68</v>
      </c>
      <c r="AR19" s="70" t="s">
        <v>72</v>
      </c>
      <c r="AS19" s="70" t="s">
        <v>68</v>
      </c>
      <c r="AT19" s="70" t="s">
        <v>70</v>
      </c>
      <c r="AU19" s="70" t="s">
        <v>68</v>
      </c>
      <c r="AV19" s="67"/>
      <c r="AW19" s="68" t="s">
        <v>22</v>
      </c>
    </row>
    <row r="20" spans="1:49" ht="39">
      <c r="A20" s="1354">
        <v>11</v>
      </c>
      <c r="B20" s="1357">
        <v>11</v>
      </c>
      <c r="C20" s="98">
        <v>11</v>
      </c>
      <c r="D20" s="99" t="s">
        <v>81</v>
      </c>
      <c r="E20" s="100">
        <v>21</v>
      </c>
      <c r="F20" s="101" t="s">
        <v>294</v>
      </c>
      <c r="G20" s="102">
        <v>1</v>
      </c>
      <c r="H20" s="81" t="s">
        <v>54</v>
      </c>
      <c r="I20" s="81">
        <v>121</v>
      </c>
      <c r="J20" s="81" t="s">
        <v>91</v>
      </c>
      <c r="K20" s="83" t="s">
        <v>73</v>
      </c>
      <c r="L20" s="86" t="s">
        <v>74</v>
      </c>
      <c r="M20" s="85" t="s">
        <v>75</v>
      </c>
      <c r="N20" s="86" t="s">
        <v>76</v>
      </c>
      <c r="O20" s="93" t="s">
        <v>60</v>
      </c>
      <c r="P20" s="93" t="s">
        <v>60</v>
      </c>
      <c r="Q20" s="93" t="s">
        <v>60</v>
      </c>
      <c r="R20" s="103" t="s">
        <v>60</v>
      </c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70" t="s">
        <v>57</v>
      </c>
      <c r="AD20" s="70" t="s">
        <v>57</v>
      </c>
      <c r="AE20" s="70" t="s">
        <v>57</v>
      </c>
      <c r="AF20" s="95" t="s">
        <v>62</v>
      </c>
      <c r="AG20" s="70" t="s">
        <v>0</v>
      </c>
      <c r="AH20" s="70" t="s">
        <v>0</v>
      </c>
      <c r="AI20" s="70" t="s">
        <v>77</v>
      </c>
      <c r="AJ20" s="70"/>
      <c r="AK20" s="70"/>
      <c r="AL20" s="70"/>
      <c r="AM20" s="70" t="s">
        <v>65</v>
      </c>
      <c r="AN20" s="70" t="s">
        <v>65</v>
      </c>
      <c r="AO20" s="70" t="s">
        <v>65</v>
      </c>
      <c r="AP20" s="70" t="s">
        <v>67</v>
      </c>
      <c r="AQ20" s="70" t="s">
        <v>78</v>
      </c>
      <c r="AR20" s="71" t="s">
        <v>79</v>
      </c>
      <c r="AS20" s="70" t="s">
        <v>62</v>
      </c>
      <c r="AT20" s="70" t="s">
        <v>70</v>
      </c>
      <c r="AU20" s="70" t="s">
        <v>68</v>
      </c>
      <c r="AV20" s="67"/>
      <c r="AW20" s="68" t="s">
        <v>22</v>
      </c>
    </row>
    <row r="21" spans="1:49" ht="39">
      <c r="A21" s="1356"/>
      <c r="B21" s="1358"/>
      <c r="C21" s="98">
        <v>11</v>
      </c>
      <c r="D21" s="99" t="s">
        <v>81</v>
      </c>
      <c r="E21" s="100">
        <v>21</v>
      </c>
      <c r="F21" s="101" t="s">
        <v>90</v>
      </c>
      <c r="G21" s="102">
        <v>1</v>
      </c>
      <c r="H21" s="81" t="s">
        <v>54</v>
      </c>
      <c r="I21" s="81">
        <v>121</v>
      </c>
      <c r="J21" s="81" t="s">
        <v>91</v>
      </c>
      <c r="K21" s="83" t="s">
        <v>73</v>
      </c>
      <c r="L21" s="86" t="s">
        <v>74</v>
      </c>
      <c r="M21" s="85" t="s">
        <v>75</v>
      </c>
      <c r="N21" s="86" t="s">
        <v>76</v>
      </c>
      <c r="O21" s="93" t="s">
        <v>60</v>
      </c>
      <c r="P21" s="93" t="s">
        <v>60</v>
      </c>
      <c r="Q21" s="93" t="s">
        <v>60</v>
      </c>
      <c r="R21" s="103" t="s">
        <v>60</v>
      </c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70" t="s">
        <v>57</v>
      </c>
      <c r="AD21" s="70" t="s">
        <v>57</v>
      </c>
      <c r="AE21" s="70" t="s">
        <v>57</v>
      </c>
      <c r="AF21" s="95" t="s">
        <v>62</v>
      </c>
      <c r="AG21" s="70" t="s">
        <v>71</v>
      </c>
      <c r="AH21" s="96" t="s">
        <v>62</v>
      </c>
      <c r="AI21" s="70" t="s">
        <v>77</v>
      </c>
      <c r="AJ21" s="70"/>
      <c r="AK21" s="70"/>
      <c r="AL21" s="70"/>
      <c r="AM21" s="70" t="s">
        <v>65</v>
      </c>
      <c r="AN21" s="70" t="s">
        <v>71</v>
      </c>
      <c r="AO21" s="70" t="s">
        <v>65</v>
      </c>
      <c r="AP21" s="70" t="s">
        <v>71</v>
      </c>
      <c r="AQ21" s="70" t="s">
        <v>78</v>
      </c>
      <c r="AR21" s="70" t="s">
        <v>72</v>
      </c>
      <c r="AS21" s="70" t="s">
        <v>62</v>
      </c>
      <c r="AT21" s="70" t="s">
        <v>70</v>
      </c>
      <c r="AU21" s="70" t="s">
        <v>68</v>
      </c>
      <c r="AV21" s="67"/>
      <c r="AW21" s="68" t="s">
        <v>22</v>
      </c>
    </row>
    <row r="22" spans="1:49" ht="39">
      <c r="A22" s="70">
        <v>12</v>
      </c>
      <c r="B22" s="97">
        <v>12</v>
      </c>
      <c r="C22" s="98">
        <v>11</v>
      </c>
      <c r="D22" s="99" t="s">
        <v>81</v>
      </c>
      <c r="E22" s="100">
        <v>21</v>
      </c>
      <c r="F22" s="101" t="s">
        <v>90</v>
      </c>
      <c r="G22" s="102">
        <v>1</v>
      </c>
      <c r="H22" s="81" t="s">
        <v>54</v>
      </c>
      <c r="I22" s="81">
        <v>121</v>
      </c>
      <c r="J22" s="81" t="s">
        <v>91</v>
      </c>
      <c r="K22" s="81" t="s">
        <v>80</v>
      </c>
      <c r="L22" s="81" t="s">
        <v>84</v>
      </c>
      <c r="M22" s="81" t="s">
        <v>58</v>
      </c>
      <c r="N22" s="81" t="s">
        <v>85</v>
      </c>
      <c r="O22" s="93" t="s">
        <v>60</v>
      </c>
      <c r="P22" s="93" t="s">
        <v>60</v>
      </c>
      <c r="Q22" s="93" t="s">
        <v>60</v>
      </c>
      <c r="R22" s="91"/>
      <c r="S22" s="94" t="s">
        <v>61</v>
      </c>
      <c r="T22" s="94" t="s">
        <v>60</v>
      </c>
      <c r="U22" s="91"/>
      <c r="V22" s="91"/>
      <c r="W22" s="94" t="s">
        <v>60</v>
      </c>
      <c r="X22" s="91"/>
      <c r="Y22" s="91"/>
      <c r="Z22" s="91"/>
      <c r="AA22" s="91"/>
      <c r="AB22" s="91"/>
      <c r="AC22" s="95" t="s">
        <v>62</v>
      </c>
      <c r="AD22" s="95" t="s">
        <v>62</v>
      </c>
      <c r="AE22" s="95" t="s">
        <v>62</v>
      </c>
      <c r="AF22" s="95" t="s">
        <v>62</v>
      </c>
      <c r="AG22" s="96" t="s">
        <v>0</v>
      </c>
      <c r="AH22" s="70" t="s">
        <v>0</v>
      </c>
      <c r="AI22" s="70" t="s">
        <v>63</v>
      </c>
      <c r="AJ22" s="70" t="s">
        <v>64</v>
      </c>
      <c r="AK22" s="70"/>
      <c r="AL22" s="70"/>
      <c r="AM22" s="70" t="s">
        <v>62</v>
      </c>
      <c r="AN22" s="70" t="s">
        <v>62</v>
      </c>
      <c r="AO22" s="70" t="s">
        <v>62</v>
      </c>
      <c r="AP22" s="70" t="s">
        <v>62</v>
      </c>
      <c r="AQ22" s="70" t="s">
        <v>62</v>
      </c>
      <c r="AR22" s="70" t="s">
        <v>62</v>
      </c>
      <c r="AS22" s="70" t="s">
        <v>62</v>
      </c>
      <c r="AT22" s="70" t="s">
        <v>62</v>
      </c>
      <c r="AU22" s="70" t="s">
        <v>68</v>
      </c>
      <c r="AV22" s="67"/>
      <c r="AW22" s="68" t="s">
        <v>22</v>
      </c>
    </row>
    <row r="23" spans="1:49" ht="39">
      <c r="A23" s="1354">
        <v>13</v>
      </c>
      <c r="B23" s="1357">
        <v>13</v>
      </c>
      <c r="C23" s="98">
        <v>21</v>
      </c>
      <c r="D23" s="99" t="s">
        <v>52</v>
      </c>
      <c r="E23" s="100">
        <v>22</v>
      </c>
      <c r="F23" s="101" t="s">
        <v>93</v>
      </c>
      <c r="G23" s="102">
        <v>1</v>
      </c>
      <c r="H23" s="81" t="s">
        <v>54</v>
      </c>
      <c r="I23" s="81">
        <v>122</v>
      </c>
      <c r="J23" s="81" t="s">
        <v>344</v>
      </c>
      <c r="K23" s="81" t="s">
        <v>56</v>
      </c>
      <c r="L23" s="207" t="s">
        <v>57</v>
      </c>
      <c r="M23" s="81" t="s">
        <v>58</v>
      </c>
      <c r="N23" s="81" t="s">
        <v>59</v>
      </c>
      <c r="O23" s="93" t="s">
        <v>60</v>
      </c>
      <c r="P23" s="93" t="s">
        <v>60</v>
      </c>
      <c r="Q23" s="93" t="s">
        <v>60</v>
      </c>
      <c r="R23" s="91"/>
      <c r="S23" s="94" t="s">
        <v>61</v>
      </c>
      <c r="T23" s="94" t="s">
        <v>60</v>
      </c>
      <c r="U23" s="91"/>
      <c r="V23" s="91"/>
      <c r="W23" s="91"/>
      <c r="X23" s="91"/>
      <c r="Y23" s="91"/>
      <c r="Z23" s="91"/>
      <c r="AA23" s="91"/>
      <c r="AB23" s="91"/>
      <c r="AC23" s="70" t="s">
        <v>57</v>
      </c>
      <c r="AD23" s="70" t="s">
        <v>57</v>
      </c>
      <c r="AE23" s="70" t="s">
        <v>57</v>
      </c>
      <c r="AF23" s="95" t="s">
        <v>62</v>
      </c>
      <c r="AG23" s="96" t="s">
        <v>0</v>
      </c>
      <c r="AH23" s="70" t="s">
        <v>0</v>
      </c>
      <c r="AI23" s="70" t="s">
        <v>63</v>
      </c>
      <c r="AJ23" s="70" t="s">
        <v>64</v>
      </c>
      <c r="AK23" s="70"/>
      <c r="AL23" s="70"/>
      <c r="AM23" s="70" t="s">
        <v>65</v>
      </c>
      <c r="AN23" s="70" t="s">
        <v>66</v>
      </c>
      <c r="AO23" s="70" t="s">
        <v>65</v>
      </c>
      <c r="AP23" s="70" t="s">
        <v>67</v>
      </c>
      <c r="AQ23" s="70" t="s">
        <v>68</v>
      </c>
      <c r="AR23" s="70" t="s">
        <v>69</v>
      </c>
      <c r="AS23" s="70" t="s">
        <v>68</v>
      </c>
      <c r="AT23" s="70" t="s">
        <v>70</v>
      </c>
      <c r="AU23" s="70" t="s">
        <v>68</v>
      </c>
      <c r="AV23" s="67"/>
      <c r="AW23" s="68" t="s">
        <v>22</v>
      </c>
    </row>
    <row r="24" spans="1:49" ht="39">
      <c r="A24" s="1356"/>
      <c r="B24" s="1358"/>
      <c r="C24" s="98">
        <v>21</v>
      </c>
      <c r="D24" s="99" t="s">
        <v>52</v>
      </c>
      <c r="E24" s="100">
        <v>22</v>
      </c>
      <c r="F24" s="101" t="s">
        <v>93</v>
      </c>
      <c r="G24" s="102">
        <v>1</v>
      </c>
      <c r="H24" s="81" t="s">
        <v>54</v>
      </c>
      <c r="I24" s="81">
        <v>122</v>
      </c>
      <c r="J24" s="81" t="s">
        <v>344</v>
      </c>
      <c r="K24" s="81" t="s">
        <v>56</v>
      </c>
      <c r="L24" s="207" t="s">
        <v>57</v>
      </c>
      <c r="M24" s="81" t="s">
        <v>58</v>
      </c>
      <c r="N24" s="81" t="s">
        <v>59</v>
      </c>
      <c r="O24" s="93" t="s">
        <v>60</v>
      </c>
      <c r="P24" s="93" t="s">
        <v>60</v>
      </c>
      <c r="Q24" s="93" t="s">
        <v>60</v>
      </c>
      <c r="R24" s="91"/>
      <c r="S24" s="94" t="s">
        <v>61</v>
      </c>
      <c r="T24" s="94" t="s">
        <v>60</v>
      </c>
      <c r="U24" s="91"/>
      <c r="V24" s="91"/>
      <c r="W24" s="91"/>
      <c r="X24" s="91"/>
      <c r="Y24" s="91"/>
      <c r="Z24" s="91"/>
      <c r="AA24" s="91"/>
      <c r="AB24" s="91"/>
      <c r="AC24" s="70" t="s">
        <v>57</v>
      </c>
      <c r="AD24" s="70" t="s">
        <v>57</v>
      </c>
      <c r="AE24" s="70" t="s">
        <v>57</v>
      </c>
      <c r="AF24" s="95" t="s">
        <v>62</v>
      </c>
      <c r="AG24" s="70" t="s">
        <v>71</v>
      </c>
      <c r="AH24" s="96" t="s">
        <v>62</v>
      </c>
      <c r="AI24" s="70" t="s">
        <v>63</v>
      </c>
      <c r="AJ24" s="70" t="s">
        <v>64</v>
      </c>
      <c r="AK24" s="70"/>
      <c r="AL24" s="70"/>
      <c r="AM24" s="70" t="s">
        <v>65</v>
      </c>
      <c r="AN24" s="70" t="s">
        <v>71</v>
      </c>
      <c r="AO24" s="70" t="s">
        <v>65</v>
      </c>
      <c r="AP24" s="70" t="s">
        <v>71</v>
      </c>
      <c r="AQ24" s="70" t="s">
        <v>68</v>
      </c>
      <c r="AR24" s="70" t="s">
        <v>72</v>
      </c>
      <c r="AS24" s="70" t="s">
        <v>68</v>
      </c>
      <c r="AT24" s="70" t="s">
        <v>70</v>
      </c>
      <c r="AU24" s="70" t="s">
        <v>68</v>
      </c>
      <c r="AV24" s="67"/>
      <c r="AW24" s="68" t="s">
        <v>22</v>
      </c>
    </row>
    <row r="25" spans="1:49" ht="39">
      <c r="A25" s="1354">
        <v>14</v>
      </c>
      <c r="B25" s="1357">
        <v>14</v>
      </c>
      <c r="C25" s="98">
        <v>21</v>
      </c>
      <c r="D25" s="99" t="s">
        <v>52</v>
      </c>
      <c r="E25" s="100">
        <v>22</v>
      </c>
      <c r="F25" s="101" t="s">
        <v>93</v>
      </c>
      <c r="G25" s="102">
        <v>1</v>
      </c>
      <c r="H25" s="81" t="s">
        <v>54</v>
      </c>
      <c r="I25" s="81">
        <v>122</v>
      </c>
      <c r="J25" s="81" t="s">
        <v>344</v>
      </c>
      <c r="K25" s="83" t="s">
        <v>73</v>
      </c>
      <c r="L25" s="86" t="s">
        <v>74</v>
      </c>
      <c r="M25" s="85" t="s">
        <v>75</v>
      </c>
      <c r="N25" s="86" t="s">
        <v>76</v>
      </c>
      <c r="O25" s="93" t="s">
        <v>60</v>
      </c>
      <c r="P25" s="93" t="s">
        <v>60</v>
      </c>
      <c r="Q25" s="93" t="s">
        <v>60</v>
      </c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70" t="s">
        <v>57</v>
      </c>
      <c r="AD25" s="70" t="s">
        <v>57</v>
      </c>
      <c r="AE25" s="70" t="s">
        <v>57</v>
      </c>
      <c r="AF25" s="95" t="s">
        <v>62</v>
      </c>
      <c r="AG25" s="70" t="s">
        <v>0</v>
      </c>
      <c r="AH25" s="70" t="s">
        <v>0</v>
      </c>
      <c r="AI25" s="70" t="s">
        <v>77</v>
      </c>
      <c r="AJ25" s="70"/>
      <c r="AK25" s="70"/>
      <c r="AL25" s="70"/>
      <c r="AM25" s="70" t="s">
        <v>65</v>
      </c>
      <c r="AN25" s="70" t="s">
        <v>65</v>
      </c>
      <c r="AO25" s="70" t="s">
        <v>65</v>
      </c>
      <c r="AP25" s="70" t="s">
        <v>67</v>
      </c>
      <c r="AQ25" s="70" t="s">
        <v>78</v>
      </c>
      <c r="AR25" s="71" t="s">
        <v>79</v>
      </c>
      <c r="AS25" s="70" t="s">
        <v>62</v>
      </c>
      <c r="AT25" s="70" t="s">
        <v>70</v>
      </c>
      <c r="AU25" s="70" t="s">
        <v>68</v>
      </c>
      <c r="AV25" s="67"/>
      <c r="AW25" s="68" t="s">
        <v>22</v>
      </c>
    </row>
    <row r="26" spans="1:49" ht="39">
      <c r="A26" s="1356"/>
      <c r="B26" s="1358"/>
      <c r="C26" s="98">
        <v>21</v>
      </c>
      <c r="D26" s="99" t="s">
        <v>52</v>
      </c>
      <c r="E26" s="100">
        <v>22</v>
      </c>
      <c r="F26" s="101" t="s">
        <v>93</v>
      </c>
      <c r="G26" s="102">
        <v>1</v>
      </c>
      <c r="H26" s="81" t="s">
        <v>54</v>
      </c>
      <c r="I26" s="81">
        <v>122</v>
      </c>
      <c r="J26" s="81" t="s">
        <v>344</v>
      </c>
      <c r="K26" s="83" t="s">
        <v>73</v>
      </c>
      <c r="L26" s="86" t="s">
        <v>74</v>
      </c>
      <c r="M26" s="85" t="s">
        <v>75</v>
      </c>
      <c r="N26" s="86" t="s">
        <v>76</v>
      </c>
      <c r="O26" s="93" t="s">
        <v>60</v>
      </c>
      <c r="P26" s="93" t="s">
        <v>60</v>
      </c>
      <c r="Q26" s="93" t="s">
        <v>60</v>
      </c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70" t="s">
        <v>57</v>
      </c>
      <c r="AD26" s="70" t="s">
        <v>57</v>
      </c>
      <c r="AE26" s="70" t="s">
        <v>57</v>
      </c>
      <c r="AF26" s="95" t="s">
        <v>62</v>
      </c>
      <c r="AG26" s="70" t="s">
        <v>71</v>
      </c>
      <c r="AH26" s="96" t="s">
        <v>62</v>
      </c>
      <c r="AI26" s="70" t="s">
        <v>77</v>
      </c>
      <c r="AJ26" s="70"/>
      <c r="AK26" s="70"/>
      <c r="AL26" s="70"/>
      <c r="AM26" s="70" t="s">
        <v>65</v>
      </c>
      <c r="AN26" s="70" t="s">
        <v>71</v>
      </c>
      <c r="AO26" s="70" t="s">
        <v>65</v>
      </c>
      <c r="AP26" s="70" t="s">
        <v>71</v>
      </c>
      <c r="AQ26" s="70" t="s">
        <v>78</v>
      </c>
      <c r="AR26" s="70" t="s">
        <v>72</v>
      </c>
      <c r="AS26" s="70" t="s">
        <v>62</v>
      </c>
      <c r="AT26" s="70" t="s">
        <v>70</v>
      </c>
      <c r="AU26" s="70" t="s">
        <v>68</v>
      </c>
      <c r="AV26" s="67"/>
      <c r="AW26" s="68" t="s">
        <v>22</v>
      </c>
    </row>
    <row r="27" spans="1:49" ht="39">
      <c r="A27" s="70">
        <v>15</v>
      </c>
      <c r="B27" s="97">
        <v>15</v>
      </c>
      <c r="C27" s="98">
        <v>21</v>
      </c>
      <c r="D27" s="99" t="s">
        <v>52</v>
      </c>
      <c r="E27" s="100">
        <v>22</v>
      </c>
      <c r="F27" s="101" t="s">
        <v>93</v>
      </c>
      <c r="G27" s="102">
        <v>1</v>
      </c>
      <c r="H27" s="81" t="s">
        <v>54</v>
      </c>
      <c r="I27" s="81">
        <v>122</v>
      </c>
      <c r="J27" s="81" t="s">
        <v>344</v>
      </c>
      <c r="K27" s="81" t="s">
        <v>80</v>
      </c>
      <c r="L27" s="207" t="s">
        <v>57</v>
      </c>
      <c r="M27" s="81" t="s">
        <v>58</v>
      </c>
      <c r="N27" s="81" t="s">
        <v>59</v>
      </c>
      <c r="O27" s="93" t="s">
        <v>60</v>
      </c>
      <c r="P27" s="93" t="s">
        <v>60</v>
      </c>
      <c r="Q27" s="93" t="s">
        <v>60</v>
      </c>
      <c r="R27" s="91"/>
      <c r="S27" s="94" t="s">
        <v>61</v>
      </c>
      <c r="T27" s="94" t="s">
        <v>60</v>
      </c>
      <c r="U27" s="91"/>
      <c r="V27" s="91"/>
      <c r="W27" s="93"/>
      <c r="X27" s="91"/>
      <c r="Y27" s="91"/>
      <c r="Z27" s="91"/>
      <c r="AA27" s="91"/>
      <c r="AB27" s="91"/>
      <c r="AC27" s="95" t="s">
        <v>62</v>
      </c>
      <c r="AD27" s="95" t="s">
        <v>62</v>
      </c>
      <c r="AE27" s="95" t="s">
        <v>62</v>
      </c>
      <c r="AF27" s="95" t="s">
        <v>62</v>
      </c>
      <c r="AG27" s="96" t="s">
        <v>0</v>
      </c>
      <c r="AH27" s="70" t="s">
        <v>0</v>
      </c>
      <c r="AI27" s="70" t="s">
        <v>63</v>
      </c>
      <c r="AJ27" s="70" t="s">
        <v>64</v>
      </c>
      <c r="AK27" s="70"/>
      <c r="AL27" s="70"/>
      <c r="AM27" s="70" t="s">
        <v>62</v>
      </c>
      <c r="AN27" s="70" t="s">
        <v>62</v>
      </c>
      <c r="AO27" s="70" t="s">
        <v>62</v>
      </c>
      <c r="AP27" s="70" t="s">
        <v>62</v>
      </c>
      <c r="AQ27" s="70" t="s">
        <v>62</v>
      </c>
      <c r="AR27" s="70" t="s">
        <v>62</v>
      </c>
      <c r="AS27" s="70" t="s">
        <v>62</v>
      </c>
      <c r="AT27" s="70" t="s">
        <v>62</v>
      </c>
      <c r="AU27" s="70" t="s">
        <v>68</v>
      </c>
      <c r="AV27" s="67"/>
      <c r="AW27" s="68" t="s">
        <v>22</v>
      </c>
    </row>
    <row r="28" spans="1:49" ht="78">
      <c r="A28" s="1354">
        <v>16</v>
      </c>
      <c r="B28" s="1357">
        <v>16</v>
      </c>
      <c r="C28" s="98">
        <v>11</v>
      </c>
      <c r="D28" s="99" t="s">
        <v>81</v>
      </c>
      <c r="E28" s="104">
        <v>23</v>
      </c>
      <c r="F28" s="101" t="s">
        <v>95</v>
      </c>
      <c r="G28" s="102">
        <v>1</v>
      </c>
      <c r="H28" s="81" t="s">
        <v>54</v>
      </c>
      <c r="I28" s="81">
        <v>123</v>
      </c>
      <c r="J28" s="81" t="s">
        <v>96</v>
      </c>
      <c r="K28" s="81" t="s">
        <v>56</v>
      </c>
      <c r="L28" s="81" t="s">
        <v>84</v>
      </c>
      <c r="M28" s="81" t="s">
        <v>58</v>
      </c>
      <c r="N28" s="81" t="s">
        <v>85</v>
      </c>
      <c r="O28" s="93" t="s">
        <v>60</v>
      </c>
      <c r="P28" s="93" t="s">
        <v>60</v>
      </c>
      <c r="Q28" s="93" t="s">
        <v>60</v>
      </c>
      <c r="R28" s="91"/>
      <c r="S28" s="94" t="s">
        <v>61</v>
      </c>
      <c r="T28" s="94" t="s">
        <v>60</v>
      </c>
      <c r="U28" s="91"/>
      <c r="V28" s="91"/>
      <c r="W28" s="94" t="s">
        <v>60</v>
      </c>
      <c r="X28" s="103" t="s">
        <v>61</v>
      </c>
      <c r="Y28" s="91"/>
      <c r="Z28" s="91"/>
      <c r="AA28" s="91"/>
      <c r="AB28" s="91"/>
      <c r="AC28" s="70" t="s">
        <v>86</v>
      </c>
      <c r="AD28" s="70" t="s">
        <v>86</v>
      </c>
      <c r="AE28" s="70" t="s">
        <v>89</v>
      </c>
      <c r="AF28" s="95" t="s">
        <v>62</v>
      </c>
      <c r="AG28" s="96" t="s">
        <v>0</v>
      </c>
      <c r="AH28" s="70" t="s">
        <v>0</v>
      </c>
      <c r="AI28" s="70" t="s">
        <v>63</v>
      </c>
      <c r="AJ28" s="70" t="s">
        <v>64</v>
      </c>
      <c r="AK28" s="70"/>
      <c r="AL28" s="70"/>
      <c r="AM28" s="70" t="s">
        <v>65</v>
      </c>
      <c r="AN28" s="70" t="s">
        <v>66</v>
      </c>
      <c r="AO28" s="70" t="s">
        <v>65</v>
      </c>
      <c r="AP28" s="70" t="s">
        <v>67</v>
      </c>
      <c r="AQ28" s="70" t="s">
        <v>68</v>
      </c>
      <c r="AR28" s="70" t="s">
        <v>69</v>
      </c>
      <c r="AS28" s="70" t="s">
        <v>68</v>
      </c>
      <c r="AT28" s="70" t="s">
        <v>70</v>
      </c>
      <c r="AU28" s="70" t="s">
        <v>68</v>
      </c>
      <c r="AV28" s="67"/>
      <c r="AW28" s="68" t="s">
        <v>22</v>
      </c>
    </row>
    <row r="29" spans="1:49" ht="78">
      <c r="A29" s="1356"/>
      <c r="B29" s="1358"/>
      <c r="C29" s="98">
        <v>11</v>
      </c>
      <c r="D29" s="99" t="s">
        <v>81</v>
      </c>
      <c r="E29" s="104">
        <v>23</v>
      </c>
      <c r="F29" s="101" t="s">
        <v>95</v>
      </c>
      <c r="G29" s="102">
        <v>1</v>
      </c>
      <c r="H29" s="81" t="s">
        <v>54</v>
      </c>
      <c r="I29" s="81">
        <v>123</v>
      </c>
      <c r="J29" s="81" t="s">
        <v>96</v>
      </c>
      <c r="K29" s="81" t="s">
        <v>56</v>
      </c>
      <c r="L29" s="81" t="s">
        <v>84</v>
      </c>
      <c r="M29" s="81" t="s">
        <v>58</v>
      </c>
      <c r="N29" s="81" t="s">
        <v>85</v>
      </c>
      <c r="O29" s="93" t="s">
        <v>60</v>
      </c>
      <c r="P29" s="93" t="s">
        <v>60</v>
      </c>
      <c r="Q29" s="93" t="s">
        <v>60</v>
      </c>
      <c r="R29" s="91"/>
      <c r="S29" s="94" t="s">
        <v>61</v>
      </c>
      <c r="T29" s="94" t="s">
        <v>60</v>
      </c>
      <c r="U29" s="91"/>
      <c r="V29" s="91"/>
      <c r="W29" s="94" t="s">
        <v>60</v>
      </c>
      <c r="X29" s="103" t="s">
        <v>61</v>
      </c>
      <c r="Y29" s="91"/>
      <c r="Z29" s="91"/>
      <c r="AA29" s="91"/>
      <c r="AB29" s="91"/>
      <c r="AC29" s="70" t="s">
        <v>86</v>
      </c>
      <c r="AD29" s="70" t="s">
        <v>86</v>
      </c>
      <c r="AE29" s="70" t="s">
        <v>89</v>
      </c>
      <c r="AF29" s="95" t="s">
        <v>62</v>
      </c>
      <c r="AG29" s="70" t="s">
        <v>71</v>
      </c>
      <c r="AH29" s="96" t="s">
        <v>62</v>
      </c>
      <c r="AI29" s="70" t="s">
        <v>63</v>
      </c>
      <c r="AJ29" s="70" t="s">
        <v>64</v>
      </c>
      <c r="AK29" s="70"/>
      <c r="AL29" s="70"/>
      <c r="AM29" s="70" t="s">
        <v>65</v>
      </c>
      <c r="AN29" s="70" t="s">
        <v>71</v>
      </c>
      <c r="AO29" s="70" t="s">
        <v>65</v>
      </c>
      <c r="AP29" s="70" t="s">
        <v>71</v>
      </c>
      <c r="AQ29" s="70" t="s">
        <v>68</v>
      </c>
      <c r="AR29" s="70" t="s">
        <v>72</v>
      </c>
      <c r="AS29" s="70" t="s">
        <v>68</v>
      </c>
      <c r="AT29" s="70" t="s">
        <v>70</v>
      </c>
      <c r="AU29" s="70" t="s">
        <v>68</v>
      </c>
      <c r="AV29" s="67"/>
      <c r="AW29" s="68" t="s">
        <v>22</v>
      </c>
    </row>
    <row r="30" spans="1:49" ht="39">
      <c r="A30" s="1354">
        <v>17</v>
      </c>
      <c r="B30" s="1357">
        <v>17</v>
      </c>
      <c r="C30" s="98">
        <v>11</v>
      </c>
      <c r="D30" s="99" t="s">
        <v>81</v>
      </c>
      <c r="E30" s="104">
        <v>23</v>
      </c>
      <c r="F30" s="101" t="s">
        <v>95</v>
      </c>
      <c r="G30" s="102">
        <v>1</v>
      </c>
      <c r="H30" s="81" t="s">
        <v>54</v>
      </c>
      <c r="I30" s="81">
        <v>123</v>
      </c>
      <c r="J30" s="81" t="s">
        <v>96</v>
      </c>
      <c r="K30" s="83" t="s">
        <v>73</v>
      </c>
      <c r="L30" s="86" t="s">
        <v>74</v>
      </c>
      <c r="M30" s="85" t="s">
        <v>75</v>
      </c>
      <c r="N30" s="86" t="s">
        <v>76</v>
      </c>
      <c r="O30" s="93" t="s">
        <v>60</v>
      </c>
      <c r="P30" s="93" t="s">
        <v>60</v>
      </c>
      <c r="Q30" s="93" t="s">
        <v>60</v>
      </c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70" t="s">
        <v>57</v>
      </c>
      <c r="AD30" s="70" t="s">
        <v>57</v>
      </c>
      <c r="AE30" s="70" t="s">
        <v>57</v>
      </c>
      <c r="AF30" s="95" t="s">
        <v>62</v>
      </c>
      <c r="AG30" s="70" t="s">
        <v>0</v>
      </c>
      <c r="AH30" s="70" t="s">
        <v>0</v>
      </c>
      <c r="AI30" s="70" t="s">
        <v>77</v>
      </c>
      <c r="AJ30" s="70"/>
      <c r="AK30" s="70"/>
      <c r="AL30" s="70"/>
      <c r="AM30" s="70" t="s">
        <v>65</v>
      </c>
      <c r="AN30" s="70" t="s">
        <v>65</v>
      </c>
      <c r="AO30" s="70" t="s">
        <v>65</v>
      </c>
      <c r="AP30" s="70" t="s">
        <v>67</v>
      </c>
      <c r="AQ30" s="70" t="s">
        <v>78</v>
      </c>
      <c r="AR30" s="71" t="s">
        <v>79</v>
      </c>
      <c r="AS30" s="70" t="s">
        <v>62</v>
      </c>
      <c r="AT30" s="70" t="s">
        <v>70</v>
      </c>
      <c r="AU30" s="70" t="s">
        <v>68</v>
      </c>
      <c r="AV30" s="67"/>
      <c r="AW30" s="68" t="s">
        <v>22</v>
      </c>
    </row>
    <row r="31" spans="1:49" ht="39">
      <c r="A31" s="1356"/>
      <c r="B31" s="1358"/>
      <c r="C31" s="98">
        <v>11</v>
      </c>
      <c r="D31" s="99" t="s">
        <v>81</v>
      </c>
      <c r="E31" s="104">
        <v>23</v>
      </c>
      <c r="F31" s="101" t="s">
        <v>95</v>
      </c>
      <c r="G31" s="102">
        <v>1</v>
      </c>
      <c r="H31" s="81" t="s">
        <v>54</v>
      </c>
      <c r="I31" s="81">
        <v>123</v>
      </c>
      <c r="J31" s="81" t="s">
        <v>96</v>
      </c>
      <c r="K31" s="83" t="s">
        <v>73</v>
      </c>
      <c r="L31" s="86" t="s">
        <v>74</v>
      </c>
      <c r="M31" s="85" t="s">
        <v>75</v>
      </c>
      <c r="N31" s="86" t="s">
        <v>76</v>
      </c>
      <c r="O31" s="93" t="s">
        <v>60</v>
      </c>
      <c r="P31" s="93" t="s">
        <v>60</v>
      </c>
      <c r="Q31" s="93" t="s">
        <v>60</v>
      </c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70" t="s">
        <v>57</v>
      </c>
      <c r="AD31" s="70" t="s">
        <v>57</v>
      </c>
      <c r="AE31" s="70" t="s">
        <v>57</v>
      </c>
      <c r="AF31" s="95" t="s">
        <v>62</v>
      </c>
      <c r="AG31" s="70" t="s">
        <v>71</v>
      </c>
      <c r="AH31" s="96" t="s">
        <v>62</v>
      </c>
      <c r="AI31" s="70" t="s">
        <v>77</v>
      </c>
      <c r="AJ31" s="70"/>
      <c r="AK31" s="70"/>
      <c r="AL31" s="70"/>
      <c r="AM31" s="70" t="s">
        <v>65</v>
      </c>
      <c r="AN31" s="70" t="s">
        <v>71</v>
      </c>
      <c r="AO31" s="70" t="s">
        <v>65</v>
      </c>
      <c r="AP31" s="70" t="s">
        <v>71</v>
      </c>
      <c r="AQ31" s="70" t="s">
        <v>78</v>
      </c>
      <c r="AR31" s="70" t="s">
        <v>72</v>
      </c>
      <c r="AS31" s="70" t="s">
        <v>62</v>
      </c>
      <c r="AT31" s="70" t="s">
        <v>70</v>
      </c>
      <c r="AU31" s="70" t="s">
        <v>68</v>
      </c>
      <c r="AV31" s="67"/>
      <c r="AW31" s="68" t="s">
        <v>22</v>
      </c>
    </row>
    <row r="32" spans="1:49" ht="39">
      <c r="A32" s="70">
        <v>18</v>
      </c>
      <c r="B32" s="97">
        <v>18</v>
      </c>
      <c r="C32" s="98">
        <v>11</v>
      </c>
      <c r="D32" s="99" t="s">
        <v>81</v>
      </c>
      <c r="E32" s="104">
        <v>23</v>
      </c>
      <c r="F32" s="101" t="s">
        <v>95</v>
      </c>
      <c r="G32" s="102">
        <v>1</v>
      </c>
      <c r="H32" s="81" t="s">
        <v>54</v>
      </c>
      <c r="I32" s="81">
        <v>123</v>
      </c>
      <c r="J32" s="81" t="s">
        <v>96</v>
      </c>
      <c r="K32" s="81" t="s">
        <v>80</v>
      </c>
      <c r="L32" s="81" t="s">
        <v>84</v>
      </c>
      <c r="M32" s="81" t="s">
        <v>58</v>
      </c>
      <c r="N32" s="81" t="s">
        <v>85</v>
      </c>
      <c r="O32" s="93" t="s">
        <v>60</v>
      </c>
      <c r="P32" s="93" t="s">
        <v>60</v>
      </c>
      <c r="Q32" s="93" t="s">
        <v>60</v>
      </c>
      <c r="R32" s="91"/>
      <c r="S32" s="94" t="s">
        <v>61</v>
      </c>
      <c r="T32" s="94" t="s">
        <v>60</v>
      </c>
      <c r="U32" s="91"/>
      <c r="V32" s="91"/>
      <c r="W32" s="94" t="s">
        <v>60</v>
      </c>
      <c r="X32" s="91"/>
      <c r="Y32" s="91"/>
      <c r="Z32" s="91"/>
      <c r="AA32" s="91"/>
      <c r="AB32" s="91"/>
      <c r="AC32" s="95" t="s">
        <v>62</v>
      </c>
      <c r="AD32" s="95" t="s">
        <v>62</v>
      </c>
      <c r="AE32" s="95" t="s">
        <v>62</v>
      </c>
      <c r="AF32" s="95" t="s">
        <v>62</v>
      </c>
      <c r="AG32" s="96" t="s">
        <v>0</v>
      </c>
      <c r="AH32" s="70" t="s">
        <v>0</v>
      </c>
      <c r="AI32" s="70" t="s">
        <v>63</v>
      </c>
      <c r="AJ32" s="70" t="s">
        <v>64</v>
      </c>
      <c r="AK32" s="70"/>
      <c r="AL32" s="70"/>
      <c r="AM32" s="70" t="s">
        <v>62</v>
      </c>
      <c r="AN32" s="70" t="s">
        <v>62</v>
      </c>
      <c r="AO32" s="70" t="s">
        <v>62</v>
      </c>
      <c r="AP32" s="70" t="s">
        <v>62</v>
      </c>
      <c r="AQ32" s="70" t="s">
        <v>62</v>
      </c>
      <c r="AR32" s="70" t="s">
        <v>62</v>
      </c>
      <c r="AS32" s="70" t="s">
        <v>62</v>
      </c>
      <c r="AT32" s="70" t="s">
        <v>62</v>
      </c>
      <c r="AU32" s="70" t="s">
        <v>68</v>
      </c>
      <c r="AV32" s="67"/>
      <c r="AW32" s="68" t="s">
        <v>22</v>
      </c>
    </row>
    <row r="33" spans="1:49" ht="78">
      <c r="A33" s="1354">
        <v>19</v>
      </c>
      <c r="B33" s="1357">
        <v>19</v>
      </c>
      <c r="C33" s="98">
        <v>11</v>
      </c>
      <c r="D33" s="99" t="s">
        <v>81</v>
      </c>
      <c r="E33" s="104">
        <v>31</v>
      </c>
      <c r="F33" s="101" t="s">
        <v>97</v>
      </c>
      <c r="G33" s="102">
        <v>1</v>
      </c>
      <c r="H33" s="81" t="s">
        <v>54</v>
      </c>
      <c r="I33" s="81">
        <v>131</v>
      </c>
      <c r="J33" s="81" t="s">
        <v>98</v>
      </c>
      <c r="K33" s="81" t="s">
        <v>56</v>
      </c>
      <c r="L33" s="81" t="s">
        <v>84</v>
      </c>
      <c r="M33" s="81" t="s">
        <v>58</v>
      </c>
      <c r="N33" s="81" t="s">
        <v>85</v>
      </c>
      <c r="O33" s="93" t="s">
        <v>60</v>
      </c>
      <c r="P33" s="93" t="s">
        <v>60</v>
      </c>
      <c r="Q33" s="93" t="s">
        <v>60</v>
      </c>
      <c r="R33" s="91"/>
      <c r="S33" s="94" t="s">
        <v>61</v>
      </c>
      <c r="T33" s="94" t="s">
        <v>60</v>
      </c>
      <c r="U33" s="91"/>
      <c r="V33" s="91"/>
      <c r="W33" s="94" t="s">
        <v>60</v>
      </c>
      <c r="X33" s="103" t="s">
        <v>61</v>
      </c>
      <c r="Y33" s="91"/>
      <c r="Z33" s="91"/>
      <c r="AA33" s="91"/>
      <c r="AB33" s="91"/>
      <c r="AC33" s="70" t="s">
        <v>86</v>
      </c>
      <c r="AD33" s="70" t="s">
        <v>86</v>
      </c>
      <c r="AE33" s="70" t="s">
        <v>89</v>
      </c>
      <c r="AF33" s="95" t="s">
        <v>62</v>
      </c>
      <c r="AG33" s="96" t="s">
        <v>0</v>
      </c>
      <c r="AH33" s="70" t="s">
        <v>0</v>
      </c>
      <c r="AI33" s="70" t="s">
        <v>63</v>
      </c>
      <c r="AJ33" s="70" t="s">
        <v>64</v>
      </c>
      <c r="AK33" s="70"/>
      <c r="AL33" s="70"/>
      <c r="AM33" s="70" t="s">
        <v>65</v>
      </c>
      <c r="AN33" s="70" t="s">
        <v>66</v>
      </c>
      <c r="AO33" s="70" t="s">
        <v>65</v>
      </c>
      <c r="AP33" s="70" t="s">
        <v>67</v>
      </c>
      <c r="AQ33" s="70" t="s">
        <v>68</v>
      </c>
      <c r="AR33" s="70" t="s">
        <v>69</v>
      </c>
      <c r="AS33" s="70" t="s">
        <v>68</v>
      </c>
      <c r="AT33" s="70" t="s">
        <v>70</v>
      </c>
      <c r="AU33" s="70" t="s">
        <v>68</v>
      </c>
      <c r="AV33" s="67"/>
      <c r="AW33" s="68" t="s">
        <v>22</v>
      </c>
    </row>
    <row r="34" spans="1:49" ht="78">
      <c r="A34" s="1356"/>
      <c r="B34" s="1358"/>
      <c r="C34" s="98">
        <v>11</v>
      </c>
      <c r="D34" s="99" t="s">
        <v>81</v>
      </c>
      <c r="E34" s="104">
        <v>31</v>
      </c>
      <c r="F34" s="101" t="s">
        <v>97</v>
      </c>
      <c r="G34" s="102">
        <v>1</v>
      </c>
      <c r="H34" s="81" t="s">
        <v>54</v>
      </c>
      <c r="I34" s="81">
        <v>131</v>
      </c>
      <c r="J34" s="81" t="s">
        <v>98</v>
      </c>
      <c r="K34" s="81" t="s">
        <v>56</v>
      </c>
      <c r="L34" s="81" t="s">
        <v>84</v>
      </c>
      <c r="M34" s="81" t="s">
        <v>58</v>
      </c>
      <c r="N34" s="81" t="s">
        <v>85</v>
      </c>
      <c r="O34" s="93" t="s">
        <v>60</v>
      </c>
      <c r="P34" s="93" t="s">
        <v>60</v>
      </c>
      <c r="Q34" s="93" t="s">
        <v>60</v>
      </c>
      <c r="R34" s="91"/>
      <c r="S34" s="94" t="s">
        <v>61</v>
      </c>
      <c r="T34" s="94" t="s">
        <v>60</v>
      </c>
      <c r="U34" s="91"/>
      <c r="V34" s="91"/>
      <c r="W34" s="94" t="s">
        <v>60</v>
      </c>
      <c r="X34" s="103" t="s">
        <v>61</v>
      </c>
      <c r="Y34" s="91"/>
      <c r="Z34" s="91"/>
      <c r="AA34" s="91"/>
      <c r="AB34" s="91"/>
      <c r="AC34" s="70" t="s">
        <v>86</v>
      </c>
      <c r="AD34" s="70" t="s">
        <v>86</v>
      </c>
      <c r="AE34" s="70" t="s">
        <v>89</v>
      </c>
      <c r="AF34" s="95" t="s">
        <v>62</v>
      </c>
      <c r="AG34" s="70" t="s">
        <v>71</v>
      </c>
      <c r="AH34" s="96" t="s">
        <v>62</v>
      </c>
      <c r="AI34" s="70" t="s">
        <v>63</v>
      </c>
      <c r="AJ34" s="70" t="s">
        <v>64</v>
      </c>
      <c r="AK34" s="70"/>
      <c r="AL34" s="70"/>
      <c r="AM34" s="70" t="s">
        <v>65</v>
      </c>
      <c r="AN34" s="70" t="s">
        <v>71</v>
      </c>
      <c r="AO34" s="70" t="s">
        <v>65</v>
      </c>
      <c r="AP34" s="70" t="s">
        <v>71</v>
      </c>
      <c r="AQ34" s="70" t="s">
        <v>68</v>
      </c>
      <c r="AR34" s="70" t="s">
        <v>72</v>
      </c>
      <c r="AS34" s="70" t="s">
        <v>68</v>
      </c>
      <c r="AT34" s="70" t="s">
        <v>70</v>
      </c>
      <c r="AU34" s="70" t="s">
        <v>68</v>
      </c>
      <c r="AV34" s="67"/>
      <c r="AW34" s="68" t="s">
        <v>22</v>
      </c>
    </row>
    <row r="35" spans="1:49" ht="39">
      <c r="A35" s="1354">
        <v>20</v>
      </c>
      <c r="B35" s="1357">
        <v>20</v>
      </c>
      <c r="C35" s="98">
        <v>11</v>
      </c>
      <c r="D35" s="99" t="s">
        <v>81</v>
      </c>
      <c r="E35" s="104">
        <v>31</v>
      </c>
      <c r="F35" s="101" t="s">
        <v>97</v>
      </c>
      <c r="G35" s="102">
        <v>1</v>
      </c>
      <c r="H35" s="81" t="s">
        <v>54</v>
      </c>
      <c r="I35" s="81">
        <v>131</v>
      </c>
      <c r="J35" s="81" t="s">
        <v>98</v>
      </c>
      <c r="K35" s="83" t="s">
        <v>73</v>
      </c>
      <c r="L35" s="86" t="s">
        <v>74</v>
      </c>
      <c r="M35" s="85" t="s">
        <v>75</v>
      </c>
      <c r="N35" s="86" t="s">
        <v>76</v>
      </c>
      <c r="O35" s="93" t="s">
        <v>60</v>
      </c>
      <c r="P35" s="93" t="s">
        <v>60</v>
      </c>
      <c r="Q35" s="93" t="s">
        <v>60</v>
      </c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70" t="s">
        <v>57</v>
      </c>
      <c r="AD35" s="70" t="s">
        <v>57</v>
      </c>
      <c r="AE35" s="70" t="s">
        <v>57</v>
      </c>
      <c r="AF35" s="95" t="s">
        <v>62</v>
      </c>
      <c r="AG35" s="70" t="s">
        <v>0</v>
      </c>
      <c r="AH35" s="70" t="s">
        <v>0</v>
      </c>
      <c r="AI35" s="70" t="s">
        <v>77</v>
      </c>
      <c r="AJ35" s="70"/>
      <c r="AK35" s="70"/>
      <c r="AL35" s="70"/>
      <c r="AM35" s="70" t="s">
        <v>65</v>
      </c>
      <c r="AN35" s="70" t="s">
        <v>65</v>
      </c>
      <c r="AO35" s="70" t="s">
        <v>65</v>
      </c>
      <c r="AP35" s="70" t="s">
        <v>67</v>
      </c>
      <c r="AQ35" s="70" t="s">
        <v>78</v>
      </c>
      <c r="AR35" s="71" t="s">
        <v>79</v>
      </c>
      <c r="AS35" s="70" t="s">
        <v>62</v>
      </c>
      <c r="AT35" s="70" t="s">
        <v>70</v>
      </c>
      <c r="AU35" s="70" t="s">
        <v>68</v>
      </c>
      <c r="AV35" s="67"/>
      <c r="AW35" s="68" t="s">
        <v>22</v>
      </c>
    </row>
    <row r="36" spans="1:49" ht="39">
      <c r="A36" s="1356"/>
      <c r="B36" s="1358"/>
      <c r="C36" s="98">
        <v>11</v>
      </c>
      <c r="D36" s="99" t="s">
        <v>81</v>
      </c>
      <c r="E36" s="104">
        <v>31</v>
      </c>
      <c r="F36" s="101" t="s">
        <v>97</v>
      </c>
      <c r="G36" s="102">
        <v>1</v>
      </c>
      <c r="H36" s="81" t="s">
        <v>54</v>
      </c>
      <c r="I36" s="81">
        <v>131</v>
      </c>
      <c r="J36" s="81" t="s">
        <v>98</v>
      </c>
      <c r="K36" s="83" t="s">
        <v>73</v>
      </c>
      <c r="L36" s="86" t="s">
        <v>74</v>
      </c>
      <c r="M36" s="85" t="s">
        <v>75</v>
      </c>
      <c r="N36" s="86" t="s">
        <v>76</v>
      </c>
      <c r="O36" s="93" t="s">
        <v>60</v>
      </c>
      <c r="P36" s="93" t="s">
        <v>60</v>
      </c>
      <c r="Q36" s="93" t="s">
        <v>60</v>
      </c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70" t="s">
        <v>57</v>
      </c>
      <c r="AD36" s="70" t="s">
        <v>57</v>
      </c>
      <c r="AE36" s="70" t="s">
        <v>57</v>
      </c>
      <c r="AF36" s="95" t="s">
        <v>62</v>
      </c>
      <c r="AG36" s="70" t="s">
        <v>71</v>
      </c>
      <c r="AH36" s="96" t="s">
        <v>62</v>
      </c>
      <c r="AI36" s="70" t="s">
        <v>77</v>
      </c>
      <c r="AJ36" s="70"/>
      <c r="AK36" s="70"/>
      <c r="AL36" s="70"/>
      <c r="AM36" s="70" t="s">
        <v>65</v>
      </c>
      <c r="AN36" s="70" t="s">
        <v>71</v>
      </c>
      <c r="AO36" s="70" t="s">
        <v>65</v>
      </c>
      <c r="AP36" s="70" t="s">
        <v>71</v>
      </c>
      <c r="AQ36" s="70" t="s">
        <v>78</v>
      </c>
      <c r="AR36" s="70" t="s">
        <v>72</v>
      </c>
      <c r="AS36" s="70" t="s">
        <v>62</v>
      </c>
      <c r="AT36" s="70" t="s">
        <v>70</v>
      </c>
      <c r="AU36" s="70" t="s">
        <v>68</v>
      </c>
      <c r="AV36" s="67"/>
      <c r="AW36" s="68" t="s">
        <v>22</v>
      </c>
    </row>
    <row r="37" spans="1:49" ht="39">
      <c r="A37" s="70">
        <v>21</v>
      </c>
      <c r="B37" s="97">
        <v>21</v>
      </c>
      <c r="C37" s="98">
        <v>11</v>
      </c>
      <c r="D37" s="99" t="s">
        <v>81</v>
      </c>
      <c r="E37" s="104">
        <v>31</v>
      </c>
      <c r="F37" s="101" t="s">
        <v>97</v>
      </c>
      <c r="G37" s="102">
        <v>1</v>
      </c>
      <c r="H37" s="81" t="s">
        <v>54</v>
      </c>
      <c r="I37" s="81">
        <v>131</v>
      </c>
      <c r="J37" s="81" t="s">
        <v>98</v>
      </c>
      <c r="K37" s="81" t="s">
        <v>80</v>
      </c>
      <c r="L37" s="81" t="s">
        <v>84</v>
      </c>
      <c r="M37" s="81" t="s">
        <v>58</v>
      </c>
      <c r="N37" s="81" t="s">
        <v>85</v>
      </c>
      <c r="O37" s="93" t="s">
        <v>60</v>
      </c>
      <c r="P37" s="93" t="s">
        <v>60</v>
      </c>
      <c r="Q37" s="93" t="s">
        <v>60</v>
      </c>
      <c r="R37" s="91"/>
      <c r="S37" s="94" t="s">
        <v>61</v>
      </c>
      <c r="T37" s="94" t="s">
        <v>60</v>
      </c>
      <c r="U37" s="91"/>
      <c r="V37" s="91"/>
      <c r="W37" s="94" t="s">
        <v>60</v>
      </c>
      <c r="X37" s="91"/>
      <c r="Y37" s="91"/>
      <c r="Z37" s="91"/>
      <c r="AA37" s="91"/>
      <c r="AB37" s="91"/>
      <c r="AC37" s="95" t="s">
        <v>62</v>
      </c>
      <c r="AD37" s="95" t="s">
        <v>62</v>
      </c>
      <c r="AE37" s="95" t="s">
        <v>62</v>
      </c>
      <c r="AF37" s="95" t="s">
        <v>62</v>
      </c>
      <c r="AG37" s="96" t="s">
        <v>0</v>
      </c>
      <c r="AH37" s="70" t="s">
        <v>0</v>
      </c>
      <c r="AI37" s="70" t="s">
        <v>63</v>
      </c>
      <c r="AJ37" s="70" t="s">
        <v>64</v>
      </c>
      <c r="AK37" s="70"/>
      <c r="AL37" s="70"/>
      <c r="AM37" s="70" t="s">
        <v>62</v>
      </c>
      <c r="AN37" s="70" t="s">
        <v>62</v>
      </c>
      <c r="AO37" s="70" t="s">
        <v>62</v>
      </c>
      <c r="AP37" s="70" t="s">
        <v>62</v>
      </c>
      <c r="AQ37" s="70" t="s">
        <v>62</v>
      </c>
      <c r="AR37" s="70" t="s">
        <v>62</v>
      </c>
      <c r="AS37" s="70" t="s">
        <v>62</v>
      </c>
      <c r="AT37" s="70" t="s">
        <v>62</v>
      </c>
      <c r="AU37" s="70" t="s">
        <v>68</v>
      </c>
      <c r="AV37" s="67"/>
      <c r="AW37" s="68" t="s">
        <v>22</v>
      </c>
    </row>
    <row r="38" spans="1:49" ht="78">
      <c r="A38" s="1354">
        <v>22</v>
      </c>
      <c r="B38" s="1357">
        <v>22</v>
      </c>
      <c r="C38" s="98">
        <v>11</v>
      </c>
      <c r="D38" s="99" t="s">
        <v>81</v>
      </c>
      <c r="E38" s="104">
        <v>32</v>
      </c>
      <c r="F38" s="101" t="s">
        <v>99</v>
      </c>
      <c r="G38" s="102">
        <v>1</v>
      </c>
      <c r="H38" s="81" t="s">
        <v>54</v>
      </c>
      <c r="I38" s="81">
        <v>132</v>
      </c>
      <c r="J38" s="81" t="s">
        <v>100</v>
      </c>
      <c r="K38" s="81" t="s">
        <v>56</v>
      </c>
      <c r="L38" s="81" t="s">
        <v>84</v>
      </c>
      <c r="M38" s="81" t="s">
        <v>58</v>
      </c>
      <c r="N38" s="81" t="s">
        <v>85</v>
      </c>
      <c r="O38" s="93" t="s">
        <v>60</v>
      </c>
      <c r="P38" s="93" t="s">
        <v>60</v>
      </c>
      <c r="Q38" s="93" t="s">
        <v>60</v>
      </c>
      <c r="R38" s="91"/>
      <c r="S38" s="94" t="s">
        <v>61</v>
      </c>
      <c r="T38" s="94" t="s">
        <v>60</v>
      </c>
      <c r="U38" s="91"/>
      <c r="V38" s="91"/>
      <c r="W38" s="94" t="s">
        <v>60</v>
      </c>
      <c r="X38" s="103" t="s">
        <v>61</v>
      </c>
      <c r="Y38" s="91"/>
      <c r="Z38" s="91"/>
      <c r="AA38" s="91"/>
      <c r="AB38" s="91"/>
      <c r="AC38" s="70" t="s">
        <v>86</v>
      </c>
      <c r="AD38" s="70" t="s">
        <v>86</v>
      </c>
      <c r="AE38" s="70" t="s">
        <v>89</v>
      </c>
      <c r="AF38" s="95" t="s">
        <v>62</v>
      </c>
      <c r="AG38" s="96" t="s">
        <v>0</v>
      </c>
      <c r="AH38" s="70" t="s">
        <v>0</v>
      </c>
      <c r="AI38" s="70" t="s">
        <v>63</v>
      </c>
      <c r="AJ38" s="70" t="s">
        <v>64</v>
      </c>
      <c r="AK38" s="70"/>
      <c r="AL38" s="70"/>
      <c r="AM38" s="70" t="s">
        <v>65</v>
      </c>
      <c r="AN38" s="70" t="s">
        <v>66</v>
      </c>
      <c r="AO38" s="70" t="s">
        <v>65</v>
      </c>
      <c r="AP38" s="70" t="s">
        <v>67</v>
      </c>
      <c r="AQ38" s="70" t="s">
        <v>68</v>
      </c>
      <c r="AR38" s="70" t="s">
        <v>69</v>
      </c>
      <c r="AS38" s="70" t="s">
        <v>68</v>
      </c>
      <c r="AT38" s="70" t="s">
        <v>70</v>
      </c>
      <c r="AU38" s="70" t="s">
        <v>68</v>
      </c>
      <c r="AV38" s="67"/>
      <c r="AW38" s="68" t="s">
        <v>22</v>
      </c>
    </row>
    <row r="39" spans="1:49" ht="78">
      <c r="A39" s="1356"/>
      <c r="B39" s="1358"/>
      <c r="C39" s="98">
        <v>11</v>
      </c>
      <c r="D39" s="99" t="s">
        <v>81</v>
      </c>
      <c r="E39" s="104">
        <v>32</v>
      </c>
      <c r="F39" s="101" t="s">
        <v>99</v>
      </c>
      <c r="G39" s="102">
        <v>1</v>
      </c>
      <c r="H39" s="81" t="s">
        <v>54</v>
      </c>
      <c r="I39" s="81">
        <v>132</v>
      </c>
      <c r="J39" s="81" t="s">
        <v>100</v>
      </c>
      <c r="K39" s="81" t="s">
        <v>56</v>
      </c>
      <c r="L39" s="81" t="s">
        <v>84</v>
      </c>
      <c r="M39" s="81" t="s">
        <v>58</v>
      </c>
      <c r="N39" s="81" t="s">
        <v>85</v>
      </c>
      <c r="O39" s="93" t="s">
        <v>60</v>
      </c>
      <c r="P39" s="93" t="s">
        <v>60</v>
      </c>
      <c r="Q39" s="93" t="s">
        <v>60</v>
      </c>
      <c r="R39" s="91"/>
      <c r="S39" s="94" t="s">
        <v>61</v>
      </c>
      <c r="T39" s="94" t="s">
        <v>60</v>
      </c>
      <c r="U39" s="91"/>
      <c r="V39" s="91"/>
      <c r="W39" s="94" t="s">
        <v>60</v>
      </c>
      <c r="X39" s="103" t="s">
        <v>61</v>
      </c>
      <c r="Y39" s="91"/>
      <c r="Z39" s="91"/>
      <c r="AA39" s="91"/>
      <c r="AB39" s="91"/>
      <c r="AC39" s="70" t="s">
        <v>86</v>
      </c>
      <c r="AD39" s="70" t="s">
        <v>86</v>
      </c>
      <c r="AE39" s="70" t="s">
        <v>89</v>
      </c>
      <c r="AF39" s="95" t="s">
        <v>62</v>
      </c>
      <c r="AG39" s="70" t="s">
        <v>71</v>
      </c>
      <c r="AH39" s="96" t="s">
        <v>62</v>
      </c>
      <c r="AI39" s="70" t="s">
        <v>63</v>
      </c>
      <c r="AJ39" s="70" t="s">
        <v>64</v>
      </c>
      <c r="AK39" s="70"/>
      <c r="AL39" s="70"/>
      <c r="AM39" s="70" t="s">
        <v>65</v>
      </c>
      <c r="AN39" s="70" t="s">
        <v>71</v>
      </c>
      <c r="AO39" s="70" t="s">
        <v>65</v>
      </c>
      <c r="AP39" s="70" t="s">
        <v>71</v>
      </c>
      <c r="AQ39" s="70" t="s">
        <v>68</v>
      </c>
      <c r="AR39" s="70" t="s">
        <v>72</v>
      </c>
      <c r="AS39" s="70" t="s">
        <v>68</v>
      </c>
      <c r="AT39" s="70" t="s">
        <v>70</v>
      </c>
      <c r="AU39" s="70" t="s">
        <v>68</v>
      </c>
      <c r="AV39" s="67"/>
      <c r="AW39" s="68" t="s">
        <v>22</v>
      </c>
    </row>
    <row r="40" spans="1:49" ht="39">
      <c r="A40" s="1354">
        <v>23</v>
      </c>
      <c r="B40" s="1357">
        <v>23</v>
      </c>
      <c r="C40" s="98">
        <v>11</v>
      </c>
      <c r="D40" s="99" t="s">
        <v>81</v>
      </c>
      <c r="E40" s="104">
        <v>32</v>
      </c>
      <c r="F40" s="101" t="s">
        <v>99</v>
      </c>
      <c r="G40" s="102">
        <v>1</v>
      </c>
      <c r="H40" s="81" t="s">
        <v>54</v>
      </c>
      <c r="I40" s="81">
        <v>132</v>
      </c>
      <c r="J40" s="81" t="s">
        <v>100</v>
      </c>
      <c r="K40" s="83" t="s">
        <v>73</v>
      </c>
      <c r="L40" s="86" t="s">
        <v>74</v>
      </c>
      <c r="M40" s="85" t="s">
        <v>75</v>
      </c>
      <c r="N40" s="86" t="s">
        <v>76</v>
      </c>
      <c r="O40" s="93" t="s">
        <v>60</v>
      </c>
      <c r="P40" s="93" t="s">
        <v>60</v>
      </c>
      <c r="Q40" s="93" t="s">
        <v>60</v>
      </c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70" t="s">
        <v>57</v>
      </c>
      <c r="AD40" s="70" t="s">
        <v>57</v>
      </c>
      <c r="AE40" s="70" t="s">
        <v>57</v>
      </c>
      <c r="AF40" s="95" t="s">
        <v>62</v>
      </c>
      <c r="AG40" s="70" t="s">
        <v>0</v>
      </c>
      <c r="AH40" s="70" t="s">
        <v>0</v>
      </c>
      <c r="AI40" s="70" t="s">
        <v>77</v>
      </c>
      <c r="AJ40" s="70"/>
      <c r="AK40" s="70"/>
      <c r="AL40" s="70"/>
      <c r="AM40" s="70" t="s">
        <v>65</v>
      </c>
      <c r="AN40" s="70" t="s">
        <v>65</v>
      </c>
      <c r="AO40" s="70" t="s">
        <v>65</v>
      </c>
      <c r="AP40" s="70" t="s">
        <v>67</v>
      </c>
      <c r="AQ40" s="70" t="s">
        <v>78</v>
      </c>
      <c r="AR40" s="71" t="s">
        <v>79</v>
      </c>
      <c r="AS40" s="70" t="s">
        <v>62</v>
      </c>
      <c r="AT40" s="70" t="s">
        <v>70</v>
      </c>
      <c r="AU40" s="70" t="s">
        <v>68</v>
      </c>
      <c r="AV40" s="67"/>
      <c r="AW40" s="68" t="s">
        <v>22</v>
      </c>
    </row>
    <row r="41" spans="1:49" ht="39">
      <c r="A41" s="1356"/>
      <c r="B41" s="1358"/>
      <c r="C41" s="98">
        <v>11</v>
      </c>
      <c r="D41" s="99" t="s">
        <v>81</v>
      </c>
      <c r="E41" s="104">
        <v>32</v>
      </c>
      <c r="F41" s="101" t="s">
        <v>99</v>
      </c>
      <c r="G41" s="102">
        <v>1</v>
      </c>
      <c r="H41" s="81" t="s">
        <v>54</v>
      </c>
      <c r="I41" s="81">
        <v>132</v>
      </c>
      <c r="J41" s="81" t="s">
        <v>100</v>
      </c>
      <c r="K41" s="83" t="s">
        <v>73</v>
      </c>
      <c r="L41" s="86" t="s">
        <v>74</v>
      </c>
      <c r="M41" s="85" t="s">
        <v>75</v>
      </c>
      <c r="N41" s="86" t="s">
        <v>76</v>
      </c>
      <c r="O41" s="93" t="s">
        <v>60</v>
      </c>
      <c r="P41" s="93" t="s">
        <v>60</v>
      </c>
      <c r="Q41" s="93" t="s">
        <v>60</v>
      </c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70" t="s">
        <v>57</v>
      </c>
      <c r="AD41" s="70" t="s">
        <v>57</v>
      </c>
      <c r="AE41" s="70" t="s">
        <v>57</v>
      </c>
      <c r="AF41" s="95" t="s">
        <v>62</v>
      </c>
      <c r="AG41" s="70" t="s">
        <v>71</v>
      </c>
      <c r="AH41" s="96" t="s">
        <v>62</v>
      </c>
      <c r="AI41" s="70" t="s">
        <v>77</v>
      </c>
      <c r="AJ41" s="70"/>
      <c r="AK41" s="70"/>
      <c r="AL41" s="70"/>
      <c r="AM41" s="70" t="s">
        <v>65</v>
      </c>
      <c r="AN41" s="70" t="s">
        <v>71</v>
      </c>
      <c r="AO41" s="70" t="s">
        <v>65</v>
      </c>
      <c r="AP41" s="70" t="s">
        <v>71</v>
      </c>
      <c r="AQ41" s="70" t="s">
        <v>78</v>
      </c>
      <c r="AR41" s="70" t="s">
        <v>72</v>
      </c>
      <c r="AS41" s="70" t="s">
        <v>62</v>
      </c>
      <c r="AT41" s="70" t="s">
        <v>70</v>
      </c>
      <c r="AU41" s="70" t="s">
        <v>68</v>
      </c>
      <c r="AV41" s="67"/>
      <c r="AW41" s="68" t="s">
        <v>22</v>
      </c>
    </row>
    <row r="42" spans="1:49" ht="39">
      <c r="A42" s="70">
        <v>24</v>
      </c>
      <c r="B42" s="97">
        <v>24</v>
      </c>
      <c r="C42" s="98">
        <v>11</v>
      </c>
      <c r="D42" s="99" t="s">
        <v>81</v>
      </c>
      <c r="E42" s="104">
        <v>32</v>
      </c>
      <c r="F42" s="101" t="s">
        <v>99</v>
      </c>
      <c r="G42" s="102">
        <v>1</v>
      </c>
      <c r="H42" s="81" t="s">
        <v>54</v>
      </c>
      <c r="I42" s="81">
        <v>132</v>
      </c>
      <c r="J42" s="81" t="s">
        <v>100</v>
      </c>
      <c r="K42" s="81" t="s">
        <v>80</v>
      </c>
      <c r="L42" s="81" t="s">
        <v>84</v>
      </c>
      <c r="M42" s="81" t="s">
        <v>58</v>
      </c>
      <c r="N42" s="81" t="s">
        <v>85</v>
      </c>
      <c r="O42" s="93" t="s">
        <v>60</v>
      </c>
      <c r="P42" s="93" t="s">
        <v>60</v>
      </c>
      <c r="Q42" s="93" t="s">
        <v>60</v>
      </c>
      <c r="R42" s="91"/>
      <c r="S42" s="94" t="s">
        <v>61</v>
      </c>
      <c r="T42" s="91"/>
      <c r="U42" s="91"/>
      <c r="V42" s="91"/>
      <c r="W42" s="94" t="s">
        <v>60</v>
      </c>
      <c r="X42" s="91"/>
      <c r="Y42" s="91"/>
      <c r="Z42" s="91"/>
      <c r="AA42" s="91"/>
      <c r="AB42" s="91"/>
      <c r="AC42" s="95" t="s">
        <v>62</v>
      </c>
      <c r="AD42" s="95" t="s">
        <v>62</v>
      </c>
      <c r="AE42" s="95" t="s">
        <v>62</v>
      </c>
      <c r="AF42" s="95" t="s">
        <v>62</v>
      </c>
      <c r="AG42" s="96" t="s">
        <v>0</v>
      </c>
      <c r="AH42" s="70" t="s">
        <v>0</v>
      </c>
      <c r="AI42" s="70" t="s">
        <v>63</v>
      </c>
      <c r="AJ42" s="70" t="s">
        <v>64</v>
      </c>
      <c r="AK42" s="70"/>
      <c r="AL42" s="70"/>
      <c r="AM42" s="70" t="s">
        <v>62</v>
      </c>
      <c r="AN42" s="70" t="s">
        <v>62</v>
      </c>
      <c r="AO42" s="70" t="s">
        <v>62</v>
      </c>
      <c r="AP42" s="70" t="s">
        <v>62</v>
      </c>
      <c r="AQ42" s="70" t="s">
        <v>62</v>
      </c>
      <c r="AR42" s="70" t="s">
        <v>62</v>
      </c>
      <c r="AS42" s="70" t="s">
        <v>62</v>
      </c>
      <c r="AT42" s="70" t="s">
        <v>62</v>
      </c>
      <c r="AU42" s="70" t="s">
        <v>68</v>
      </c>
      <c r="AV42" s="67"/>
      <c r="AW42" s="68" t="s">
        <v>22</v>
      </c>
    </row>
    <row r="43" spans="1:49" ht="39">
      <c r="A43" s="1354">
        <v>25</v>
      </c>
      <c r="B43" s="1357">
        <v>25</v>
      </c>
      <c r="C43" s="98">
        <v>40</v>
      </c>
      <c r="D43" s="99" t="s">
        <v>101</v>
      </c>
      <c r="E43" s="104">
        <v>33</v>
      </c>
      <c r="F43" s="101" t="s">
        <v>102</v>
      </c>
      <c r="G43" s="102">
        <v>1</v>
      </c>
      <c r="H43" s="81" t="s">
        <v>54</v>
      </c>
      <c r="I43" s="81">
        <v>133</v>
      </c>
      <c r="J43" s="81" t="s">
        <v>103</v>
      </c>
      <c r="K43" s="83" t="s">
        <v>73</v>
      </c>
      <c r="L43" s="86" t="s">
        <v>74</v>
      </c>
      <c r="M43" s="85" t="s">
        <v>75</v>
      </c>
      <c r="N43" s="86" t="s">
        <v>76</v>
      </c>
      <c r="O43" s="93" t="s">
        <v>60</v>
      </c>
      <c r="P43" s="93" t="s">
        <v>60</v>
      </c>
      <c r="Q43" s="93" t="s">
        <v>60</v>
      </c>
      <c r="R43" s="94" t="s">
        <v>60</v>
      </c>
      <c r="S43" s="93"/>
      <c r="T43" s="93"/>
      <c r="U43" s="91"/>
      <c r="V43" s="91"/>
      <c r="W43" s="93"/>
      <c r="X43" s="91"/>
      <c r="Y43" s="91"/>
      <c r="Z43" s="91"/>
      <c r="AA43" s="91"/>
      <c r="AB43" s="91"/>
      <c r="AC43" s="70" t="s">
        <v>57</v>
      </c>
      <c r="AD43" s="70" t="s">
        <v>57</v>
      </c>
      <c r="AE43" s="70" t="s">
        <v>57</v>
      </c>
      <c r="AF43" s="95" t="s">
        <v>62</v>
      </c>
      <c r="AG43" s="70" t="s">
        <v>0</v>
      </c>
      <c r="AH43" s="70" t="s">
        <v>0</v>
      </c>
      <c r="AI43" s="70" t="s">
        <v>63</v>
      </c>
      <c r="AJ43" s="70" t="s">
        <v>64</v>
      </c>
      <c r="AK43" s="70"/>
      <c r="AL43" s="70"/>
      <c r="AM43" s="70" t="s">
        <v>104</v>
      </c>
      <c r="AN43" s="70" t="s">
        <v>104</v>
      </c>
      <c r="AO43" s="70" t="s">
        <v>65</v>
      </c>
      <c r="AP43" s="70" t="s">
        <v>67</v>
      </c>
      <c r="AQ43" s="70" t="s">
        <v>105</v>
      </c>
      <c r="AR43" s="70" t="s">
        <v>106</v>
      </c>
      <c r="AS43" s="70" t="s">
        <v>107</v>
      </c>
      <c r="AT43" s="70" t="s">
        <v>70</v>
      </c>
      <c r="AU43" s="70" t="s">
        <v>68</v>
      </c>
      <c r="AV43" s="67"/>
      <c r="AW43" s="68" t="s">
        <v>22</v>
      </c>
    </row>
    <row r="44" spans="1:49" ht="39">
      <c r="A44" s="1356"/>
      <c r="B44" s="1358"/>
      <c r="C44" s="98">
        <v>40</v>
      </c>
      <c r="D44" s="99" t="s">
        <v>101</v>
      </c>
      <c r="E44" s="104">
        <v>33</v>
      </c>
      <c r="F44" s="101" t="s">
        <v>102</v>
      </c>
      <c r="G44" s="102">
        <v>1</v>
      </c>
      <c r="H44" s="81" t="s">
        <v>54</v>
      </c>
      <c r="I44" s="81">
        <v>133</v>
      </c>
      <c r="J44" s="81" t="s">
        <v>103</v>
      </c>
      <c r="K44" s="83" t="s">
        <v>73</v>
      </c>
      <c r="L44" s="86" t="s">
        <v>74</v>
      </c>
      <c r="M44" s="85" t="s">
        <v>75</v>
      </c>
      <c r="N44" s="86" t="s">
        <v>76</v>
      </c>
      <c r="O44" s="93" t="s">
        <v>60</v>
      </c>
      <c r="P44" s="93" t="s">
        <v>60</v>
      </c>
      <c r="Q44" s="93" t="s">
        <v>60</v>
      </c>
      <c r="R44" s="94" t="s">
        <v>60</v>
      </c>
      <c r="S44" s="93"/>
      <c r="T44" s="93"/>
      <c r="U44" s="91"/>
      <c r="V44" s="91"/>
      <c r="W44" s="93"/>
      <c r="X44" s="91"/>
      <c r="Y44" s="91"/>
      <c r="Z44" s="91"/>
      <c r="AA44" s="91"/>
      <c r="AB44" s="91"/>
      <c r="AC44" s="70" t="s">
        <v>57</v>
      </c>
      <c r="AD44" s="70" t="s">
        <v>57</v>
      </c>
      <c r="AE44" s="70" t="s">
        <v>57</v>
      </c>
      <c r="AF44" s="95" t="s">
        <v>62</v>
      </c>
      <c r="AG44" s="70" t="s">
        <v>71</v>
      </c>
      <c r="AH44" s="96" t="s">
        <v>62</v>
      </c>
      <c r="AI44" s="70" t="s">
        <v>63</v>
      </c>
      <c r="AJ44" s="70" t="s">
        <v>64</v>
      </c>
      <c r="AK44" s="70"/>
      <c r="AL44" s="70"/>
      <c r="AM44" s="70" t="s">
        <v>71</v>
      </c>
      <c r="AN44" s="70" t="s">
        <v>71</v>
      </c>
      <c r="AO44" s="70" t="s">
        <v>65</v>
      </c>
      <c r="AP44" s="70" t="s">
        <v>71</v>
      </c>
      <c r="AQ44" s="70" t="s">
        <v>105</v>
      </c>
      <c r="AR44" s="70" t="s">
        <v>108</v>
      </c>
      <c r="AS44" s="70" t="s">
        <v>107</v>
      </c>
      <c r="AT44" s="70" t="s">
        <v>70</v>
      </c>
      <c r="AU44" s="70" t="s">
        <v>68</v>
      </c>
      <c r="AV44" s="67"/>
      <c r="AW44" s="68" t="s">
        <v>22</v>
      </c>
    </row>
    <row r="45" spans="1:49" ht="78">
      <c r="A45" s="1354">
        <v>26</v>
      </c>
      <c r="B45" s="1357">
        <v>26</v>
      </c>
      <c r="C45" s="98">
        <v>40</v>
      </c>
      <c r="D45" s="99" t="s">
        <v>101</v>
      </c>
      <c r="E45" s="104">
        <v>33</v>
      </c>
      <c r="F45" s="101" t="s">
        <v>102</v>
      </c>
      <c r="G45" s="102">
        <v>1</v>
      </c>
      <c r="H45" s="81" t="s">
        <v>54</v>
      </c>
      <c r="I45" s="81">
        <v>133</v>
      </c>
      <c r="J45" s="81" t="s">
        <v>103</v>
      </c>
      <c r="K45" s="81" t="s">
        <v>345</v>
      </c>
      <c r="L45" s="81" t="s">
        <v>346</v>
      </c>
      <c r="M45" s="81" t="s">
        <v>347</v>
      </c>
      <c r="N45" s="81" t="s">
        <v>348</v>
      </c>
      <c r="O45" s="93" t="s">
        <v>60</v>
      </c>
      <c r="P45" s="93" t="s">
        <v>60</v>
      </c>
      <c r="Q45" s="93" t="s">
        <v>60</v>
      </c>
      <c r="R45" s="94" t="s">
        <v>60</v>
      </c>
      <c r="S45" s="93"/>
      <c r="T45" s="107" t="s">
        <v>68</v>
      </c>
      <c r="U45" s="91"/>
      <c r="V45" s="91"/>
      <c r="W45" s="94" t="s">
        <v>60</v>
      </c>
      <c r="X45" s="103" t="s">
        <v>61</v>
      </c>
      <c r="Y45" s="91"/>
      <c r="Z45" s="91"/>
      <c r="AA45" s="91"/>
      <c r="AB45" s="91"/>
      <c r="AC45" s="70" t="s">
        <v>86</v>
      </c>
      <c r="AD45" s="70" t="s">
        <v>86</v>
      </c>
      <c r="AE45" s="70" t="s">
        <v>89</v>
      </c>
      <c r="AF45" s="95" t="s">
        <v>62</v>
      </c>
      <c r="AG45" s="96" t="s">
        <v>0</v>
      </c>
      <c r="AH45" s="70" t="s">
        <v>0</v>
      </c>
      <c r="AI45" s="70" t="s">
        <v>77</v>
      </c>
      <c r="AJ45" s="70"/>
      <c r="AK45" s="70"/>
      <c r="AL45" s="70"/>
      <c r="AM45" s="70" t="s">
        <v>65</v>
      </c>
      <c r="AN45" s="70" t="s">
        <v>65</v>
      </c>
      <c r="AO45" s="70" t="s">
        <v>65</v>
      </c>
      <c r="AP45" s="70" t="s">
        <v>67</v>
      </c>
      <c r="AQ45" s="70" t="s">
        <v>105</v>
      </c>
      <c r="AR45" s="71" t="s">
        <v>109</v>
      </c>
      <c r="AS45" s="70" t="s">
        <v>107</v>
      </c>
      <c r="AT45" s="70" t="s">
        <v>70</v>
      </c>
      <c r="AU45" s="70" t="s">
        <v>68</v>
      </c>
      <c r="AV45" s="67"/>
      <c r="AW45" s="68" t="s">
        <v>22</v>
      </c>
    </row>
    <row r="46" spans="1:49" ht="78">
      <c r="A46" s="1356"/>
      <c r="B46" s="1358"/>
      <c r="C46" s="98">
        <v>40</v>
      </c>
      <c r="D46" s="99" t="s">
        <v>101</v>
      </c>
      <c r="E46" s="104">
        <v>33</v>
      </c>
      <c r="F46" s="101" t="s">
        <v>102</v>
      </c>
      <c r="G46" s="102">
        <v>1</v>
      </c>
      <c r="H46" s="81" t="s">
        <v>54</v>
      </c>
      <c r="I46" s="81">
        <v>133</v>
      </c>
      <c r="J46" s="81" t="s">
        <v>103</v>
      </c>
      <c r="K46" s="81" t="s">
        <v>345</v>
      </c>
      <c r="L46" s="81" t="s">
        <v>346</v>
      </c>
      <c r="M46" s="81" t="s">
        <v>347</v>
      </c>
      <c r="N46" s="81" t="s">
        <v>348</v>
      </c>
      <c r="O46" s="93" t="s">
        <v>60</v>
      </c>
      <c r="P46" s="93" t="s">
        <v>60</v>
      </c>
      <c r="Q46" s="93" t="s">
        <v>60</v>
      </c>
      <c r="R46" s="94" t="s">
        <v>60</v>
      </c>
      <c r="S46" s="93"/>
      <c r="T46" s="107" t="s">
        <v>68</v>
      </c>
      <c r="U46" s="91"/>
      <c r="V46" s="91"/>
      <c r="W46" s="94" t="s">
        <v>60</v>
      </c>
      <c r="X46" s="103" t="s">
        <v>61</v>
      </c>
      <c r="Y46" s="91"/>
      <c r="Z46" s="91"/>
      <c r="AA46" s="91"/>
      <c r="AB46" s="91"/>
      <c r="AC46" s="70" t="s">
        <v>86</v>
      </c>
      <c r="AD46" s="70" t="s">
        <v>86</v>
      </c>
      <c r="AE46" s="70" t="s">
        <v>89</v>
      </c>
      <c r="AF46" s="95" t="s">
        <v>62</v>
      </c>
      <c r="AG46" s="70" t="s">
        <v>71</v>
      </c>
      <c r="AH46" s="96" t="s">
        <v>62</v>
      </c>
      <c r="AI46" s="70" t="s">
        <v>77</v>
      </c>
      <c r="AJ46" s="70"/>
      <c r="AK46" s="70"/>
      <c r="AL46" s="70"/>
      <c r="AM46" s="70" t="s">
        <v>71</v>
      </c>
      <c r="AN46" s="70" t="s">
        <v>71</v>
      </c>
      <c r="AO46" s="70" t="s">
        <v>65</v>
      </c>
      <c r="AP46" s="70" t="s">
        <v>71</v>
      </c>
      <c r="AQ46" s="70" t="s">
        <v>105</v>
      </c>
      <c r="AR46" s="70" t="s">
        <v>72</v>
      </c>
      <c r="AS46" s="70" t="s">
        <v>107</v>
      </c>
      <c r="AT46" s="70" t="s">
        <v>70</v>
      </c>
      <c r="AU46" s="70" t="s">
        <v>68</v>
      </c>
      <c r="AV46" s="67"/>
      <c r="AW46" s="68" t="s">
        <v>22</v>
      </c>
    </row>
    <row r="47" spans="1:49" ht="39">
      <c r="A47" s="70">
        <v>27</v>
      </c>
      <c r="B47" s="97">
        <v>27</v>
      </c>
      <c r="C47" s="98">
        <v>40</v>
      </c>
      <c r="D47" s="99" t="s">
        <v>101</v>
      </c>
      <c r="E47" s="104">
        <v>33</v>
      </c>
      <c r="F47" s="101" t="s">
        <v>102</v>
      </c>
      <c r="G47" s="102">
        <v>1</v>
      </c>
      <c r="H47" s="81" t="s">
        <v>54</v>
      </c>
      <c r="I47" s="81">
        <v>133</v>
      </c>
      <c r="J47" s="81" t="s">
        <v>103</v>
      </c>
      <c r="K47" s="81" t="s">
        <v>349</v>
      </c>
      <c r="L47" s="81" t="s">
        <v>346</v>
      </c>
      <c r="M47" s="81" t="s">
        <v>347</v>
      </c>
      <c r="N47" s="81" t="s">
        <v>348</v>
      </c>
      <c r="O47" s="93" t="s">
        <v>60</v>
      </c>
      <c r="P47" s="93" t="s">
        <v>60</v>
      </c>
      <c r="Q47" s="93" t="s">
        <v>60</v>
      </c>
      <c r="R47" s="94" t="s">
        <v>60</v>
      </c>
      <c r="S47" s="94" t="s">
        <v>61</v>
      </c>
      <c r="T47" s="94" t="s">
        <v>60</v>
      </c>
      <c r="U47" s="91"/>
      <c r="V47" s="91"/>
      <c r="W47" s="94" t="s">
        <v>60</v>
      </c>
      <c r="X47" s="91"/>
      <c r="Y47" s="91"/>
      <c r="Z47" s="91"/>
      <c r="AA47" s="91"/>
      <c r="AB47" s="91"/>
      <c r="AC47" s="95" t="s">
        <v>62</v>
      </c>
      <c r="AD47" s="95" t="s">
        <v>62</v>
      </c>
      <c r="AE47" s="95" t="s">
        <v>62</v>
      </c>
      <c r="AF47" s="95" t="s">
        <v>62</v>
      </c>
      <c r="AG47" s="96" t="s">
        <v>0</v>
      </c>
      <c r="AH47" s="70" t="s">
        <v>0</v>
      </c>
      <c r="AI47" s="70" t="s">
        <v>63</v>
      </c>
      <c r="AJ47" s="70" t="s">
        <v>64</v>
      </c>
      <c r="AK47" s="70"/>
      <c r="AL47" s="70"/>
      <c r="AM47" s="70" t="s">
        <v>62</v>
      </c>
      <c r="AN47" s="70" t="s">
        <v>62</v>
      </c>
      <c r="AO47" s="70" t="s">
        <v>62</v>
      </c>
      <c r="AP47" s="70" t="s">
        <v>62</v>
      </c>
      <c r="AQ47" s="70" t="s">
        <v>62</v>
      </c>
      <c r="AR47" s="70" t="s">
        <v>62</v>
      </c>
      <c r="AS47" s="70" t="s">
        <v>62</v>
      </c>
      <c r="AT47" s="70" t="s">
        <v>62</v>
      </c>
      <c r="AU47" s="70" t="s">
        <v>68</v>
      </c>
      <c r="AV47" s="67"/>
      <c r="AW47" s="68" t="s">
        <v>22</v>
      </c>
    </row>
    <row r="48" spans="1:49" ht="39">
      <c r="A48" s="1354">
        <v>28</v>
      </c>
      <c r="B48" s="1357">
        <v>28</v>
      </c>
      <c r="C48" s="98">
        <v>40</v>
      </c>
      <c r="D48" s="99" t="s">
        <v>101</v>
      </c>
      <c r="E48" s="104">
        <v>41</v>
      </c>
      <c r="F48" s="101" t="s">
        <v>110</v>
      </c>
      <c r="G48" s="102">
        <v>1</v>
      </c>
      <c r="H48" s="81" t="s">
        <v>54</v>
      </c>
      <c r="I48" s="81">
        <v>141</v>
      </c>
      <c r="J48" s="81" t="s">
        <v>111</v>
      </c>
      <c r="K48" s="83" t="s">
        <v>73</v>
      </c>
      <c r="L48" s="86" t="s">
        <v>74</v>
      </c>
      <c r="M48" s="85" t="s">
        <v>75</v>
      </c>
      <c r="N48" s="86" t="s">
        <v>76</v>
      </c>
      <c r="O48" s="93" t="s">
        <v>60</v>
      </c>
      <c r="P48" s="93" t="s">
        <v>60</v>
      </c>
      <c r="Q48" s="93" t="s">
        <v>60</v>
      </c>
      <c r="R48" s="94" t="s">
        <v>60</v>
      </c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70" t="s">
        <v>57</v>
      </c>
      <c r="AD48" s="70" t="s">
        <v>57</v>
      </c>
      <c r="AE48" s="70" t="s">
        <v>57</v>
      </c>
      <c r="AF48" s="95" t="s">
        <v>62</v>
      </c>
      <c r="AG48" s="70" t="s">
        <v>0</v>
      </c>
      <c r="AH48" s="70" t="s">
        <v>0</v>
      </c>
      <c r="AI48" s="70" t="s">
        <v>77</v>
      </c>
      <c r="AJ48" s="70"/>
      <c r="AK48" s="70"/>
      <c r="AL48" s="70"/>
      <c r="AM48" s="70" t="s">
        <v>65</v>
      </c>
      <c r="AN48" s="70" t="s">
        <v>65</v>
      </c>
      <c r="AO48" s="70" t="s">
        <v>112</v>
      </c>
      <c r="AP48" s="70" t="s">
        <v>67</v>
      </c>
      <c r="AQ48" s="70" t="s">
        <v>113</v>
      </c>
      <c r="AR48" s="71" t="s">
        <v>79</v>
      </c>
      <c r="AS48" s="70" t="s">
        <v>62</v>
      </c>
      <c r="AT48" s="70" t="s">
        <v>70</v>
      </c>
      <c r="AU48" s="70" t="s">
        <v>68</v>
      </c>
      <c r="AV48" s="67"/>
      <c r="AW48" s="68" t="s">
        <v>22</v>
      </c>
    </row>
    <row r="49" spans="1:49" ht="39">
      <c r="A49" s="1356"/>
      <c r="B49" s="1358"/>
      <c r="C49" s="98">
        <v>40</v>
      </c>
      <c r="D49" s="99" t="s">
        <v>101</v>
      </c>
      <c r="E49" s="104">
        <v>41</v>
      </c>
      <c r="F49" s="101" t="s">
        <v>110</v>
      </c>
      <c r="G49" s="102">
        <v>1</v>
      </c>
      <c r="H49" s="81" t="s">
        <v>54</v>
      </c>
      <c r="I49" s="81">
        <v>141</v>
      </c>
      <c r="J49" s="81" t="s">
        <v>111</v>
      </c>
      <c r="K49" s="83" t="s">
        <v>73</v>
      </c>
      <c r="L49" s="86" t="s">
        <v>74</v>
      </c>
      <c r="M49" s="85" t="s">
        <v>75</v>
      </c>
      <c r="N49" s="86" t="s">
        <v>76</v>
      </c>
      <c r="O49" s="93" t="s">
        <v>60</v>
      </c>
      <c r="P49" s="93" t="s">
        <v>60</v>
      </c>
      <c r="Q49" s="93" t="s">
        <v>60</v>
      </c>
      <c r="R49" s="94" t="s">
        <v>60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70" t="s">
        <v>57</v>
      </c>
      <c r="AD49" s="70" t="s">
        <v>57</v>
      </c>
      <c r="AE49" s="70" t="s">
        <v>57</v>
      </c>
      <c r="AF49" s="95" t="s">
        <v>62</v>
      </c>
      <c r="AG49" s="70" t="s">
        <v>71</v>
      </c>
      <c r="AH49" s="96" t="s">
        <v>62</v>
      </c>
      <c r="AI49" s="70" t="s">
        <v>77</v>
      </c>
      <c r="AJ49" s="70"/>
      <c r="AK49" s="70"/>
      <c r="AL49" s="70"/>
      <c r="AM49" s="70" t="s">
        <v>71</v>
      </c>
      <c r="AN49" s="70" t="s">
        <v>71</v>
      </c>
      <c r="AO49" s="70" t="s">
        <v>71</v>
      </c>
      <c r="AP49" s="70" t="s">
        <v>71</v>
      </c>
      <c r="AQ49" s="70" t="s">
        <v>78</v>
      </c>
      <c r="AR49" s="70" t="s">
        <v>72</v>
      </c>
      <c r="AS49" s="70" t="s">
        <v>62</v>
      </c>
      <c r="AT49" s="70" t="s">
        <v>70</v>
      </c>
      <c r="AU49" s="70" t="s">
        <v>68</v>
      </c>
      <c r="AV49" s="67"/>
      <c r="AW49" s="68" t="s">
        <v>22</v>
      </c>
    </row>
    <row r="50" spans="1:49" ht="39">
      <c r="A50" s="1354">
        <v>29</v>
      </c>
      <c r="B50" s="1357">
        <v>29</v>
      </c>
      <c r="C50" s="98">
        <v>40</v>
      </c>
      <c r="D50" s="99" t="s">
        <v>101</v>
      </c>
      <c r="E50" s="104">
        <v>42</v>
      </c>
      <c r="F50" s="101" t="s">
        <v>114</v>
      </c>
      <c r="G50" s="102">
        <v>1</v>
      </c>
      <c r="H50" s="81" t="s">
        <v>54</v>
      </c>
      <c r="I50" s="81">
        <v>142</v>
      </c>
      <c r="J50" s="81" t="s">
        <v>115</v>
      </c>
      <c r="K50" s="83" t="s">
        <v>73</v>
      </c>
      <c r="L50" s="86" t="s">
        <v>74</v>
      </c>
      <c r="M50" s="85" t="s">
        <v>75</v>
      </c>
      <c r="N50" s="86" t="s">
        <v>76</v>
      </c>
      <c r="O50" s="93" t="s">
        <v>60</v>
      </c>
      <c r="P50" s="93" t="s">
        <v>60</v>
      </c>
      <c r="Q50" s="93" t="s">
        <v>60</v>
      </c>
      <c r="R50" s="94" t="s">
        <v>60</v>
      </c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70" t="s">
        <v>57</v>
      </c>
      <c r="AD50" s="70" t="s">
        <v>57</v>
      </c>
      <c r="AE50" s="70" t="s">
        <v>57</v>
      </c>
      <c r="AF50" s="95" t="s">
        <v>62</v>
      </c>
      <c r="AG50" s="70" t="s">
        <v>0</v>
      </c>
      <c r="AH50" s="70" t="s">
        <v>0</v>
      </c>
      <c r="AI50" s="70" t="s">
        <v>77</v>
      </c>
      <c r="AJ50" s="70"/>
      <c r="AK50" s="70"/>
      <c r="AL50" s="70"/>
      <c r="AM50" s="70" t="s">
        <v>65</v>
      </c>
      <c r="AN50" s="70" t="s">
        <v>65</v>
      </c>
      <c r="AO50" s="70" t="s">
        <v>112</v>
      </c>
      <c r="AP50" s="70" t="s">
        <v>67</v>
      </c>
      <c r="AQ50" s="70" t="s">
        <v>78</v>
      </c>
      <c r="AR50" s="71" t="s">
        <v>79</v>
      </c>
      <c r="AS50" s="70" t="s">
        <v>62</v>
      </c>
      <c r="AT50" s="70" t="s">
        <v>70</v>
      </c>
      <c r="AU50" s="70" t="s">
        <v>68</v>
      </c>
      <c r="AV50" s="67"/>
      <c r="AW50" s="68" t="s">
        <v>22</v>
      </c>
    </row>
    <row r="51" spans="1:49" ht="39">
      <c r="A51" s="1356"/>
      <c r="B51" s="1358"/>
      <c r="C51" s="98">
        <v>40</v>
      </c>
      <c r="D51" s="99" t="s">
        <v>101</v>
      </c>
      <c r="E51" s="104">
        <v>42</v>
      </c>
      <c r="F51" s="101" t="s">
        <v>114</v>
      </c>
      <c r="G51" s="102">
        <v>1</v>
      </c>
      <c r="H51" s="81" t="s">
        <v>54</v>
      </c>
      <c r="I51" s="81">
        <v>142</v>
      </c>
      <c r="J51" s="81" t="s">
        <v>115</v>
      </c>
      <c r="K51" s="83" t="s">
        <v>73</v>
      </c>
      <c r="L51" s="86" t="s">
        <v>74</v>
      </c>
      <c r="M51" s="85" t="s">
        <v>75</v>
      </c>
      <c r="N51" s="86" t="s">
        <v>76</v>
      </c>
      <c r="O51" s="93" t="s">
        <v>60</v>
      </c>
      <c r="P51" s="93" t="s">
        <v>60</v>
      </c>
      <c r="Q51" s="93" t="s">
        <v>60</v>
      </c>
      <c r="R51" s="94" t="s">
        <v>60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70" t="s">
        <v>57</v>
      </c>
      <c r="AD51" s="70" t="s">
        <v>57</v>
      </c>
      <c r="AE51" s="70" t="s">
        <v>57</v>
      </c>
      <c r="AF51" s="95" t="s">
        <v>62</v>
      </c>
      <c r="AG51" s="70" t="s">
        <v>71</v>
      </c>
      <c r="AH51" s="96" t="s">
        <v>62</v>
      </c>
      <c r="AI51" s="70" t="s">
        <v>77</v>
      </c>
      <c r="AJ51" s="70"/>
      <c r="AK51" s="70"/>
      <c r="AL51" s="70"/>
      <c r="AM51" s="70" t="s">
        <v>71</v>
      </c>
      <c r="AN51" s="70" t="s">
        <v>71</v>
      </c>
      <c r="AO51" s="70" t="s">
        <v>71</v>
      </c>
      <c r="AP51" s="70" t="s">
        <v>71</v>
      </c>
      <c r="AQ51" s="70" t="s">
        <v>78</v>
      </c>
      <c r="AR51" s="70" t="s">
        <v>72</v>
      </c>
      <c r="AS51" s="70" t="s">
        <v>62</v>
      </c>
      <c r="AT51" s="70" t="s">
        <v>70</v>
      </c>
      <c r="AU51" s="70" t="s">
        <v>68</v>
      </c>
      <c r="AV51" s="67"/>
      <c r="AW51" s="68" t="s">
        <v>22</v>
      </c>
    </row>
    <row r="52" spans="1:49" ht="78">
      <c r="A52" s="1354">
        <v>30</v>
      </c>
      <c r="B52" s="1357">
        <v>30</v>
      </c>
      <c r="C52" s="98">
        <v>40</v>
      </c>
      <c r="D52" s="99" t="s">
        <v>101</v>
      </c>
      <c r="E52" s="104">
        <v>42</v>
      </c>
      <c r="F52" s="101" t="s">
        <v>114</v>
      </c>
      <c r="G52" s="102">
        <v>1</v>
      </c>
      <c r="H52" s="81" t="s">
        <v>54</v>
      </c>
      <c r="I52" s="81">
        <v>142</v>
      </c>
      <c r="J52" s="81" t="s">
        <v>115</v>
      </c>
      <c r="K52" s="81" t="s">
        <v>345</v>
      </c>
      <c r="L52" s="81" t="s">
        <v>346</v>
      </c>
      <c r="M52" s="81" t="s">
        <v>347</v>
      </c>
      <c r="N52" s="81" t="s">
        <v>348</v>
      </c>
      <c r="O52" s="93" t="s">
        <v>60</v>
      </c>
      <c r="P52" s="93" t="s">
        <v>60</v>
      </c>
      <c r="Q52" s="93" t="s">
        <v>60</v>
      </c>
      <c r="R52" s="94" t="s">
        <v>60</v>
      </c>
      <c r="S52" s="94" t="s">
        <v>61</v>
      </c>
      <c r="T52" s="94" t="s">
        <v>60</v>
      </c>
      <c r="U52" s="91"/>
      <c r="V52" s="91"/>
      <c r="W52" s="94" t="s">
        <v>60</v>
      </c>
      <c r="X52" s="103" t="s">
        <v>61</v>
      </c>
      <c r="Y52" s="91"/>
      <c r="Z52" s="103" t="s">
        <v>61</v>
      </c>
      <c r="AA52" s="103" t="s">
        <v>61</v>
      </c>
      <c r="AB52" s="91"/>
      <c r="AC52" s="70" t="s">
        <v>86</v>
      </c>
      <c r="AD52" s="70" t="s">
        <v>86</v>
      </c>
      <c r="AE52" s="70" t="s">
        <v>89</v>
      </c>
      <c r="AF52" s="95" t="s">
        <v>62</v>
      </c>
      <c r="AG52" s="96" t="s">
        <v>0</v>
      </c>
      <c r="AH52" s="70" t="s">
        <v>0</v>
      </c>
      <c r="AI52" s="70" t="s">
        <v>63</v>
      </c>
      <c r="AJ52" s="70" t="s">
        <v>64</v>
      </c>
      <c r="AK52" s="70"/>
      <c r="AL52" s="70"/>
      <c r="AM52" s="70" t="s">
        <v>65</v>
      </c>
      <c r="AN52" s="70" t="s">
        <v>66</v>
      </c>
      <c r="AO52" s="70" t="s">
        <v>116</v>
      </c>
      <c r="AP52" s="70" t="s">
        <v>67</v>
      </c>
      <c r="AQ52" s="70" t="s">
        <v>68</v>
      </c>
      <c r="AR52" s="70" t="s">
        <v>69</v>
      </c>
      <c r="AS52" s="70" t="s">
        <v>117</v>
      </c>
      <c r="AT52" s="70" t="s">
        <v>70</v>
      </c>
      <c r="AU52" s="70" t="s">
        <v>68</v>
      </c>
      <c r="AV52" s="67"/>
      <c r="AW52" s="68" t="s">
        <v>22</v>
      </c>
    </row>
    <row r="53" spans="1:49" ht="78">
      <c r="A53" s="1356"/>
      <c r="B53" s="1358"/>
      <c r="C53" s="98">
        <v>40</v>
      </c>
      <c r="D53" s="99" t="s">
        <v>101</v>
      </c>
      <c r="E53" s="104">
        <v>42</v>
      </c>
      <c r="F53" s="101" t="s">
        <v>114</v>
      </c>
      <c r="G53" s="102">
        <v>1</v>
      </c>
      <c r="H53" s="81" t="s">
        <v>54</v>
      </c>
      <c r="I53" s="81">
        <v>142</v>
      </c>
      <c r="J53" s="81" t="s">
        <v>115</v>
      </c>
      <c r="K53" s="81" t="s">
        <v>345</v>
      </c>
      <c r="L53" s="81" t="s">
        <v>346</v>
      </c>
      <c r="M53" s="81" t="s">
        <v>347</v>
      </c>
      <c r="N53" s="81" t="s">
        <v>348</v>
      </c>
      <c r="O53" s="93" t="s">
        <v>60</v>
      </c>
      <c r="P53" s="93" t="s">
        <v>60</v>
      </c>
      <c r="Q53" s="93" t="s">
        <v>60</v>
      </c>
      <c r="R53" s="94" t="s">
        <v>60</v>
      </c>
      <c r="S53" s="94" t="s">
        <v>61</v>
      </c>
      <c r="T53" s="94" t="s">
        <v>60</v>
      </c>
      <c r="U53" s="91"/>
      <c r="V53" s="91"/>
      <c r="W53" s="94" t="s">
        <v>60</v>
      </c>
      <c r="X53" s="103" t="s">
        <v>61</v>
      </c>
      <c r="Y53" s="91"/>
      <c r="Z53" s="103" t="s">
        <v>61</v>
      </c>
      <c r="AA53" s="103" t="s">
        <v>61</v>
      </c>
      <c r="AB53" s="91"/>
      <c r="AC53" s="70" t="s">
        <v>86</v>
      </c>
      <c r="AD53" s="70" t="s">
        <v>86</v>
      </c>
      <c r="AE53" s="70" t="s">
        <v>89</v>
      </c>
      <c r="AF53" s="95" t="s">
        <v>62</v>
      </c>
      <c r="AG53" s="70" t="s">
        <v>71</v>
      </c>
      <c r="AH53" s="96" t="s">
        <v>62</v>
      </c>
      <c r="AI53" s="70" t="s">
        <v>63</v>
      </c>
      <c r="AJ53" s="70" t="s">
        <v>64</v>
      </c>
      <c r="AK53" s="70"/>
      <c r="AL53" s="70"/>
      <c r="AM53" s="70" t="s">
        <v>65</v>
      </c>
      <c r="AN53" s="70" t="s">
        <v>71</v>
      </c>
      <c r="AO53" s="70" t="s">
        <v>65</v>
      </c>
      <c r="AP53" s="70" t="s">
        <v>71</v>
      </c>
      <c r="AQ53" s="70" t="s">
        <v>68</v>
      </c>
      <c r="AR53" s="70" t="s">
        <v>72</v>
      </c>
      <c r="AS53" s="70" t="s">
        <v>117</v>
      </c>
      <c r="AT53" s="70" t="s">
        <v>70</v>
      </c>
      <c r="AU53" s="70" t="s">
        <v>68</v>
      </c>
      <c r="AV53" s="67"/>
      <c r="AW53" s="68" t="s">
        <v>22</v>
      </c>
    </row>
    <row r="54" spans="1:49" ht="39">
      <c r="A54" s="70">
        <v>31</v>
      </c>
      <c r="B54" s="97">
        <v>31</v>
      </c>
      <c r="C54" s="98">
        <v>40</v>
      </c>
      <c r="D54" s="99" t="s">
        <v>101</v>
      </c>
      <c r="E54" s="104">
        <v>42</v>
      </c>
      <c r="F54" s="101" t="s">
        <v>114</v>
      </c>
      <c r="G54" s="102">
        <v>1</v>
      </c>
      <c r="H54" s="81" t="s">
        <v>54</v>
      </c>
      <c r="I54" s="81">
        <v>142</v>
      </c>
      <c r="J54" s="81" t="s">
        <v>115</v>
      </c>
      <c r="K54" s="81" t="s">
        <v>349</v>
      </c>
      <c r="L54" s="81" t="s">
        <v>346</v>
      </c>
      <c r="M54" s="81" t="s">
        <v>347</v>
      </c>
      <c r="N54" s="81" t="s">
        <v>348</v>
      </c>
      <c r="O54" s="93" t="s">
        <v>60</v>
      </c>
      <c r="P54" s="93" t="s">
        <v>60</v>
      </c>
      <c r="Q54" s="93" t="s">
        <v>60</v>
      </c>
      <c r="R54" s="94" t="s">
        <v>60</v>
      </c>
      <c r="S54" s="94" t="s">
        <v>61</v>
      </c>
      <c r="T54" s="94" t="s">
        <v>60</v>
      </c>
      <c r="U54" s="91"/>
      <c r="V54" s="91"/>
      <c r="W54" s="94" t="s">
        <v>60</v>
      </c>
      <c r="X54" s="91"/>
      <c r="Y54" s="91"/>
      <c r="Z54" s="91"/>
      <c r="AA54" s="91"/>
      <c r="AB54" s="91"/>
      <c r="AC54" s="95" t="s">
        <v>62</v>
      </c>
      <c r="AD54" s="95" t="s">
        <v>62</v>
      </c>
      <c r="AE54" s="95" t="s">
        <v>62</v>
      </c>
      <c r="AF54" s="95" t="s">
        <v>62</v>
      </c>
      <c r="AG54" s="96" t="s">
        <v>0</v>
      </c>
      <c r="AH54" s="70" t="s">
        <v>0</v>
      </c>
      <c r="AI54" s="70" t="s">
        <v>63</v>
      </c>
      <c r="AJ54" s="70" t="s">
        <v>64</v>
      </c>
      <c r="AK54" s="70"/>
      <c r="AL54" s="70"/>
      <c r="AM54" s="70" t="s">
        <v>62</v>
      </c>
      <c r="AN54" s="70" t="s">
        <v>62</v>
      </c>
      <c r="AO54" s="70" t="s">
        <v>62</v>
      </c>
      <c r="AP54" s="70" t="s">
        <v>62</v>
      </c>
      <c r="AQ54" s="70" t="s">
        <v>62</v>
      </c>
      <c r="AR54" s="70" t="s">
        <v>62</v>
      </c>
      <c r="AS54" s="70" t="s">
        <v>62</v>
      </c>
      <c r="AT54" s="70" t="s">
        <v>62</v>
      </c>
      <c r="AU54" s="70" t="s">
        <v>68</v>
      </c>
      <c r="AV54" s="67"/>
      <c r="AW54" s="68" t="s">
        <v>22</v>
      </c>
    </row>
    <row r="55" spans="1:49" ht="39">
      <c r="A55" s="1354">
        <v>32</v>
      </c>
      <c r="B55" s="1357">
        <v>33</v>
      </c>
      <c r="C55" s="98">
        <v>30</v>
      </c>
      <c r="D55" s="99" t="s">
        <v>118</v>
      </c>
      <c r="E55" s="104">
        <v>51</v>
      </c>
      <c r="F55" s="101" t="s">
        <v>119</v>
      </c>
      <c r="G55" s="102">
        <v>1</v>
      </c>
      <c r="H55" s="81" t="s">
        <v>54</v>
      </c>
      <c r="I55" s="81" t="s">
        <v>120</v>
      </c>
      <c r="J55" s="81" t="s">
        <v>121</v>
      </c>
      <c r="K55" s="83" t="s">
        <v>73</v>
      </c>
      <c r="L55" s="86" t="s">
        <v>74</v>
      </c>
      <c r="M55" s="85" t="s">
        <v>75</v>
      </c>
      <c r="N55" s="86" t="s">
        <v>76</v>
      </c>
      <c r="O55" s="93" t="s">
        <v>60</v>
      </c>
      <c r="P55" s="93" t="s">
        <v>60</v>
      </c>
      <c r="Q55" s="93" t="s">
        <v>60</v>
      </c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70" t="s">
        <v>57</v>
      </c>
      <c r="AD55" s="70" t="s">
        <v>57</v>
      </c>
      <c r="AE55" s="70" t="s">
        <v>57</v>
      </c>
      <c r="AF55" s="95" t="s">
        <v>62</v>
      </c>
      <c r="AG55" s="70" t="s">
        <v>0</v>
      </c>
      <c r="AH55" s="70" t="s">
        <v>0</v>
      </c>
      <c r="AI55" s="70" t="s">
        <v>77</v>
      </c>
      <c r="AJ55" s="70"/>
      <c r="AK55" s="70"/>
      <c r="AL55" s="70"/>
      <c r="AM55" s="70" t="s">
        <v>65</v>
      </c>
      <c r="AN55" s="70" t="s">
        <v>65</v>
      </c>
      <c r="AO55" s="70" t="s">
        <v>65</v>
      </c>
      <c r="AP55" s="70" t="s">
        <v>67</v>
      </c>
      <c r="AQ55" s="70" t="s">
        <v>78</v>
      </c>
      <c r="AR55" s="71" t="s">
        <v>79</v>
      </c>
      <c r="AS55" s="70" t="s">
        <v>62</v>
      </c>
      <c r="AT55" s="70" t="s">
        <v>122</v>
      </c>
      <c r="AU55" s="70" t="s">
        <v>68</v>
      </c>
      <c r="AV55" s="67"/>
      <c r="AW55" s="68" t="s">
        <v>22</v>
      </c>
    </row>
    <row r="56" spans="1:49" ht="39">
      <c r="A56" s="1356"/>
      <c r="B56" s="1358"/>
      <c r="C56" s="98">
        <v>30</v>
      </c>
      <c r="D56" s="99" t="s">
        <v>118</v>
      </c>
      <c r="E56" s="104">
        <v>51</v>
      </c>
      <c r="F56" s="101" t="s">
        <v>119</v>
      </c>
      <c r="G56" s="102">
        <v>1</v>
      </c>
      <c r="H56" s="81" t="s">
        <v>54</v>
      </c>
      <c r="I56" s="81" t="s">
        <v>120</v>
      </c>
      <c r="J56" s="81" t="s">
        <v>121</v>
      </c>
      <c r="K56" s="83" t="s">
        <v>73</v>
      </c>
      <c r="L56" s="86" t="s">
        <v>74</v>
      </c>
      <c r="M56" s="85" t="s">
        <v>75</v>
      </c>
      <c r="N56" s="86" t="s">
        <v>76</v>
      </c>
      <c r="O56" s="93" t="s">
        <v>60</v>
      </c>
      <c r="P56" s="93" t="s">
        <v>60</v>
      </c>
      <c r="Q56" s="93" t="s">
        <v>60</v>
      </c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70" t="s">
        <v>57</v>
      </c>
      <c r="AD56" s="70" t="s">
        <v>57</v>
      </c>
      <c r="AE56" s="70" t="s">
        <v>57</v>
      </c>
      <c r="AF56" s="95" t="s">
        <v>62</v>
      </c>
      <c r="AG56" s="70" t="s">
        <v>71</v>
      </c>
      <c r="AH56" s="96" t="s">
        <v>62</v>
      </c>
      <c r="AI56" s="70" t="s">
        <v>77</v>
      </c>
      <c r="AJ56" s="70"/>
      <c r="AK56" s="70"/>
      <c r="AL56" s="70"/>
      <c r="AM56" s="70" t="s">
        <v>65</v>
      </c>
      <c r="AN56" s="70" t="s">
        <v>71</v>
      </c>
      <c r="AO56" s="70" t="s">
        <v>65</v>
      </c>
      <c r="AP56" s="70" t="s">
        <v>71</v>
      </c>
      <c r="AQ56" s="70" t="s">
        <v>78</v>
      </c>
      <c r="AR56" s="70" t="s">
        <v>72</v>
      </c>
      <c r="AS56" s="70" t="s">
        <v>62</v>
      </c>
      <c r="AT56" s="70" t="s">
        <v>122</v>
      </c>
      <c r="AU56" s="70" t="s">
        <v>68</v>
      </c>
      <c r="AV56" s="67"/>
      <c r="AW56" s="68" t="s">
        <v>22</v>
      </c>
    </row>
    <row r="57" spans="1:49" ht="39">
      <c r="A57" s="1354">
        <v>33</v>
      </c>
      <c r="B57" s="1357">
        <v>34</v>
      </c>
      <c r="C57" s="98">
        <v>30</v>
      </c>
      <c r="D57" s="99" t="s">
        <v>118</v>
      </c>
      <c r="E57" s="104">
        <v>52</v>
      </c>
      <c r="F57" s="101" t="s">
        <v>123</v>
      </c>
      <c r="G57" s="102">
        <v>1</v>
      </c>
      <c r="H57" s="81" t="s">
        <v>54</v>
      </c>
      <c r="I57" s="81" t="s">
        <v>124</v>
      </c>
      <c r="J57" s="81" t="s">
        <v>125</v>
      </c>
      <c r="K57" s="83" t="s">
        <v>73</v>
      </c>
      <c r="L57" s="86" t="s">
        <v>74</v>
      </c>
      <c r="M57" s="85" t="s">
        <v>75</v>
      </c>
      <c r="N57" s="86" t="s">
        <v>76</v>
      </c>
      <c r="O57" s="93" t="s">
        <v>60</v>
      </c>
      <c r="P57" s="93" t="s">
        <v>60</v>
      </c>
      <c r="Q57" s="93" t="s">
        <v>60</v>
      </c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70" t="s">
        <v>57</v>
      </c>
      <c r="AD57" s="70" t="s">
        <v>57</v>
      </c>
      <c r="AE57" s="70" t="s">
        <v>57</v>
      </c>
      <c r="AF57" s="95" t="s">
        <v>62</v>
      </c>
      <c r="AG57" s="70" t="s">
        <v>0</v>
      </c>
      <c r="AH57" s="70" t="s">
        <v>0</v>
      </c>
      <c r="AI57" s="70" t="s">
        <v>77</v>
      </c>
      <c r="AJ57" s="70"/>
      <c r="AK57" s="70"/>
      <c r="AL57" s="70"/>
      <c r="AM57" s="70" t="s">
        <v>65</v>
      </c>
      <c r="AN57" s="70" t="s">
        <v>65</v>
      </c>
      <c r="AO57" s="70" t="s">
        <v>65</v>
      </c>
      <c r="AP57" s="70" t="s">
        <v>67</v>
      </c>
      <c r="AQ57" s="70" t="s">
        <v>78</v>
      </c>
      <c r="AR57" s="71" t="s">
        <v>79</v>
      </c>
      <c r="AS57" s="70" t="s">
        <v>62</v>
      </c>
      <c r="AT57" s="70" t="s">
        <v>126</v>
      </c>
      <c r="AU57" s="70" t="s">
        <v>68</v>
      </c>
      <c r="AV57" s="67"/>
      <c r="AW57" s="68" t="s">
        <v>22</v>
      </c>
    </row>
    <row r="58" spans="1:49" ht="39">
      <c r="A58" s="1356"/>
      <c r="B58" s="1358"/>
      <c r="C58" s="98">
        <v>30</v>
      </c>
      <c r="D58" s="99" t="s">
        <v>118</v>
      </c>
      <c r="E58" s="104">
        <v>52</v>
      </c>
      <c r="F58" s="101" t="s">
        <v>123</v>
      </c>
      <c r="G58" s="102">
        <v>1</v>
      </c>
      <c r="H58" s="81" t="s">
        <v>54</v>
      </c>
      <c r="I58" s="81" t="s">
        <v>124</v>
      </c>
      <c r="J58" s="81" t="s">
        <v>125</v>
      </c>
      <c r="K58" s="83" t="s">
        <v>73</v>
      </c>
      <c r="L58" s="86" t="s">
        <v>74</v>
      </c>
      <c r="M58" s="85" t="s">
        <v>75</v>
      </c>
      <c r="N58" s="86" t="s">
        <v>76</v>
      </c>
      <c r="O58" s="93" t="s">
        <v>60</v>
      </c>
      <c r="P58" s="93" t="s">
        <v>60</v>
      </c>
      <c r="Q58" s="93" t="s">
        <v>60</v>
      </c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70" t="s">
        <v>57</v>
      </c>
      <c r="AD58" s="70" t="s">
        <v>57</v>
      </c>
      <c r="AE58" s="70" t="s">
        <v>57</v>
      </c>
      <c r="AF58" s="95" t="s">
        <v>62</v>
      </c>
      <c r="AG58" s="70" t="s">
        <v>71</v>
      </c>
      <c r="AH58" s="96" t="s">
        <v>62</v>
      </c>
      <c r="AI58" s="70" t="s">
        <v>77</v>
      </c>
      <c r="AJ58" s="70"/>
      <c r="AK58" s="70"/>
      <c r="AL58" s="70"/>
      <c r="AM58" s="70" t="s">
        <v>65</v>
      </c>
      <c r="AN58" s="70" t="s">
        <v>71</v>
      </c>
      <c r="AO58" s="70" t="s">
        <v>65</v>
      </c>
      <c r="AP58" s="70" t="s">
        <v>71</v>
      </c>
      <c r="AQ58" s="70" t="s">
        <v>78</v>
      </c>
      <c r="AR58" s="70" t="s">
        <v>72</v>
      </c>
      <c r="AS58" s="70" t="s">
        <v>62</v>
      </c>
      <c r="AT58" s="70" t="s">
        <v>126</v>
      </c>
      <c r="AU58" s="70" t="s">
        <v>68</v>
      </c>
      <c r="AV58" s="67"/>
      <c r="AW58" s="68" t="s">
        <v>22</v>
      </c>
    </row>
    <row r="59" spans="1:49" ht="39">
      <c r="A59" s="1354">
        <v>34</v>
      </c>
      <c r="B59" s="1357">
        <v>35</v>
      </c>
      <c r="C59" s="98">
        <v>30</v>
      </c>
      <c r="D59" s="99" t="s">
        <v>118</v>
      </c>
      <c r="E59" s="104">
        <v>71</v>
      </c>
      <c r="F59" s="101" t="s">
        <v>127</v>
      </c>
      <c r="G59" s="102">
        <v>1</v>
      </c>
      <c r="H59" s="81" t="s">
        <v>54</v>
      </c>
      <c r="I59" s="81" t="s">
        <v>128</v>
      </c>
      <c r="J59" s="81" t="s">
        <v>129</v>
      </c>
      <c r="K59" s="83" t="s">
        <v>73</v>
      </c>
      <c r="L59" s="86" t="s">
        <v>74</v>
      </c>
      <c r="M59" s="85" t="s">
        <v>75</v>
      </c>
      <c r="N59" s="86" t="s">
        <v>76</v>
      </c>
      <c r="O59" s="93" t="s">
        <v>60</v>
      </c>
      <c r="P59" s="93" t="s">
        <v>60</v>
      </c>
      <c r="Q59" s="93" t="s">
        <v>60</v>
      </c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70" t="s">
        <v>57</v>
      </c>
      <c r="AD59" s="70" t="s">
        <v>57</v>
      </c>
      <c r="AE59" s="70" t="s">
        <v>57</v>
      </c>
      <c r="AF59" s="95" t="s">
        <v>62</v>
      </c>
      <c r="AG59" s="70" t="s">
        <v>0</v>
      </c>
      <c r="AH59" s="70" t="s">
        <v>0</v>
      </c>
      <c r="AI59" s="70" t="s">
        <v>77</v>
      </c>
      <c r="AJ59" s="70"/>
      <c r="AK59" s="70"/>
      <c r="AL59" s="70"/>
      <c r="AM59" s="70" t="s">
        <v>65</v>
      </c>
      <c r="AN59" s="70" t="s">
        <v>65</v>
      </c>
      <c r="AO59" s="70" t="s">
        <v>65</v>
      </c>
      <c r="AP59" s="70" t="s">
        <v>67</v>
      </c>
      <c r="AQ59" s="70" t="s">
        <v>78</v>
      </c>
      <c r="AR59" s="71" t="s">
        <v>79</v>
      </c>
      <c r="AS59" s="70" t="s">
        <v>62</v>
      </c>
      <c r="AT59" s="70" t="s">
        <v>126</v>
      </c>
      <c r="AU59" s="70" t="s">
        <v>68</v>
      </c>
      <c r="AV59" s="67"/>
      <c r="AW59" s="68" t="s">
        <v>22</v>
      </c>
    </row>
    <row r="60" spans="1:49" ht="39">
      <c r="A60" s="1356"/>
      <c r="B60" s="1358"/>
      <c r="C60" s="98">
        <v>30</v>
      </c>
      <c r="D60" s="99" t="s">
        <v>118</v>
      </c>
      <c r="E60" s="104">
        <v>71</v>
      </c>
      <c r="F60" s="101" t="s">
        <v>127</v>
      </c>
      <c r="G60" s="102">
        <v>1</v>
      </c>
      <c r="H60" s="81" t="s">
        <v>54</v>
      </c>
      <c r="I60" s="81" t="s">
        <v>128</v>
      </c>
      <c r="J60" s="81" t="s">
        <v>129</v>
      </c>
      <c r="K60" s="83" t="s">
        <v>73</v>
      </c>
      <c r="L60" s="86" t="s">
        <v>74</v>
      </c>
      <c r="M60" s="85" t="s">
        <v>75</v>
      </c>
      <c r="N60" s="86" t="s">
        <v>76</v>
      </c>
      <c r="O60" s="93" t="s">
        <v>60</v>
      </c>
      <c r="P60" s="93" t="s">
        <v>60</v>
      </c>
      <c r="Q60" s="93" t="s">
        <v>60</v>
      </c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70" t="s">
        <v>57</v>
      </c>
      <c r="AD60" s="70" t="s">
        <v>57</v>
      </c>
      <c r="AE60" s="70" t="s">
        <v>57</v>
      </c>
      <c r="AF60" s="95" t="s">
        <v>62</v>
      </c>
      <c r="AG60" s="70" t="s">
        <v>71</v>
      </c>
      <c r="AH60" s="96" t="s">
        <v>62</v>
      </c>
      <c r="AI60" s="70" t="s">
        <v>77</v>
      </c>
      <c r="AJ60" s="70"/>
      <c r="AK60" s="70"/>
      <c r="AL60" s="70"/>
      <c r="AM60" s="70" t="s">
        <v>65</v>
      </c>
      <c r="AN60" s="70" t="s">
        <v>71</v>
      </c>
      <c r="AO60" s="70" t="s">
        <v>65</v>
      </c>
      <c r="AP60" s="70" t="s">
        <v>71</v>
      </c>
      <c r="AQ60" s="70" t="s">
        <v>78</v>
      </c>
      <c r="AR60" s="70" t="s">
        <v>72</v>
      </c>
      <c r="AS60" s="70" t="s">
        <v>62</v>
      </c>
      <c r="AT60" s="70" t="s">
        <v>126</v>
      </c>
      <c r="AU60" s="70" t="s">
        <v>68</v>
      </c>
      <c r="AV60" s="67"/>
      <c r="AW60" s="68" t="s">
        <v>22</v>
      </c>
    </row>
    <row r="61" spans="1:49" ht="39">
      <c r="A61" s="1354">
        <v>35</v>
      </c>
      <c r="B61" s="1357">
        <v>36</v>
      </c>
      <c r="C61" s="98">
        <v>30</v>
      </c>
      <c r="D61" s="99" t="s">
        <v>118</v>
      </c>
      <c r="E61" s="104" t="s">
        <v>130</v>
      </c>
      <c r="F61" s="101" t="s">
        <v>131</v>
      </c>
      <c r="G61" s="102">
        <v>1</v>
      </c>
      <c r="H61" s="81" t="s">
        <v>54</v>
      </c>
      <c r="I61" s="81" t="s">
        <v>132</v>
      </c>
      <c r="J61" s="81" t="s">
        <v>133</v>
      </c>
      <c r="K61" s="83" t="s">
        <v>73</v>
      </c>
      <c r="L61" s="86" t="s">
        <v>74</v>
      </c>
      <c r="M61" s="85" t="s">
        <v>75</v>
      </c>
      <c r="N61" s="86" t="s">
        <v>76</v>
      </c>
      <c r="O61" s="93" t="s">
        <v>60</v>
      </c>
      <c r="P61" s="93" t="s">
        <v>60</v>
      </c>
      <c r="Q61" s="93" t="s">
        <v>60</v>
      </c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70" t="s">
        <v>57</v>
      </c>
      <c r="AD61" s="70" t="s">
        <v>57</v>
      </c>
      <c r="AE61" s="70" t="s">
        <v>57</v>
      </c>
      <c r="AF61" s="95" t="s">
        <v>62</v>
      </c>
      <c r="AG61" s="70" t="s">
        <v>0</v>
      </c>
      <c r="AH61" s="70" t="s">
        <v>0</v>
      </c>
      <c r="AI61" s="70" t="s">
        <v>77</v>
      </c>
      <c r="AJ61" s="70"/>
      <c r="AK61" s="70"/>
      <c r="AL61" s="70"/>
      <c r="AM61" s="70" t="s">
        <v>65</v>
      </c>
      <c r="AN61" s="70" t="s">
        <v>65</v>
      </c>
      <c r="AO61" s="70" t="s">
        <v>65</v>
      </c>
      <c r="AP61" s="70" t="s">
        <v>67</v>
      </c>
      <c r="AQ61" s="70" t="s">
        <v>78</v>
      </c>
      <c r="AR61" s="71" t="s">
        <v>79</v>
      </c>
      <c r="AS61" s="70" t="s">
        <v>62</v>
      </c>
      <c r="AT61" s="70" t="s">
        <v>126</v>
      </c>
      <c r="AU61" s="70" t="s">
        <v>68</v>
      </c>
      <c r="AV61" s="67"/>
      <c r="AW61" s="68" t="s">
        <v>22</v>
      </c>
    </row>
    <row r="62" spans="1:49" ht="39">
      <c r="A62" s="1356"/>
      <c r="B62" s="1358"/>
      <c r="C62" s="98">
        <v>30</v>
      </c>
      <c r="D62" s="99" t="s">
        <v>118</v>
      </c>
      <c r="E62" s="104" t="s">
        <v>130</v>
      </c>
      <c r="F62" s="101" t="s">
        <v>131</v>
      </c>
      <c r="G62" s="102">
        <v>1</v>
      </c>
      <c r="H62" s="81" t="s">
        <v>54</v>
      </c>
      <c r="I62" s="81" t="s">
        <v>132</v>
      </c>
      <c r="J62" s="81" t="s">
        <v>133</v>
      </c>
      <c r="K62" s="83" t="s">
        <v>73</v>
      </c>
      <c r="L62" s="86" t="s">
        <v>74</v>
      </c>
      <c r="M62" s="85" t="s">
        <v>75</v>
      </c>
      <c r="N62" s="86" t="s">
        <v>76</v>
      </c>
      <c r="O62" s="93" t="s">
        <v>60</v>
      </c>
      <c r="P62" s="93" t="s">
        <v>60</v>
      </c>
      <c r="Q62" s="93" t="s">
        <v>60</v>
      </c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70" t="s">
        <v>57</v>
      </c>
      <c r="AD62" s="70" t="s">
        <v>57</v>
      </c>
      <c r="AE62" s="70" t="s">
        <v>57</v>
      </c>
      <c r="AF62" s="95" t="s">
        <v>62</v>
      </c>
      <c r="AG62" s="70" t="s">
        <v>71</v>
      </c>
      <c r="AH62" s="96" t="s">
        <v>62</v>
      </c>
      <c r="AI62" s="70" t="s">
        <v>77</v>
      </c>
      <c r="AJ62" s="70"/>
      <c r="AK62" s="70"/>
      <c r="AL62" s="70"/>
      <c r="AM62" s="70" t="s">
        <v>65</v>
      </c>
      <c r="AN62" s="70" t="s">
        <v>71</v>
      </c>
      <c r="AO62" s="70" t="s">
        <v>65</v>
      </c>
      <c r="AP62" s="70" t="s">
        <v>71</v>
      </c>
      <c r="AQ62" s="70" t="s">
        <v>78</v>
      </c>
      <c r="AR62" s="70" t="s">
        <v>72</v>
      </c>
      <c r="AS62" s="70" t="s">
        <v>62</v>
      </c>
      <c r="AT62" s="70" t="s">
        <v>126</v>
      </c>
      <c r="AU62" s="70" t="s">
        <v>68</v>
      </c>
      <c r="AV62" s="67"/>
      <c r="AW62" s="68" t="s">
        <v>22</v>
      </c>
    </row>
    <row r="63" spans="1:49" ht="39">
      <c r="A63" s="1354">
        <v>36</v>
      </c>
      <c r="B63" s="1357">
        <v>37</v>
      </c>
      <c r="C63" s="98">
        <v>30</v>
      </c>
      <c r="D63" s="99" t="s">
        <v>118</v>
      </c>
      <c r="E63" s="104">
        <v>62</v>
      </c>
      <c r="F63" s="101" t="s">
        <v>134</v>
      </c>
      <c r="G63" s="102">
        <v>1</v>
      </c>
      <c r="H63" s="81" t="s">
        <v>54</v>
      </c>
      <c r="I63" s="81" t="s">
        <v>135</v>
      </c>
      <c r="J63" s="81" t="s">
        <v>136</v>
      </c>
      <c r="K63" s="83" t="s">
        <v>73</v>
      </c>
      <c r="L63" s="86" t="s">
        <v>74</v>
      </c>
      <c r="M63" s="85" t="s">
        <v>75</v>
      </c>
      <c r="N63" s="86" t="s">
        <v>76</v>
      </c>
      <c r="O63" s="93" t="s">
        <v>60</v>
      </c>
      <c r="P63" s="93" t="s">
        <v>60</v>
      </c>
      <c r="Q63" s="93" t="s">
        <v>60</v>
      </c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70" t="s">
        <v>57</v>
      </c>
      <c r="AD63" s="70" t="s">
        <v>57</v>
      </c>
      <c r="AE63" s="70" t="s">
        <v>57</v>
      </c>
      <c r="AF63" s="95" t="s">
        <v>62</v>
      </c>
      <c r="AG63" s="70" t="s">
        <v>0</v>
      </c>
      <c r="AH63" s="70" t="s">
        <v>0</v>
      </c>
      <c r="AI63" s="70" t="s">
        <v>77</v>
      </c>
      <c r="AJ63" s="70"/>
      <c r="AK63" s="70"/>
      <c r="AL63" s="70"/>
      <c r="AM63" s="70" t="s">
        <v>65</v>
      </c>
      <c r="AN63" s="70" t="s">
        <v>65</v>
      </c>
      <c r="AO63" s="70" t="s">
        <v>65</v>
      </c>
      <c r="AP63" s="70" t="s">
        <v>67</v>
      </c>
      <c r="AQ63" s="70" t="s">
        <v>78</v>
      </c>
      <c r="AR63" s="71" t="s">
        <v>79</v>
      </c>
      <c r="AS63" s="70" t="s">
        <v>62</v>
      </c>
      <c r="AT63" s="70" t="s">
        <v>126</v>
      </c>
      <c r="AU63" s="70" t="s">
        <v>68</v>
      </c>
      <c r="AV63" s="67"/>
      <c r="AW63" s="68" t="s">
        <v>22</v>
      </c>
    </row>
    <row r="64" spans="1:49" ht="39">
      <c r="A64" s="1356"/>
      <c r="B64" s="1358"/>
      <c r="C64" s="98">
        <v>30</v>
      </c>
      <c r="D64" s="99" t="s">
        <v>118</v>
      </c>
      <c r="E64" s="104">
        <v>62</v>
      </c>
      <c r="F64" s="101" t="s">
        <v>134</v>
      </c>
      <c r="G64" s="102">
        <v>1</v>
      </c>
      <c r="H64" s="81" t="s">
        <v>54</v>
      </c>
      <c r="I64" s="81" t="s">
        <v>135</v>
      </c>
      <c r="J64" s="81" t="s">
        <v>136</v>
      </c>
      <c r="K64" s="83" t="s">
        <v>73</v>
      </c>
      <c r="L64" s="86" t="s">
        <v>74</v>
      </c>
      <c r="M64" s="85" t="s">
        <v>75</v>
      </c>
      <c r="N64" s="86" t="s">
        <v>76</v>
      </c>
      <c r="O64" s="93" t="s">
        <v>60</v>
      </c>
      <c r="P64" s="93" t="s">
        <v>60</v>
      </c>
      <c r="Q64" s="93" t="s">
        <v>60</v>
      </c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70" t="s">
        <v>57</v>
      </c>
      <c r="AD64" s="70" t="s">
        <v>57</v>
      </c>
      <c r="AE64" s="70" t="s">
        <v>57</v>
      </c>
      <c r="AF64" s="95" t="s">
        <v>62</v>
      </c>
      <c r="AG64" s="70" t="s">
        <v>71</v>
      </c>
      <c r="AH64" s="96" t="s">
        <v>62</v>
      </c>
      <c r="AI64" s="70" t="s">
        <v>77</v>
      </c>
      <c r="AJ64" s="70"/>
      <c r="AK64" s="70"/>
      <c r="AL64" s="70"/>
      <c r="AM64" s="70" t="s">
        <v>65</v>
      </c>
      <c r="AN64" s="70" t="s">
        <v>71</v>
      </c>
      <c r="AO64" s="70" t="s">
        <v>65</v>
      </c>
      <c r="AP64" s="70" t="s">
        <v>71</v>
      </c>
      <c r="AQ64" s="70" t="s">
        <v>78</v>
      </c>
      <c r="AR64" s="70" t="s">
        <v>72</v>
      </c>
      <c r="AS64" s="70" t="s">
        <v>62</v>
      </c>
      <c r="AT64" s="70" t="s">
        <v>126</v>
      </c>
      <c r="AU64" s="70" t="s">
        <v>68</v>
      </c>
      <c r="AV64" s="67"/>
      <c r="AW64" s="68" t="s">
        <v>22</v>
      </c>
    </row>
    <row r="65" spans="1:49" ht="39">
      <c r="A65" s="1354">
        <v>37</v>
      </c>
      <c r="B65" s="1357">
        <v>38</v>
      </c>
      <c r="C65" s="126">
        <v>20</v>
      </c>
      <c r="D65" s="127" t="s">
        <v>137</v>
      </c>
      <c r="E65" s="128">
        <v>11</v>
      </c>
      <c r="F65" s="129" t="s">
        <v>53</v>
      </c>
      <c r="G65" s="130">
        <v>2</v>
      </c>
      <c r="H65" s="131" t="s">
        <v>138</v>
      </c>
      <c r="I65" s="131">
        <v>211</v>
      </c>
      <c r="J65" s="131" t="s">
        <v>53</v>
      </c>
      <c r="K65" s="131" t="s">
        <v>139</v>
      </c>
      <c r="L65" s="207" t="s">
        <v>57</v>
      </c>
      <c r="M65" s="131" t="s">
        <v>58</v>
      </c>
      <c r="N65" s="131" t="s">
        <v>59</v>
      </c>
      <c r="O65" s="93" t="s">
        <v>60</v>
      </c>
      <c r="P65" s="93" t="s">
        <v>60</v>
      </c>
      <c r="Q65" s="93" t="s">
        <v>60</v>
      </c>
      <c r="R65" s="91"/>
      <c r="S65" s="94" t="s">
        <v>61</v>
      </c>
      <c r="T65" s="94" t="s">
        <v>60</v>
      </c>
      <c r="U65" s="94" t="s">
        <v>60</v>
      </c>
      <c r="V65" s="94" t="s">
        <v>60</v>
      </c>
      <c r="W65" s="91"/>
      <c r="X65" s="91"/>
      <c r="Y65" s="91"/>
      <c r="Z65" s="91"/>
      <c r="AA65" s="91"/>
      <c r="AB65" s="91"/>
      <c r="AC65" s="95" t="s">
        <v>62</v>
      </c>
      <c r="AD65" s="95" t="s">
        <v>62</v>
      </c>
      <c r="AE65" s="95" t="s">
        <v>62</v>
      </c>
      <c r="AF65" s="95" t="s">
        <v>62</v>
      </c>
      <c r="AG65" s="96" t="s">
        <v>0</v>
      </c>
      <c r="AH65" s="70" t="s">
        <v>0</v>
      </c>
      <c r="AI65" s="70" t="s">
        <v>63</v>
      </c>
      <c r="AJ65" s="70" t="s">
        <v>64</v>
      </c>
      <c r="AK65" s="70"/>
      <c r="AL65" s="70"/>
      <c r="AM65" s="70" t="s">
        <v>62</v>
      </c>
      <c r="AN65" s="70" t="s">
        <v>62</v>
      </c>
      <c r="AO65" s="70" t="s">
        <v>62</v>
      </c>
      <c r="AP65" s="70" t="s">
        <v>62</v>
      </c>
      <c r="AQ65" s="70" t="s">
        <v>68</v>
      </c>
      <c r="AR65" s="70" t="s">
        <v>62</v>
      </c>
      <c r="AS65" s="70" t="s">
        <v>62</v>
      </c>
      <c r="AT65" s="70" t="s">
        <v>62</v>
      </c>
      <c r="AU65" s="70" t="s">
        <v>68</v>
      </c>
      <c r="AV65" s="67"/>
      <c r="AW65" s="68" t="s">
        <v>22</v>
      </c>
    </row>
    <row r="66" spans="1:49" ht="39">
      <c r="A66" s="1355"/>
      <c r="B66" s="1359"/>
      <c r="C66" s="126">
        <v>20</v>
      </c>
      <c r="D66" s="127" t="s">
        <v>137</v>
      </c>
      <c r="E66" s="128">
        <v>11</v>
      </c>
      <c r="F66" s="129" t="s">
        <v>53</v>
      </c>
      <c r="G66" s="130">
        <v>2</v>
      </c>
      <c r="H66" s="131" t="s">
        <v>138</v>
      </c>
      <c r="I66" s="131">
        <v>211</v>
      </c>
      <c r="J66" s="131" t="s">
        <v>53</v>
      </c>
      <c r="K66" s="131" t="s">
        <v>139</v>
      </c>
      <c r="L66" s="207" t="s">
        <v>57</v>
      </c>
      <c r="M66" s="131" t="s">
        <v>58</v>
      </c>
      <c r="N66" s="131" t="s">
        <v>59</v>
      </c>
      <c r="O66" s="93" t="s">
        <v>60</v>
      </c>
      <c r="P66" s="93" t="s">
        <v>60</v>
      </c>
      <c r="Q66" s="93" t="s">
        <v>60</v>
      </c>
      <c r="R66" s="91"/>
      <c r="S66" s="94" t="s">
        <v>61</v>
      </c>
      <c r="T66" s="94" t="s">
        <v>60</v>
      </c>
      <c r="U66" s="94" t="s">
        <v>60</v>
      </c>
      <c r="V66" s="94" t="s">
        <v>60</v>
      </c>
      <c r="W66" s="91"/>
      <c r="X66" s="91"/>
      <c r="Y66" s="91"/>
      <c r="Z66" s="91"/>
      <c r="AA66" s="91"/>
      <c r="AB66" s="91"/>
      <c r="AC66" s="95" t="s">
        <v>62</v>
      </c>
      <c r="AD66" s="95" t="s">
        <v>62</v>
      </c>
      <c r="AE66" s="95" t="s">
        <v>62</v>
      </c>
      <c r="AF66" s="95" t="s">
        <v>62</v>
      </c>
      <c r="AG66" s="96" t="s">
        <v>1</v>
      </c>
      <c r="AH66" s="70" t="s">
        <v>0</v>
      </c>
      <c r="AI66" s="70" t="s">
        <v>63</v>
      </c>
      <c r="AJ66" s="70" t="s">
        <v>64</v>
      </c>
      <c r="AK66" s="70"/>
      <c r="AL66" s="70"/>
      <c r="AM66" s="70" t="s">
        <v>62</v>
      </c>
      <c r="AN66" s="70" t="s">
        <v>62</v>
      </c>
      <c r="AO66" s="70" t="s">
        <v>62</v>
      </c>
      <c r="AP66" s="70" t="s">
        <v>62</v>
      </c>
      <c r="AQ66" s="70" t="s">
        <v>68</v>
      </c>
      <c r="AR66" s="70" t="s">
        <v>62</v>
      </c>
      <c r="AS66" s="70" t="s">
        <v>62</v>
      </c>
      <c r="AT66" s="70" t="s">
        <v>62</v>
      </c>
      <c r="AU66" s="70" t="s">
        <v>68</v>
      </c>
      <c r="AV66" s="67"/>
      <c r="AW66" s="68" t="s">
        <v>22</v>
      </c>
    </row>
    <row r="67" spans="1:49" ht="39">
      <c r="A67" s="1356"/>
      <c r="B67" s="1358"/>
      <c r="C67" s="126">
        <v>20</v>
      </c>
      <c r="D67" s="127" t="s">
        <v>137</v>
      </c>
      <c r="E67" s="128">
        <v>11</v>
      </c>
      <c r="F67" s="129" t="s">
        <v>53</v>
      </c>
      <c r="G67" s="130">
        <v>2</v>
      </c>
      <c r="H67" s="131" t="s">
        <v>138</v>
      </c>
      <c r="I67" s="131">
        <v>211</v>
      </c>
      <c r="J67" s="131" t="s">
        <v>53</v>
      </c>
      <c r="K67" s="131" t="s">
        <v>139</v>
      </c>
      <c r="L67" s="207" t="s">
        <v>57</v>
      </c>
      <c r="M67" s="131" t="s">
        <v>58</v>
      </c>
      <c r="N67" s="131" t="s">
        <v>59</v>
      </c>
      <c r="O67" s="93" t="s">
        <v>60</v>
      </c>
      <c r="P67" s="93" t="s">
        <v>60</v>
      </c>
      <c r="Q67" s="93" t="s">
        <v>60</v>
      </c>
      <c r="R67" s="91"/>
      <c r="S67" s="94" t="s">
        <v>61</v>
      </c>
      <c r="T67" s="94" t="s">
        <v>60</v>
      </c>
      <c r="U67" s="94" t="s">
        <v>60</v>
      </c>
      <c r="V67" s="94" t="s">
        <v>60</v>
      </c>
      <c r="W67" s="91"/>
      <c r="X67" s="91"/>
      <c r="Y67" s="91"/>
      <c r="Z67" s="91"/>
      <c r="AA67" s="91"/>
      <c r="AB67" s="91"/>
      <c r="AC67" s="95" t="s">
        <v>62</v>
      </c>
      <c r="AD67" s="95" t="s">
        <v>62</v>
      </c>
      <c r="AE67" s="95" t="s">
        <v>62</v>
      </c>
      <c r="AF67" s="95" t="s">
        <v>62</v>
      </c>
      <c r="AG67" s="96" t="s">
        <v>71</v>
      </c>
      <c r="AH67" s="70" t="s">
        <v>0</v>
      </c>
      <c r="AI67" s="70" t="s">
        <v>63</v>
      </c>
      <c r="AJ67" s="70" t="s">
        <v>64</v>
      </c>
      <c r="AK67" s="70"/>
      <c r="AL67" s="70"/>
      <c r="AM67" s="70" t="s">
        <v>62</v>
      </c>
      <c r="AN67" s="70" t="s">
        <v>62</v>
      </c>
      <c r="AO67" s="70" t="s">
        <v>62</v>
      </c>
      <c r="AP67" s="70" t="s">
        <v>62</v>
      </c>
      <c r="AQ67" s="70" t="s">
        <v>68</v>
      </c>
      <c r="AR67" s="70" t="s">
        <v>62</v>
      </c>
      <c r="AS67" s="70" t="s">
        <v>62</v>
      </c>
      <c r="AT67" s="70" t="s">
        <v>62</v>
      </c>
      <c r="AU67" s="70" t="s">
        <v>68</v>
      </c>
      <c r="AV67" s="67"/>
      <c r="AW67" s="68" t="s">
        <v>22</v>
      </c>
    </row>
    <row r="68" spans="1:49" ht="39">
      <c r="A68" s="1354">
        <v>38</v>
      </c>
      <c r="B68" s="1357">
        <v>39</v>
      </c>
      <c r="C68" s="126">
        <v>20</v>
      </c>
      <c r="D68" s="127" t="s">
        <v>137</v>
      </c>
      <c r="E68" s="128">
        <v>11</v>
      </c>
      <c r="F68" s="129" t="s">
        <v>53</v>
      </c>
      <c r="G68" s="130">
        <v>2</v>
      </c>
      <c r="H68" s="131" t="s">
        <v>138</v>
      </c>
      <c r="I68" s="131">
        <v>211</v>
      </c>
      <c r="J68" s="131" t="s">
        <v>53</v>
      </c>
      <c r="K68" s="131" t="s">
        <v>56</v>
      </c>
      <c r="L68" s="207" t="s">
        <v>57</v>
      </c>
      <c r="M68" s="131" t="s">
        <v>58</v>
      </c>
      <c r="N68" s="131" t="s">
        <v>59</v>
      </c>
      <c r="O68" s="93" t="s">
        <v>60</v>
      </c>
      <c r="P68" s="93" t="s">
        <v>60</v>
      </c>
      <c r="Q68" s="93" t="s">
        <v>60</v>
      </c>
      <c r="R68" s="91"/>
      <c r="S68" s="94" t="s">
        <v>61</v>
      </c>
      <c r="T68" s="94" t="s">
        <v>60</v>
      </c>
      <c r="U68" s="108"/>
      <c r="V68" s="108"/>
      <c r="W68" s="91"/>
      <c r="X68" s="91"/>
      <c r="Y68" s="91"/>
      <c r="Z68" s="91"/>
      <c r="AA68" s="91"/>
      <c r="AB68" s="91"/>
      <c r="AC68" s="70" t="s">
        <v>57</v>
      </c>
      <c r="AD68" s="70" t="s">
        <v>57</v>
      </c>
      <c r="AE68" s="70" t="s">
        <v>57</v>
      </c>
      <c r="AF68" s="95" t="s">
        <v>62</v>
      </c>
      <c r="AG68" s="70" t="s">
        <v>0</v>
      </c>
      <c r="AH68" s="70" t="s">
        <v>0</v>
      </c>
      <c r="AI68" s="70" t="s">
        <v>63</v>
      </c>
      <c r="AJ68" s="70" t="s">
        <v>64</v>
      </c>
      <c r="AK68" s="70"/>
      <c r="AL68" s="70"/>
      <c r="AM68" s="70" t="s">
        <v>65</v>
      </c>
      <c r="AN68" s="70" t="s">
        <v>66</v>
      </c>
      <c r="AO68" s="70" t="s">
        <v>65</v>
      </c>
      <c r="AP68" s="70" t="s">
        <v>67</v>
      </c>
      <c r="AQ68" s="70" t="s">
        <v>68</v>
      </c>
      <c r="AR68" s="70" t="s">
        <v>69</v>
      </c>
      <c r="AS68" s="70" t="s">
        <v>68</v>
      </c>
      <c r="AT68" s="70" t="s">
        <v>70</v>
      </c>
      <c r="AU68" s="70" t="s">
        <v>68</v>
      </c>
      <c r="AV68" s="67"/>
      <c r="AW68" s="68" t="s">
        <v>22</v>
      </c>
    </row>
    <row r="69" spans="1:49" ht="39">
      <c r="A69" s="1356"/>
      <c r="B69" s="1358"/>
      <c r="C69" s="126">
        <v>20</v>
      </c>
      <c r="D69" s="127" t="s">
        <v>137</v>
      </c>
      <c r="E69" s="128">
        <v>11</v>
      </c>
      <c r="F69" s="129" t="s">
        <v>53</v>
      </c>
      <c r="G69" s="130">
        <v>2</v>
      </c>
      <c r="H69" s="131" t="s">
        <v>138</v>
      </c>
      <c r="I69" s="131">
        <v>211</v>
      </c>
      <c r="J69" s="131" t="s">
        <v>53</v>
      </c>
      <c r="K69" s="131" t="s">
        <v>56</v>
      </c>
      <c r="L69" s="207" t="s">
        <v>57</v>
      </c>
      <c r="M69" s="131" t="s">
        <v>58</v>
      </c>
      <c r="N69" s="131" t="s">
        <v>59</v>
      </c>
      <c r="O69" s="93" t="s">
        <v>60</v>
      </c>
      <c r="P69" s="93" t="s">
        <v>60</v>
      </c>
      <c r="Q69" s="93" t="s">
        <v>60</v>
      </c>
      <c r="R69" s="91"/>
      <c r="S69" s="94" t="s">
        <v>61</v>
      </c>
      <c r="T69" s="94" t="s">
        <v>60</v>
      </c>
      <c r="U69" s="108"/>
      <c r="V69" s="108"/>
      <c r="W69" s="91"/>
      <c r="X69" s="91"/>
      <c r="Y69" s="91"/>
      <c r="Z69" s="91"/>
      <c r="AA69" s="91"/>
      <c r="AB69" s="91"/>
      <c r="AC69" s="70" t="s">
        <v>57</v>
      </c>
      <c r="AD69" s="70" t="s">
        <v>57</v>
      </c>
      <c r="AE69" s="70" t="s">
        <v>57</v>
      </c>
      <c r="AF69" s="95" t="s">
        <v>62</v>
      </c>
      <c r="AG69" s="70" t="s">
        <v>71</v>
      </c>
      <c r="AH69" s="96" t="s">
        <v>62</v>
      </c>
      <c r="AI69" s="70" t="s">
        <v>63</v>
      </c>
      <c r="AJ69" s="70" t="s">
        <v>64</v>
      </c>
      <c r="AK69" s="70"/>
      <c r="AL69" s="70"/>
      <c r="AM69" s="70" t="s">
        <v>65</v>
      </c>
      <c r="AN69" s="70" t="s">
        <v>71</v>
      </c>
      <c r="AO69" s="70" t="s">
        <v>65</v>
      </c>
      <c r="AP69" s="70" t="s">
        <v>71</v>
      </c>
      <c r="AQ69" s="70" t="s">
        <v>68</v>
      </c>
      <c r="AR69" s="70" t="s">
        <v>72</v>
      </c>
      <c r="AS69" s="70" t="s">
        <v>68</v>
      </c>
      <c r="AT69" s="70" t="s">
        <v>70</v>
      </c>
      <c r="AU69" s="70" t="s">
        <v>68</v>
      </c>
      <c r="AV69" s="67"/>
      <c r="AW69" s="68" t="s">
        <v>22</v>
      </c>
    </row>
    <row r="70" spans="1:49" ht="39">
      <c r="A70" s="70">
        <v>39</v>
      </c>
      <c r="B70" s="97">
        <v>40</v>
      </c>
      <c r="C70" s="126">
        <v>20</v>
      </c>
      <c r="D70" s="127" t="s">
        <v>137</v>
      </c>
      <c r="E70" s="128">
        <v>11</v>
      </c>
      <c r="F70" s="129" t="s">
        <v>53</v>
      </c>
      <c r="G70" s="130">
        <v>2</v>
      </c>
      <c r="H70" s="131" t="s">
        <v>138</v>
      </c>
      <c r="I70" s="131">
        <v>211</v>
      </c>
      <c r="J70" s="131" t="s">
        <v>53</v>
      </c>
      <c r="K70" s="131" t="s">
        <v>80</v>
      </c>
      <c r="L70" s="207" t="s">
        <v>57</v>
      </c>
      <c r="M70" s="131" t="s">
        <v>58</v>
      </c>
      <c r="N70" s="131" t="s">
        <v>59</v>
      </c>
      <c r="O70" s="93" t="s">
        <v>60</v>
      </c>
      <c r="P70" s="93" t="s">
        <v>60</v>
      </c>
      <c r="Q70" s="93" t="s">
        <v>60</v>
      </c>
      <c r="R70" s="91"/>
      <c r="S70" s="94" t="s">
        <v>61</v>
      </c>
      <c r="T70" s="94" t="s">
        <v>60</v>
      </c>
      <c r="U70" s="94" t="s">
        <v>60</v>
      </c>
      <c r="V70" s="94" t="s">
        <v>60</v>
      </c>
      <c r="W70" s="91"/>
      <c r="X70" s="91"/>
      <c r="Y70" s="91"/>
      <c r="Z70" s="91"/>
      <c r="AA70" s="91"/>
      <c r="AB70" s="91"/>
      <c r="AC70" s="95" t="s">
        <v>62</v>
      </c>
      <c r="AD70" s="95" t="s">
        <v>62</v>
      </c>
      <c r="AE70" s="95" t="s">
        <v>62</v>
      </c>
      <c r="AF70" s="95" t="s">
        <v>62</v>
      </c>
      <c r="AG70" s="96" t="s">
        <v>0</v>
      </c>
      <c r="AH70" s="70" t="s">
        <v>0</v>
      </c>
      <c r="AI70" s="70" t="s">
        <v>63</v>
      </c>
      <c r="AJ70" s="70" t="s">
        <v>64</v>
      </c>
      <c r="AK70" s="70"/>
      <c r="AL70" s="70"/>
      <c r="AM70" s="70" t="s">
        <v>62</v>
      </c>
      <c r="AN70" s="70" t="s">
        <v>62</v>
      </c>
      <c r="AO70" s="70" t="s">
        <v>62</v>
      </c>
      <c r="AP70" s="70" t="s">
        <v>62</v>
      </c>
      <c r="AQ70" s="70" t="s">
        <v>62</v>
      </c>
      <c r="AR70" s="70" t="s">
        <v>62</v>
      </c>
      <c r="AS70" s="70" t="s">
        <v>62</v>
      </c>
      <c r="AT70" s="70" t="s">
        <v>62</v>
      </c>
      <c r="AU70" s="70" t="s">
        <v>68</v>
      </c>
      <c r="AV70" s="67"/>
      <c r="AW70" s="68" t="s">
        <v>22</v>
      </c>
    </row>
    <row r="71" spans="1:49" ht="39">
      <c r="A71" s="1354">
        <v>40</v>
      </c>
      <c r="B71" s="1357">
        <v>41</v>
      </c>
      <c r="C71" s="126">
        <v>10</v>
      </c>
      <c r="D71" s="127" t="s">
        <v>140</v>
      </c>
      <c r="E71" s="128">
        <v>12</v>
      </c>
      <c r="F71" s="129" t="s">
        <v>82</v>
      </c>
      <c r="G71" s="130">
        <v>2</v>
      </c>
      <c r="H71" s="131" t="s">
        <v>138</v>
      </c>
      <c r="I71" s="131">
        <v>212</v>
      </c>
      <c r="J71" s="131" t="s">
        <v>82</v>
      </c>
      <c r="K71" s="131" t="s">
        <v>139</v>
      </c>
      <c r="L71" s="131" t="s">
        <v>84</v>
      </c>
      <c r="M71" s="131" t="s">
        <v>58</v>
      </c>
      <c r="N71" s="131" t="s">
        <v>85</v>
      </c>
      <c r="O71" s="93" t="s">
        <v>60</v>
      </c>
      <c r="P71" s="93" t="s">
        <v>60</v>
      </c>
      <c r="Q71" s="93" t="s">
        <v>60</v>
      </c>
      <c r="R71" s="91"/>
      <c r="S71" s="94" t="s">
        <v>61</v>
      </c>
      <c r="T71" s="94" t="s">
        <v>60</v>
      </c>
      <c r="U71" s="94" t="s">
        <v>60</v>
      </c>
      <c r="V71" s="94" t="s">
        <v>60</v>
      </c>
      <c r="W71" s="94" t="s">
        <v>60</v>
      </c>
      <c r="X71" s="91"/>
      <c r="Y71" s="91"/>
      <c r="Z71" s="91"/>
      <c r="AA71" s="91"/>
      <c r="AB71" s="91"/>
      <c r="AC71" s="95" t="s">
        <v>62</v>
      </c>
      <c r="AD71" s="95" t="s">
        <v>62</v>
      </c>
      <c r="AE71" s="95" t="s">
        <v>62</v>
      </c>
      <c r="AF71" s="95" t="s">
        <v>62</v>
      </c>
      <c r="AG71" s="96" t="s">
        <v>0</v>
      </c>
      <c r="AH71" s="70" t="s">
        <v>0</v>
      </c>
      <c r="AI71" s="70" t="s">
        <v>63</v>
      </c>
      <c r="AJ71" s="70" t="s">
        <v>64</v>
      </c>
      <c r="AK71" s="70"/>
      <c r="AL71" s="70"/>
      <c r="AM71" s="70" t="s">
        <v>62</v>
      </c>
      <c r="AN71" s="70" t="s">
        <v>62</v>
      </c>
      <c r="AO71" s="70" t="s">
        <v>62</v>
      </c>
      <c r="AP71" s="70" t="s">
        <v>62</v>
      </c>
      <c r="AQ71" s="70" t="s">
        <v>68</v>
      </c>
      <c r="AR71" s="70" t="s">
        <v>62</v>
      </c>
      <c r="AS71" s="70" t="s">
        <v>62</v>
      </c>
      <c r="AT71" s="70" t="s">
        <v>62</v>
      </c>
      <c r="AU71" s="70" t="s">
        <v>68</v>
      </c>
      <c r="AV71" s="67"/>
      <c r="AW71" s="68" t="s">
        <v>22</v>
      </c>
    </row>
    <row r="72" spans="1:49" ht="39">
      <c r="A72" s="1355"/>
      <c r="B72" s="1359"/>
      <c r="C72" s="126">
        <v>10</v>
      </c>
      <c r="D72" s="127" t="s">
        <v>140</v>
      </c>
      <c r="E72" s="128">
        <v>12</v>
      </c>
      <c r="F72" s="129" t="s">
        <v>82</v>
      </c>
      <c r="G72" s="130">
        <v>2</v>
      </c>
      <c r="H72" s="131" t="s">
        <v>138</v>
      </c>
      <c r="I72" s="131">
        <v>212</v>
      </c>
      <c r="J72" s="131" t="s">
        <v>82</v>
      </c>
      <c r="K72" s="131" t="s">
        <v>139</v>
      </c>
      <c r="L72" s="131" t="s">
        <v>84</v>
      </c>
      <c r="M72" s="131" t="s">
        <v>58</v>
      </c>
      <c r="N72" s="131" t="s">
        <v>85</v>
      </c>
      <c r="O72" s="93" t="s">
        <v>60</v>
      </c>
      <c r="P72" s="93" t="s">
        <v>60</v>
      </c>
      <c r="Q72" s="93" t="s">
        <v>60</v>
      </c>
      <c r="R72" s="91"/>
      <c r="S72" s="94" t="s">
        <v>61</v>
      </c>
      <c r="T72" s="94" t="s">
        <v>60</v>
      </c>
      <c r="U72" s="94" t="s">
        <v>60</v>
      </c>
      <c r="V72" s="94" t="s">
        <v>60</v>
      </c>
      <c r="W72" s="94" t="s">
        <v>60</v>
      </c>
      <c r="X72" s="91"/>
      <c r="Y72" s="91"/>
      <c r="Z72" s="91"/>
      <c r="AA72" s="91"/>
      <c r="AB72" s="91"/>
      <c r="AC72" s="95" t="s">
        <v>62</v>
      </c>
      <c r="AD72" s="95" t="s">
        <v>62</v>
      </c>
      <c r="AE72" s="95" t="s">
        <v>62</v>
      </c>
      <c r="AF72" s="95" t="s">
        <v>62</v>
      </c>
      <c r="AG72" s="96" t="s">
        <v>1</v>
      </c>
      <c r="AH72" s="70" t="s">
        <v>0</v>
      </c>
      <c r="AI72" s="70" t="s">
        <v>63</v>
      </c>
      <c r="AJ72" s="70" t="s">
        <v>64</v>
      </c>
      <c r="AK72" s="70"/>
      <c r="AL72" s="70"/>
      <c r="AM72" s="70" t="s">
        <v>62</v>
      </c>
      <c r="AN72" s="70" t="s">
        <v>62</v>
      </c>
      <c r="AO72" s="70" t="s">
        <v>62</v>
      </c>
      <c r="AP72" s="70" t="s">
        <v>62</v>
      </c>
      <c r="AQ72" s="70" t="s">
        <v>68</v>
      </c>
      <c r="AR72" s="70" t="s">
        <v>62</v>
      </c>
      <c r="AS72" s="70" t="s">
        <v>62</v>
      </c>
      <c r="AT72" s="70" t="s">
        <v>62</v>
      </c>
      <c r="AU72" s="70" t="s">
        <v>68</v>
      </c>
      <c r="AV72" s="67"/>
      <c r="AW72" s="68" t="s">
        <v>22</v>
      </c>
    </row>
    <row r="73" spans="1:49" ht="39">
      <c r="A73" s="1356"/>
      <c r="B73" s="1358"/>
      <c r="C73" s="126">
        <v>10</v>
      </c>
      <c r="D73" s="127" t="s">
        <v>140</v>
      </c>
      <c r="E73" s="128">
        <v>12</v>
      </c>
      <c r="F73" s="129" t="s">
        <v>82</v>
      </c>
      <c r="G73" s="130">
        <v>2</v>
      </c>
      <c r="H73" s="131" t="s">
        <v>138</v>
      </c>
      <c r="I73" s="131">
        <v>212</v>
      </c>
      <c r="J73" s="131" t="s">
        <v>82</v>
      </c>
      <c r="K73" s="131" t="s">
        <v>139</v>
      </c>
      <c r="L73" s="131" t="s">
        <v>84</v>
      </c>
      <c r="M73" s="131" t="s">
        <v>58</v>
      </c>
      <c r="N73" s="131" t="s">
        <v>85</v>
      </c>
      <c r="O73" s="93" t="s">
        <v>60</v>
      </c>
      <c r="P73" s="93" t="s">
        <v>60</v>
      </c>
      <c r="Q73" s="93" t="s">
        <v>60</v>
      </c>
      <c r="R73" s="91"/>
      <c r="S73" s="94" t="s">
        <v>61</v>
      </c>
      <c r="T73" s="94" t="s">
        <v>60</v>
      </c>
      <c r="U73" s="94" t="s">
        <v>60</v>
      </c>
      <c r="V73" s="94" t="s">
        <v>60</v>
      </c>
      <c r="W73" s="94" t="s">
        <v>60</v>
      </c>
      <c r="X73" s="91"/>
      <c r="Y73" s="91"/>
      <c r="Z73" s="91"/>
      <c r="AA73" s="91"/>
      <c r="AB73" s="91"/>
      <c r="AC73" s="95" t="s">
        <v>62</v>
      </c>
      <c r="AD73" s="95" t="s">
        <v>62</v>
      </c>
      <c r="AE73" s="95" t="s">
        <v>62</v>
      </c>
      <c r="AF73" s="95" t="s">
        <v>62</v>
      </c>
      <c r="AG73" s="96" t="s">
        <v>71</v>
      </c>
      <c r="AH73" s="70" t="s">
        <v>0</v>
      </c>
      <c r="AI73" s="70" t="s">
        <v>63</v>
      </c>
      <c r="AJ73" s="70" t="s">
        <v>64</v>
      </c>
      <c r="AK73" s="70"/>
      <c r="AL73" s="70"/>
      <c r="AM73" s="70" t="s">
        <v>62</v>
      </c>
      <c r="AN73" s="70" t="s">
        <v>62</v>
      </c>
      <c r="AO73" s="70" t="s">
        <v>62</v>
      </c>
      <c r="AP73" s="70" t="s">
        <v>62</v>
      </c>
      <c r="AQ73" s="70" t="s">
        <v>68</v>
      </c>
      <c r="AR73" s="70" t="s">
        <v>62</v>
      </c>
      <c r="AS73" s="70" t="s">
        <v>62</v>
      </c>
      <c r="AT73" s="70" t="s">
        <v>62</v>
      </c>
      <c r="AU73" s="70" t="s">
        <v>68</v>
      </c>
      <c r="AV73" s="67"/>
      <c r="AW73" s="68" t="s">
        <v>22</v>
      </c>
    </row>
    <row r="74" spans="1:49" ht="78">
      <c r="A74" s="1354">
        <v>41</v>
      </c>
      <c r="B74" s="1357">
        <v>42</v>
      </c>
      <c r="C74" s="126">
        <v>10</v>
      </c>
      <c r="D74" s="127" t="s">
        <v>140</v>
      </c>
      <c r="E74" s="128">
        <v>12</v>
      </c>
      <c r="F74" s="129" t="s">
        <v>82</v>
      </c>
      <c r="G74" s="130">
        <v>2</v>
      </c>
      <c r="H74" s="131" t="s">
        <v>138</v>
      </c>
      <c r="I74" s="131">
        <v>212</v>
      </c>
      <c r="J74" s="131" t="s">
        <v>82</v>
      </c>
      <c r="K74" s="131" t="s">
        <v>56</v>
      </c>
      <c r="L74" s="131" t="s">
        <v>84</v>
      </c>
      <c r="M74" s="131" t="s">
        <v>58</v>
      </c>
      <c r="N74" s="131" t="s">
        <v>85</v>
      </c>
      <c r="O74" s="93" t="s">
        <v>60</v>
      </c>
      <c r="P74" s="93" t="s">
        <v>60</v>
      </c>
      <c r="Q74" s="93" t="s">
        <v>60</v>
      </c>
      <c r="R74" s="91"/>
      <c r="S74" s="94" t="s">
        <v>61</v>
      </c>
      <c r="T74" s="94" t="s">
        <v>60</v>
      </c>
      <c r="U74" s="108"/>
      <c r="V74" s="108"/>
      <c r="W74" s="94" t="s">
        <v>60</v>
      </c>
      <c r="X74" s="103" t="s">
        <v>61</v>
      </c>
      <c r="Y74" s="91"/>
      <c r="Z74" s="91"/>
      <c r="AA74" s="91"/>
      <c r="AB74" s="91"/>
      <c r="AC74" s="70" t="s">
        <v>86</v>
      </c>
      <c r="AD74" s="70" t="s">
        <v>86</v>
      </c>
      <c r="AE74" s="70" t="s">
        <v>89</v>
      </c>
      <c r="AF74" s="95" t="s">
        <v>62</v>
      </c>
      <c r="AG74" s="70" t="s">
        <v>0</v>
      </c>
      <c r="AH74" s="70" t="s">
        <v>0</v>
      </c>
      <c r="AI74" s="70" t="s">
        <v>63</v>
      </c>
      <c r="AJ74" s="70" t="s">
        <v>64</v>
      </c>
      <c r="AK74" s="70"/>
      <c r="AL74" s="70"/>
      <c r="AM74" s="70" t="s">
        <v>65</v>
      </c>
      <c r="AN74" s="70" t="s">
        <v>66</v>
      </c>
      <c r="AO74" s="70" t="s">
        <v>65</v>
      </c>
      <c r="AP74" s="70" t="s">
        <v>67</v>
      </c>
      <c r="AQ74" s="70" t="s">
        <v>68</v>
      </c>
      <c r="AR74" s="70" t="s">
        <v>69</v>
      </c>
      <c r="AS74" s="70" t="s">
        <v>68</v>
      </c>
      <c r="AT74" s="70" t="s">
        <v>70</v>
      </c>
      <c r="AU74" s="70" t="s">
        <v>68</v>
      </c>
      <c r="AV74" s="67"/>
      <c r="AW74" s="68" t="s">
        <v>22</v>
      </c>
    </row>
    <row r="75" spans="1:49" ht="78">
      <c r="A75" s="1356"/>
      <c r="B75" s="1358"/>
      <c r="C75" s="126">
        <v>10</v>
      </c>
      <c r="D75" s="127" t="s">
        <v>140</v>
      </c>
      <c r="E75" s="128">
        <v>12</v>
      </c>
      <c r="F75" s="129" t="s">
        <v>82</v>
      </c>
      <c r="G75" s="130">
        <v>2</v>
      </c>
      <c r="H75" s="131" t="s">
        <v>138</v>
      </c>
      <c r="I75" s="131">
        <v>212</v>
      </c>
      <c r="J75" s="131" t="s">
        <v>82</v>
      </c>
      <c r="K75" s="131" t="s">
        <v>56</v>
      </c>
      <c r="L75" s="131" t="s">
        <v>84</v>
      </c>
      <c r="M75" s="131" t="s">
        <v>58</v>
      </c>
      <c r="N75" s="131" t="s">
        <v>85</v>
      </c>
      <c r="O75" s="93" t="s">
        <v>60</v>
      </c>
      <c r="P75" s="93" t="s">
        <v>60</v>
      </c>
      <c r="Q75" s="93" t="s">
        <v>60</v>
      </c>
      <c r="R75" s="91"/>
      <c r="S75" s="94" t="s">
        <v>61</v>
      </c>
      <c r="T75" s="94" t="s">
        <v>60</v>
      </c>
      <c r="U75" s="108"/>
      <c r="V75" s="108"/>
      <c r="W75" s="94" t="s">
        <v>60</v>
      </c>
      <c r="X75" s="103" t="s">
        <v>61</v>
      </c>
      <c r="Y75" s="91"/>
      <c r="Z75" s="91"/>
      <c r="AA75" s="91"/>
      <c r="AB75" s="91"/>
      <c r="AC75" s="70" t="s">
        <v>86</v>
      </c>
      <c r="AD75" s="70" t="s">
        <v>86</v>
      </c>
      <c r="AE75" s="70" t="s">
        <v>89</v>
      </c>
      <c r="AF75" s="95" t="s">
        <v>62</v>
      </c>
      <c r="AG75" s="70" t="s">
        <v>71</v>
      </c>
      <c r="AH75" s="96" t="s">
        <v>62</v>
      </c>
      <c r="AI75" s="70" t="s">
        <v>63</v>
      </c>
      <c r="AJ75" s="70" t="s">
        <v>64</v>
      </c>
      <c r="AK75" s="70"/>
      <c r="AL75" s="70"/>
      <c r="AM75" s="70" t="s">
        <v>65</v>
      </c>
      <c r="AN75" s="70" t="s">
        <v>71</v>
      </c>
      <c r="AO75" s="70" t="s">
        <v>65</v>
      </c>
      <c r="AP75" s="70" t="s">
        <v>71</v>
      </c>
      <c r="AQ75" s="70" t="s">
        <v>68</v>
      </c>
      <c r="AR75" s="70" t="s">
        <v>72</v>
      </c>
      <c r="AS75" s="70" t="s">
        <v>68</v>
      </c>
      <c r="AT75" s="70" t="s">
        <v>70</v>
      </c>
      <c r="AU75" s="70" t="s">
        <v>68</v>
      </c>
      <c r="AV75" s="67"/>
      <c r="AW75" s="68" t="s">
        <v>22</v>
      </c>
    </row>
    <row r="76" spans="1:49" ht="39">
      <c r="A76" s="70">
        <v>42</v>
      </c>
      <c r="B76" s="97">
        <v>43</v>
      </c>
      <c r="C76" s="126">
        <v>10</v>
      </c>
      <c r="D76" s="127" t="s">
        <v>140</v>
      </c>
      <c r="E76" s="128">
        <v>12</v>
      </c>
      <c r="F76" s="129" t="s">
        <v>82</v>
      </c>
      <c r="G76" s="130">
        <v>2</v>
      </c>
      <c r="H76" s="131" t="s">
        <v>138</v>
      </c>
      <c r="I76" s="131">
        <v>212</v>
      </c>
      <c r="J76" s="131" t="s">
        <v>82</v>
      </c>
      <c r="K76" s="131" t="s">
        <v>80</v>
      </c>
      <c r="L76" s="131" t="s">
        <v>84</v>
      </c>
      <c r="M76" s="131" t="s">
        <v>58</v>
      </c>
      <c r="N76" s="131" t="s">
        <v>85</v>
      </c>
      <c r="O76" s="93" t="s">
        <v>60</v>
      </c>
      <c r="P76" s="93" t="s">
        <v>60</v>
      </c>
      <c r="Q76" s="93" t="s">
        <v>60</v>
      </c>
      <c r="R76" s="91"/>
      <c r="S76" s="94" t="s">
        <v>61</v>
      </c>
      <c r="T76" s="94" t="s">
        <v>60</v>
      </c>
      <c r="U76" s="94" t="s">
        <v>60</v>
      </c>
      <c r="V76" s="94" t="s">
        <v>60</v>
      </c>
      <c r="W76" s="94" t="s">
        <v>60</v>
      </c>
      <c r="X76" s="91"/>
      <c r="Y76" s="91"/>
      <c r="Z76" s="91"/>
      <c r="AA76" s="91"/>
      <c r="AB76" s="91"/>
      <c r="AC76" s="95" t="s">
        <v>62</v>
      </c>
      <c r="AD76" s="95" t="s">
        <v>62</v>
      </c>
      <c r="AE76" s="95" t="s">
        <v>62</v>
      </c>
      <c r="AF76" s="95" t="s">
        <v>62</v>
      </c>
      <c r="AG76" s="96" t="s">
        <v>0</v>
      </c>
      <c r="AH76" s="70" t="s">
        <v>0</v>
      </c>
      <c r="AI76" s="70" t="s">
        <v>63</v>
      </c>
      <c r="AJ76" s="70" t="s">
        <v>64</v>
      </c>
      <c r="AK76" s="70"/>
      <c r="AL76" s="70"/>
      <c r="AM76" s="70" t="s">
        <v>62</v>
      </c>
      <c r="AN76" s="70" t="s">
        <v>62</v>
      </c>
      <c r="AO76" s="70" t="s">
        <v>62</v>
      </c>
      <c r="AP76" s="70" t="s">
        <v>62</v>
      </c>
      <c r="AQ76" s="70" t="s">
        <v>62</v>
      </c>
      <c r="AR76" s="70" t="s">
        <v>62</v>
      </c>
      <c r="AS76" s="70" t="s">
        <v>62</v>
      </c>
      <c r="AT76" s="70" t="s">
        <v>62</v>
      </c>
      <c r="AU76" s="70" t="s">
        <v>68</v>
      </c>
      <c r="AV76" s="67"/>
      <c r="AW76" s="68" t="s">
        <v>22</v>
      </c>
    </row>
    <row r="77" spans="1:49" ht="39">
      <c r="A77" s="1354">
        <v>43</v>
      </c>
      <c r="B77" s="1357">
        <v>44</v>
      </c>
      <c r="C77" s="126">
        <v>10</v>
      </c>
      <c r="D77" s="127" t="s">
        <v>140</v>
      </c>
      <c r="E77" s="128">
        <v>13</v>
      </c>
      <c r="F77" s="129" t="s">
        <v>87</v>
      </c>
      <c r="G77" s="130">
        <v>2</v>
      </c>
      <c r="H77" s="131" t="s">
        <v>138</v>
      </c>
      <c r="I77" s="131">
        <v>213</v>
      </c>
      <c r="J77" s="131" t="s">
        <v>87</v>
      </c>
      <c r="K77" s="131" t="s">
        <v>139</v>
      </c>
      <c r="L77" s="131" t="s">
        <v>84</v>
      </c>
      <c r="M77" s="131" t="s">
        <v>58</v>
      </c>
      <c r="N77" s="131" t="s">
        <v>85</v>
      </c>
      <c r="O77" s="93" t="s">
        <v>60</v>
      </c>
      <c r="P77" s="93" t="s">
        <v>60</v>
      </c>
      <c r="Q77" s="93" t="s">
        <v>60</v>
      </c>
      <c r="R77" s="91"/>
      <c r="S77" s="94" t="s">
        <v>61</v>
      </c>
      <c r="T77" s="94" t="s">
        <v>60</v>
      </c>
      <c r="U77" s="94" t="s">
        <v>60</v>
      </c>
      <c r="V77" s="94" t="s">
        <v>60</v>
      </c>
      <c r="W77" s="94" t="s">
        <v>60</v>
      </c>
      <c r="X77" s="91"/>
      <c r="Y77" s="91"/>
      <c r="Z77" s="91"/>
      <c r="AA77" s="91"/>
      <c r="AB77" s="91"/>
      <c r="AC77" s="95" t="s">
        <v>62</v>
      </c>
      <c r="AD77" s="95" t="s">
        <v>62</v>
      </c>
      <c r="AE77" s="95" t="s">
        <v>62</v>
      </c>
      <c r="AF77" s="95" t="s">
        <v>62</v>
      </c>
      <c r="AG77" s="96" t="s">
        <v>0</v>
      </c>
      <c r="AH77" s="70" t="s">
        <v>0</v>
      </c>
      <c r="AI77" s="70" t="s">
        <v>63</v>
      </c>
      <c r="AJ77" s="70" t="s">
        <v>64</v>
      </c>
      <c r="AK77" s="70"/>
      <c r="AL77" s="70"/>
      <c r="AM77" s="70" t="s">
        <v>62</v>
      </c>
      <c r="AN77" s="70" t="s">
        <v>62</v>
      </c>
      <c r="AO77" s="70" t="s">
        <v>62</v>
      </c>
      <c r="AP77" s="70" t="s">
        <v>62</v>
      </c>
      <c r="AQ77" s="70" t="s">
        <v>68</v>
      </c>
      <c r="AR77" s="70" t="s">
        <v>62</v>
      </c>
      <c r="AS77" s="70" t="s">
        <v>62</v>
      </c>
      <c r="AT77" s="70" t="s">
        <v>62</v>
      </c>
      <c r="AU77" s="70" t="s">
        <v>68</v>
      </c>
      <c r="AV77" s="67"/>
      <c r="AW77" s="68" t="s">
        <v>22</v>
      </c>
    </row>
    <row r="78" spans="1:49" ht="39">
      <c r="A78" s="1355"/>
      <c r="B78" s="1359"/>
      <c r="C78" s="126">
        <v>10</v>
      </c>
      <c r="D78" s="127" t="s">
        <v>140</v>
      </c>
      <c r="E78" s="128">
        <v>13</v>
      </c>
      <c r="F78" s="129" t="s">
        <v>87</v>
      </c>
      <c r="G78" s="130">
        <v>2</v>
      </c>
      <c r="H78" s="131" t="s">
        <v>138</v>
      </c>
      <c r="I78" s="131">
        <v>213</v>
      </c>
      <c r="J78" s="131" t="s">
        <v>87</v>
      </c>
      <c r="K78" s="131" t="s">
        <v>139</v>
      </c>
      <c r="L78" s="131" t="s">
        <v>84</v>
      </c>
      <c r="M78" s="131" t="s">
        <v>58</v>
      </c>
      <c r="N78" s="131" t="s">
        <v>85</v>
      </c>
      <c r="O78" s="93" t="s">
        <v>60</v>
      </c>
      <c r="P78" s="93" t="s">
        <v>60</v>
      </c>
      <c r="Q78" s="93" t="s">
        <v>60</v>
      </c>
      <c r="R78" s="91"/>
      <c r="S78" s="94" t="s">
        <v>61</v>
      </c>
      <c r="T78" s="94" t="s">
        <v>60</v>
      </c>
      <c r="U78" s="94" t="s">
        <v>60</v>
      </c>
      <c r="V78" s="94" t="s">
        <v>60</v>
      </c>
      <c r="W78" s="94" t="s">
        <v>60</v>
      </c>
      <c r="X78" s="91"/>
      <c r="Y78" s="91"/>
      <c r="Z78" s="91"/>
      <c r="AA78" s="91"/>
      <c r="AB78" s="91"/>
      <c r="AC78" s="95" t="s">
        <v>62</v>
      </c>
      <c r="AD78" s="95" t="s">
        <v>62</v>
      </c>
      <c r="AE78" s="95" t="s">
        <v>62</v>
      </c>
      <c r="AF78" s="95" t="s">
        <v>62</v>
      </c>
      <c r="AG78" s="96" t="s">
        <v>1</v>
      </c>
      <c r="AH78" s="70" t="s">
        <v>0</v>
      </c>
      <c r="AI78" s="70" t="s">
        <v>63</v>
      </c>
      <c r="AJ78" s="70" t="s">
        <v>64</v>
      </c>
      <c r="AK78" s="70"/>
      <c r="AL78" s="70"/>
      <c r="AM78" s="70" t="s">
        <v>62</v>
      </c>
      <c r="AN78" s="70" t="s">
        <v>62</v>
      </c>
      <c r="AO78" s="70" t="s">
        <v>62</v>
      </c>
      <c r="AP78" s="70" t="s">
        <v>62</v>
      </c>
      <c r="AQ78" s="70" t="s">
        <v>68</v>
      </c>
      <c r="AR78" s="70" t="s">
        <v>62</v>
      </c>
      <c r="AS78" s="70" t="s">
        <v>62</v>
      </c>
      <c r="AT78" s="70" t="s">
        <v>62</v>
      </c>
      <c r="AU78" s="70" t="s">
        <v>68</v>
      </c>
      <c r="AV78" s="67"/>
      <c r="AW78" s="68" t="s">
        <v>22</v>
      </c>
    </row>
    <row r="79" spans="1:49" ht="39">
      <c r="A79" s="1356"/>
      <c r="B79" s="1358"/>
      <c r="C79" s="126">
        <v>10</v>
      </c>
      <c r="D79" s="127" t="s">
        <v>140</v>
      </c>
      <c r="E79" s="128">
        <v>13</v>
      </c>
      <c r="F79" s="129" t="s">
        <v>87</v>
      </c>
      <c r="G79" s="130">
        <v>2</v>
      </c>
      <c r="H79" s="131" t="s">
        <v>138</v>
      </c>
      <c r="I79" s="131">
        <v>213</v>
      </c>
      <c r="J79" s="131" t="s">
        <v>87</v>
      </c>
      <c r="K79" s="131" t="s">
        <v>139</v>
      </c>
      <c r="L79" s="131" t="s">
        <v>84</v>
      </c>
      <c r="M79" s="131" t="s">
        <v>58</v>
      </c>
      <c r="N79" s="131" t="s">
        <v>85</v>
      </c>
      <c r="O79" s="93" t="s">
        <v>60</v>
      </c>
      <c r="P79" s="93" t="s">
        <v>60</v>
      </c>
      <c r="Q79" s="93" t="s">
        <v>60</v>
      </c>
      <c r="R79" s="91"/>
      <c r="S79" s="94" t="s">
        <v>61</v>
      </c>
      <c r="T79" s="94" t="s">
        <v>60</v>
      </c>
      <c r="U79" s="94" t="s">
        <v>60</v>
      </c>
      <c r="V79" s="94" t="s">
        <v>60</v>
      </c>
      <c r="W79" s="94" t="s">
        <v>60</v>
      </c>
      <c r="X79" s="91"/>
      <c r="Y79" s="91"/>
      <c r="Z79" s="91"/>
      <c r="AA79" s="91"/>
      <c r="AB79" s="91"/>
      <c r="AC79" s="95" t="s">
        <v>62</v>
      </c>
      <c r="AD79" s="95" t="s">
        <v>62</v>
      </c>
      <c r="AE79" s="95" t="s">
        <v>62</v>
      </c>
      <c r="AF79" s="95" t="s">
        <v>62</v>
      </c>
      <c r="AG79" s="96" t="s">
        <v>71</v>
      </c>
      <c r="AH79" s="70" t="s">
        <v>0</v>
      </c>
      <c r="AI79" s="70" t="s">
        <v>63</v>
      </c>
      <c r="AJ79" s="70" t="s">
        <v>64</v>
      </c>
      <c r="AK79" s="70"/>
      <c r="AL79" s="70"/>
      <c r="AM79" s="70" t="s">
        <v>62</v>
      </c>
      <c r="AN79" s="70" t="s">
        <v>62</v>
      </c>
      <c r="AO79" s="70" t="s">
        <v>62</v>
      </c>
      <c r="AP79" s="70" t="s">
        <v>62</v>
      </c>
      <c r="AQ79" s="70" t="s">
        <v>68</v>
      </c>
      <c r="AR79" s="70" t="s">
        <v>62</v>
      </c>
      <c r="AS79" s="70" t="s">
        <v>62</v>
      </c>
      <c r="AT79" s="70" t="s">
        <v>62</v>
      </c>
      <c r="AU79" s="70" t="s">
        <v>68</v>
      </c>
      <c r="AV79" s="67"/>
      <c r="AW79" s="68" t="s">
        <v>22</v>
      </c>
    </row>
    <row r="80" spans="1:49" ht="78">
      <c r="A80" s="1354">
        <v>44</v>
      </c>
      <c r="B80" s="1357">
        <v>45</v>
      </c>
      <c r="C80" s="126">
        <v>10</v>
      </c>
      <c r="D80" s="127" t="s">
        <v>140</v>
      </c>
      <c r="E80" s="128">
        <v>13</v>
      </c>
      <c r="F80" s="129" t="s">
        <v>87</v>
      </c>
      <c r="G80" s="130">
        <v>2</v>
      </c>
      <c r="H80" s="131" t="s">
        <v>138</v>
      </c>
      <c r="I80" s="131">
        <v>213</v>
      </c>
      <c r="J80" s="131" t="s">
        <v>87</v>
      </c>
      <c r="K80" s="131" t="s">
        <v>56</v>
      </c>
      <c r="L80" s="131" t="s">
        <v>84</v>
      </c>
      <c r="M80" s="131" t="s">
        <v>58</v>
      </c>
      <c r="N80" s="131" t="s">
        <v>85</v>
      </c>
      <c r="O80" s="93" t="s">
        <v>60</v>
      </c>
      <c r="P80" s="93" t="s">
        <v>60</v>
      </c>
      <c r="Q80" s="93" t="s">
        <v>60</v>
      </c>
      <c r="R80" s="91"/>
      <c r="S80" s="94" t="s">
        <v>61</v>
      </c>
      <c r="T80" s="94" t="s">
        <v>60</v>
      </c>
      <c r="U80" s="108"/>
      <c r="V80" s="108"/>
      <c r="W80" s="94" t="s">
        <v>60</v>
      </c>
      <c r="X80" s="103" t="s">
        <v>61</v>
      </c>
      <c r="Y80" s="91"/>
      <c r="Z80" s="91"/>
      <c r="AA80" s="91"/>
      <c r="AB80" s="91"/>
      <c r="AC80" s="70" t="s">
        <v>86</v>
      </c>
      <c r="AD80" s="70" t="s">
        <v>86</v>
      </c>
      <c r="AE80" s="70" t="s">
        <v>89</v>
      </c>
      <c r="AF80" s="95" t="s">
        <v>62</v>
      </c>
      <c r="AG80" s="70" t="s">
        <v>0</v>
      </c>
      <c r="AH80" s="70" t="s">
        <v>0</v>
      </c>
      <c r="AI80" s="70" t="s">
        <v>63</v>
      </c>
      <c r="AJ80" s="70" t="s">
        <v>64</v>
      </c>
      <c r="AK80" s="70"/>
      <c r="AL80" s="70"/>
      <c r="AM80" s="70" t="s">
        <v>65</v>
      </c>
      <c r="AN80" s="70" t="s">
        <v>66</v>
      </c>
      <c r="AO80" s="70" t="s">
        <v>65</v>
      </c>
      <c r="AP80" s="70" t="s">
        <v>67</v>
      </c>
      <c r="AQ80" s="70" t="s">
        <v>68</v>
      </c>
      <c r="AR80" s="70" t="s">
        <v>69</v>
      </c>
      <c r="AS80" s="70" t="s">
        <v>68</v>
      </c>
      <c r="AT80" s="70" t="s">
        <v>70</v>
      </c>
      <c r="AU80" s="70" t="s">
        <v>68</v>
      </c>
      <c r="AV80" s="67"/>
      <c r="AW80" s="68" t="s">
        <v>22</v>
      </c>
    </row>
    <row r="81" spans="1:49" ht="78">
      <c r="A81" s="1356"/>
      <c r="B81" s="1358"/>
      <c r="C81" s="126">
        <v>10</v>
      </c>
      <c r="D81" s="127" t="s">
        <v>140</v>
      </c>
      <c r="E81" s="128">
        <v>13</v>
      </c>
      <c r="F81" s="129" t="s">
        <v>87</v>
      </c>
      <c r="G81" s="130">
        <v>2</v>
      </c>
      <c r="H81" s="131" t="s">
        <v>138</v>
      </c>
      <c r="I81" s="131">
        <v>213</v>
      </c>
      <c r="J81" s="131" t="s">
        <v>87</v>
      </c>
      <c r="K81" s="131" t="s">
        <v>56</v>
      </c>
      <c r="L81" s="131" t="s">
        <v>84</v>
      </c>
      <c r="M81" s="131" t="s">
        <v>58</v>
      </c>
      <c r="N81" s="131" t="s">
        <v>85</v>
      </c>
      <c r="O81" s="93" t="s">
        <v>60</v>
      </c>
      <c r="P81" s="93" t="s">
        <v>60</v>
      </c>
      <c r="Q81" s="93" t="s">
        <v>60</v>
      </c>
      <c r="R81" s="91"/>
      <c r="S81" s="94" t="s">
        <v>61</v>
      </c>
      <c r="T81" s="94" t="s">
        <v>60</v>
      </c>
      <c r="U81" s="108"/>
      <c r="V81" s="108"/>
      <c r="W81" s="94" t="s">
        <v>60</v>
      </c>
      <c r="X81" s="103" t="s">
        <v>61</v>
      </c>
      <c r="Y81" s="91"/>
      <c r="Z81" s="91"/>
      <c r="AA81" s="91"/>
      <c r="AB81" s="91"/>
      <c r="AC81" s="70" t="s">
        <v>86</v>
      </c>
      <c r="AD81" s="70" t="s">
        <v>86</v>
      </c>
      <c r="AE81" s="70" t="s">
        <v>89</v>
      </c>
      <c r="AF81" s="95" t="s">
        <v>62</v>
      </c>
      <c r="AG81" s="70" t="s">
        <v>71</v>
      </c>
      <c r="AH81" s="96" t="s">
        <v>62</v>
      </c>
      <c r="AI81" s="70" t="s">
        <v>63</v>
      </c>
      <c r="AJ81" s="70" t="s">
        <v>64</v>
      </c>
      <c r="AK81" s="70"/>
      <c r="AL81" s="70"/>
      <c r="AM81" s="70" t="s">
        <v>65</v>
      </c>
      <c r="AN81" s="70" t="s">
        <v>71</v>
      </c>
      <c r="AO81" s="70" t="s">
        <v>65</v>
      </c>
      <c r="AP81" s="70" t="s">
        <v>71</v>
      </c>
      <c r="AQ81" s="70" t="s">
        <v>68</v>
      </c>
      <c r="AR81" s="70" t="s">
        <v>72</v>
      </c>
      <c r="AS81" s="70" t="s">
        <v>68</v>
      </c>
      <c r="AT81" s="70" t="s">
        <v>70</v>
      </c>
      <c r="AU81" s="70" t="s">
        <v>68</v>
      </c>
      <c r="AV81" s="67"/>
      <c r="AW81" s="68" t="s">
        <v>22</v>
      </c>
    </row>
    <row r="82" spans="1:49" ht="39">
      <c r="A82" s="70">
        <v>45</v>
      </c>
      <c r="B82" s="97">
        <v>46</v>
      </c>
      <c r="C82" s="126">
        <v>10</v>
      </c>
      <c r="D82" s="127" t="s">
        <v>140</v>
      </c>
      <c r="E82" s="128">
        <v>13</v>
      </c>
      <c r="F82" s="129" t="s">
        <v>87</v>
      </c>
      <c r="G82" s="130">
        <v>2</v>
      </c>
      <c r="H82" s="131" t="s">
        <v>138</v>
      </c>
      <c r="I82" s="131">
        <v>213</v>
      </c>
      <c r="J82" s="131" t="s">
        <v>87</v>
      </c>
      <c r="K82" s="131" t="s">
        <v>80</v>
      </c>
      <c r="L82" s="131" t="s">
        <v>84</v>
      </c>
      <c r="M82" s="131" t="s">
        <v>58</v>
      </c>
      <c r="N82" s="131" t="s">
        <v>85</v>
      </c>
      <c r="O82" s="93" t="s">
        <v>60</v>
      </c>
      <c r="P82" s="93" t="s">
        <v>60</v>
      </c>
      <c r="Q82" s="93" t="s">
        <v>60</v>
      </c>
      <c r="R82" s="91"/>
      <c r="S82" s="94" t="s">
        <v>61</v>
      </c>
      <c r="T82" s="94" t="s">
        <v>60</v>
      </c>
      <c r="U82" s="94" t="s">
        <v>60</v>
      </c>
      <c r="V82" s="94" t="s">
        <v>60</v>
      </c>
      <c r="W82" s="94" t="s">
        <v>60</v>
      </c>
      <c r="X82" s="91"/>
      <c r="Y82" s="91"/>
      <c r="Z82" s="91"/>
      <c r="AA82" s="91"/>
      <c r="AB82" s="91"/>
      <c r="AC82" s="95" t="s">
        <v>62</v>
      </c>
      <c r="AD82" s="95" t="s">
        <v>62</v>
      </c>
      <c r="AE82" s="95" t="s">
        <v>62</v>
      </c>
      <c r="AF82" s="95" t="s">
        <v>62</v>
      </c>
      <c r="AG82" s="96" t="s">
        <v>0</v>
      </c>
      <c r="AH82" s="70" t="s">
        <v>0</v>
      </c>
      <c r="AI82" s="70" t="s">
        <v>63</v>
      </c>
      <c r="AJ82" s="70" t="s">
        <v>64</v>
      </c>
      <c r="AK82" s="70"/>
      <c r="AL82" s="70"/>
      <c r="AM82" s="70" t="s">
        <v>62</v>
      </c>
      <c r="AN82" s="70" t="s">
        <v>62</v>
      </c>
      <c r="AO82" s="70" t="s">
        <v>62</v>
      </c>
      <c r="AP82" s="70" t="s">
        <v>62</v>
      </c>
      <c r="AQ82" s="70" t="s">
        <v>62</v>
      </c>
      <c r="AR82" s="70" t="s">
        <v>62</v>
      </c>
      <c r="AS82" s="70" t="s">
        <v>62</v>
      </c>
      <c r="AT82" s="70" t="s">
        <v>62</v>
      </c>
      <c r="AU82" s="70" t="s">
        <v>68</v>
      </c>
      <c r="AV82" s="67"/>
      <c r="AW82" s="68" t="s">
        <v>22</v>
      </c>
    </row>
    <row r="83" spans="1:49" ht="39">
      <c r="A83" s="1354">
        <v>46</v>
      </c>
      <c r="B83" s="1357">
        <v>47</v>
      </c>
      <c r="C83" s="126">
        <v>10</v>
      </c>
      <c r="D83" s="127" t="s">
        <v>140</v>
      </c>
      <c r="E83" s="128">
        <v>21</v>
      </c>
      <c r="F83" s="129" t="s">
        <v>90</v>
      </c>
      <c r="G83" s="132">
        <v>2</v>
      </c>
      <c r="H83" s="133" t="s">
        <v>138</v>
      </c>
      <c r="I83" s="131">
        <v>221</v>
      </c>
      <c r="J83" s="133" t="s">
        <v>90</v>
      </c>
      <c r="K83" s="131" t="s">
        <v>139</v>
      </c>
      <c r="L83" s="131" t="s">
        <v>84</v>
      </c>
      <c r="M83" s="131" t="s">
        <v>58</v>
      </c>
      <c r="N83" s="131" t="s">
        <v>85</v>
      </c>
      <c r="O83" s="93" t="s">
        <v>60</v>
      </c>
      <c r="P83" s="93" t="s">
        <v>60</v>
      </c>
      <c r="Q83" s="93" t="s">
        <v>60</v>
      </c>
      <c r="R83" s="91"/>
      <c r="S83" s="94" t="s">
        <v>61</v>
      </c>
      <c r="T83" s="94" t="s">
        <v>60</v>
      </c>
      <c r="U83" s="94" t="s">
        <v>60</v>
      </c>
      <c r="V83" s="94" t="s">
        <v>60</v>
      </c>
      <c r="W83" s="94" t="s">
        <v>60</v>
      </c>
      <c r="X83" s="91"/>
      <c r="Y83" s="91"/>
      <c r="Z83" s="91"/>
      <c r="AA83" s="91"/>
      <c r="AB83" s="91"/>
      <c r="AC83" s="95" t="s">
        <v>62</v>
      </c>
      <c r="AD83" s="95" t="s">
        <v>62</v>
      </c>
      <c r="AE83" s="95" t="s">
        <v>62</v>
      </c>
      <c r="AF83" s="95" t="s">
        <v>62</v>
      </c>
      <c r="AG83" s="96" t="s">
        <v>0</v>
      </c>
      <c r="AH83" s="70" t="s">
        <v>0</v>
      </c>
      <c r="AI83" s="70" t="s">
        <v>63</v>
      </c>
      <c r="AJ83" s="70" t="s">
        <v>64</v>
      </c>
      <c r="AK83" s="70"/>
      <c r="AL83" s="70"/>
      <c r="AM83" s="70" t="s">
        <v>62</v>
      </c>
      <c r="AN83" s="70" t="s">
        <v>62</v>
      </c>
      <c r="AO83" s="70" t="s">
        <v>62</v>
      </c>
      <c r="AP83" s="70" t="s">
        <v>62</v>
      </c>
      <c r="AQ83" s="70" t="s">
        <v>68</v>
      </c>
      <c r="AR83" s="70" t="s">
        <v>62</v>
      </c>
      <c r="AS83" s="70" t="s">
        <v>62</v>
      </c>
      <c r="AT83" s="70" t="s">
        <v>62</v>
      </c>
      <c r="AU83" s="70" t="s">
        <v>68</v>
      </c>
      <c r="AV83" s="67"/>
      <c r="AW83" s="68" t="s">
        <v>22</v>
      </c>
    </row>
    <row r="84" spans="1:49" ht="39">
      <c r="A84" s="1355"/>
      <c r="B84" s="1359"/>
      <c r="C84" s="126">
        <v>10</v>
      </c>
      <c r="D84" s="127" t="s">
        <v>140</v>
      </c>
      <c r="E84" s="128">
        <v>21</v>
      </c>
      <c r="F84" s="129" t="s">
        <v>90</v>
      </c>
      <c r="G84" s="132">
        <v>2</v>
      </c>
      <c r="H84" s="133" t="s">
        <v>138</v>
      </c>
      <c r="I84" s="131">
        <v>221</v>
      </c>
      <c r="J84" s="133" t="s">
        <v>90</v>
      </c>
      <c r="K84" s="131" t="s">
        <v>139</v>
      </c>
      <c r="L84" s="131" t="s">
        <v>84</v>
      </c>
      <c r="M84" s="131" t="s">
        <v>58</v>
      </c>
      <c r="N84" s="131" t="s">
        <v>85</v>
      </c>
      <c r="O84" s="93" t="s">
        <v>60</v>
      </c>
      <c r="P84" s="93" t="s">
        <v>60</v>
      </c>
      <c r="Q84" s="93" t="s">
        <v>60</v>
      </c>
      <c r="R84" s="91"/>
      <c r="S84" s="94" t="s">
        <v>61</v>
      </c>
      <c r="T84" s="94" t="s">
        <v>60</v>
      </c>
      <c r="U84" s="94" t="s">
        <v>60</v>
      </c>
      <c r="V84" s="94" t="s">
        <v>60</v>
      </c>
      <c r="W84" s="94" t="s">
        <v>60</v>
      </c>
      <c r="X84" s="91"/>
      <c r="Y84" s="91"/>
      <c r="Z84" s="91"/>
      <c r="AA84" s="91"/>
      <c r="AB84" s="91"/>
      <c r="AC84" s="95" t="s">
        <v>62</v>
      </c>
      <c r="AD84" s="95" t="s">
        <v>62</v>
      </c>
      <c r="AE84" s="95" t="s">
        <v>62</v>
      </c>
      <c r="AF84" s="95" t="s">
        <v>62</v>
      </c>
      <c r="AG84" s="96" t="s">
        <v>1</v>
      </c>
      <c r="AH84" s="70" t="s">
        <v>0</v>
      </c>
      <c r="AI84" s="70" t="s">
        <v>63</v>
      </c>
      <c r="AJ84" s="70" t="s">
        <v>64</v>
      </c>
      <c r="AK84" s="70"/>
      <c r="AL84" s="70"/>
      <c r="AM84" s="70" t="s">
        <v>62</v>
      </c>
      <c r="AN84" s="70" t="s">
        <v>62</v>
      </c>
      <c r="AO84" s="70" t="s">
        <v>62</v>
      </c>
      <c r="AP84" s="70" t="s">
        <v>62</v>
      </c>
      <c r="AQ84" s="70" t="s">
        <v>68</v>
      </c>
      <c r="AR84" s="70" t="s">
        <v>62</v>
      </c>
      <c r="AS84" s="70" t="s">
        <v>62</v>
      </c>
      <c r="AT84" s="70" t="s">
        <v>62</v>
      </c>
      <c r="AU84" s="70" t="s">
        <v>68</v>
      </c>
      <c r="AV84" s="67"/>
      <c r="AW84" s="68" t="s">
        <v>22</v>
      </c>
    </row>
    <row r="85" spans="1:49" ht="39">
      <c r="A85" s="1356"/>
      <c r="B85" s="1358"/>
      <c r="C85" s="126">
        <v>10</v>
      </c>
      <c r="D85" s="127" t="s">
        <v>140</v>
      </c>
      <c r="E85" s="128">
        <v>21</v>
      </c>
      <c r="F85" s="129" t="s">
        <v>90</v>
      </c>
      <c r="G85" s="132">
        <v>2</v>
      </c>
      <c r="H85" s="133" t="s">
        <v>138</v>
      </c>
      <c r="I85" s="131">
        <v>221</v>
      </c>
      <c r="J85" s="133" t="s">
        <v>90</v>
      </c>
      <c r="K85" s="131" t="s">
        <v>139</v>
      </c>
      <c r="L85" s="131" t="s">
        <v>84</v>
      </c>
      <c r="M85" s="131" t="s">
        <v>58</v>
      </c>
      <c r="N85" s="131" t="s">
        <v>85</v>
      </c>
      <c r="O85" s="93" t="s">
        <v>60</v>
      </c>
      <c r="P85" s="93" t="s">
        <v>60</v>
      </c>
      <c r="Q85" s="93" t="s">
        <v>60</v>
      </c>
      <c r="R85" s="91"/>
      <c r="S85" s="94" t="s">
        <v>61</v>
      </c>
      <c r="T85" s="94" t="s">
        <v>60</v>
      </c>
      <c r="U85" s="94" t="s">
        <v>60</v>
      </c>
      <c r="V85" s="94" t="s">
        <v>60</v>
      </c>
      <c r="W85" s="94" t="s">
        <v>60</v>
      </c>
      <c r="X85" s="91"/>
      <c r="Y85" s="91"/>
      <c r="Z85" s="91"/>
      <c r="AA85" s="91"/>
      <c r="AB85" s="91"/>
      <c r="AC85" s="95" t="s">
        <v>62</v>
      </c>
      <c r="AD85" s="95" t="s">
        <v>62</v>
      </c>
      <c r="AE85" s="95" t="s">
        <v>62</v>
      </c>
      <c r="AF85" s="95" t="s">
        <v>62</v>
      </c>
      <c r="AG85" s="96" t="s">
        <v>71</v>
      </c>
      <c r="AH85" s="70" t="s">
        <v>0</v>
      </c>
      <c r="AI85" s="70" t="s">
        <v>63</v>
      </c>
      <c r="AJ85" s="70" t="s">
        <v>64</v>
      </c>
      <c r="AK85" s="70"/>
      <c r="AL85" s="70"/>
      <c r="AM85" s="70" t="s">
        <v>62</v>
      </c>
      <c r="AN85" s="70" t="s">
        <v>62</v>
      </c>
      <c r="AO85" s="70" t="s">
        <v>62</v>
      </c>
      <c r="AP85" s="70" t="s">
        <v>62</v>
      </c>
      <c r="AQ85" s="70" t="s">
        <v>68</v>
      </c>
      <c r="AR85" s="70" t="s">
        <v>62</v>
      </c>
      <c r="AS85" s="70" t="s">
        <v>62</v>
      </c>
      <c r="AT85" s="70" t="s">
        <v>62</v>
      </c>
      <c r="AU85" s="70" t="s">
        <v>68</v>
      </c>
      <c r="AV85" s="67"/>
      <c r="AW85" s="68" t="s">
        <v>22</v>
      </c>
    </row>
    <row r="86" spans="1:49" ht="78">
      <c r="A86" s="1354">
        <v>47</v>
      </c>
      <c r="B86" s="1357">
        <v>48</v>
      </c>
      <c r="C86" s="126">
        <v>10</v>
      </c>
      <c r="D86" s="127" t="s">
        <v>140</v>
      </c>
      <c r="E86" s="128">
        <v>21</v>
      </c>
      <c r="F86" s="129" t="s">
        <v>90</v>
      </c>
      <c r="G86" s="132">
        <v>2</v>
      </c>
      <c r="H86" s="133" t="s">
        <v>138</v>
      </c>
      <c r="I86" s="131">
        <v>221</v>
      </c>
      <c r="J86" s="133" t="s">
        <v>90</v>
      </c>
      <c r="K86" s="131" t="s">
        <v>56</v>
      </c>
      <c r="L86" s="131" t="s">
        <v>84</v>
      </c>
      <c r="M86" s="131" t="s">
        <v>58</v>
      </c>
      <c r="N86" s="131" t="s">
        <v>85</v>
      </c>
      <c r="O86" s="93" t="s">
        <v>60</v>
      </c>
      <c r="P86" s="93" t="s">
        <v>60</v>
      </c>
      <c r="Q86" s="93" t="s">
        <v>60</v>
      </c>
      <c r="R86" s="91"/>
      <c r="S86" s="94" t="s">
        <v>61</v>
      </c>
      <c r="T86" s="94" t="s">
        <v>60</v>
      </c>
      <c r="U86" s="108"/>
      <c r="V86" s="108"/>
      <c r="W86" s="94" t="s">
        <v>60</v>
      </c>
      <c r="X86" s="103" t="s">
        <v>61</v>
      </c>
      <c r="Y86" s="91"/>
      <c r="Z86" s="91"/>
      <c r="AA86" s="91"/>
      <c r="AB86" s="91"/>
      <c r="AC86" s="70" t="s">
        <v>86</v>
      </c>
      <c r="AD86" s="70" t="s">
        <v>86</v>
      </c>
      <c r="AE86" s="70" t="s">
        <v>89</v>
      </c>
      <c r="AF86" s="70" t="s">
        <v>92</v>
      </c>
      <c r="AG86" s="70" t="s">
        <v>0</v>
      </c>
      <c r="AH86" s="70" t="s">
        <v>0</v>
      </c>
      <c r="AI86" s="70" t="s">
        <v>63</v>
      </c>
      <c r="AJ86" s="70" t="s">
        <v>64</v>
      </c>
      <c r="AK86" s="70"/>
      <c r="AL86" s="70"/>
      <c r="AM86" s="70" t="s">
        <v>65</v>
      </c>
      <c r="AN86" s="70" t="s">
        <v>66</v>
      </c>
      <c r="AO86" s="70" t="s">
        <v>65</v>
      </c>
      <c r="AP86" s="70" t="s">
        <v>67</v>
      </c>
      <c r="AQ86" s="70" t="s">
        <v>68</v>
      </c>
      <c r="AR86" s="70" t="s">
        <v>69</v>
      </c>
      <c r="AS86" s="70" t="s">
        <v>68</v>
      </c>
      <c r="AT86" s="70" t="s">
        <v>70</v>
      </c>
      <c r="AU86" s="70" t="s">
        <v>68</v>
      </c>
      <c r="AV86" s="67"/>
      <c r="AW86" s="68" t="s">
        <v>22</v>
      </c>
    </row>
    <row r="87" spans="1:49" ht="78">
      <c r="A87" s="1356"/>
      <c r="B87" s="1358"/>
      <c r="C87" s="126">
        <v>10</v>
      </c>
      <c r="D87" s="127" t="s">
        <v>140</v>
      </c>
      <c r="E87" s="128">
        <v>21</v>
      </c>
      <c r="F87" s="129" t="s">
        <v>90</v>
      </c>
      <c r="G87" s="132">
        <v>2</v>
      </c>
      <c r="H87" s="133" t="s">
        <v>138</v>
      </c>
      <c r="I87" s="131">
        <v>221</v>
      </c>
      <c r="J87" s="133" t="s">
        <v>90</v>
      </c>
      <c r="K87" s="131" t="s">
        <v>56</v>
      </c>
      <c r="L87" s="131" t="s">
        <v>84</v>
      </c>
      <c r="M87" s="131" t="s">
        <v>58</v>
      </c>
      <c r="N87" s="131" t="s">
        <v>85</v>
      </c>
      <c r="O87" s="93" t="s">
        <v>60</v>
      </c>
      <c r="P87" s="93" t="s">
        <v>60</v>
      </c>
      <c r="Q87" s="93" t="s">
        <v>60</v>
      </c>
      <c r="R87" s="91"/>
      <c r="S87" s="94" t="s">
        <v>61</v>
      </c>
      <c r="T87" s="94" t="s">
        <v>60</v>
      </c>
      <c r="U87" s="108"/>
      <c r="V87" s="108"/>
      <c r="W87" s="94" t="s">
        <v>60</v>
      </c>
      <c r="X87" s="103" t="s">
        <v>61</v>
      </c>
      <c r="Y87" s="91"/>
      <c r="Z87" s="91"/>
      <c r="AA87" s="91"/>
      <c r="AB87" s="91"/>
      <c r="AC87" s="70" t="s">
        <v>86</v>
      </c>
      <c r="AD87" s="70" t="s">
        <v>86</v>
      </c>
      <c r="AE87" s="70" t="s">
        <v>89</v>
      </c>
      <c r="AF87" s="70" t="s">
        <v>92</v>
      </c>
      <c r="AG87" s="70" t="s">
        <v>71</v>
      </c>
      <c r="AH87" s="96" t="s">
        <v>62</v>
      </c>
      <c r="AI87" s="70" t="s">
        <v>63</v>
      </c>
      <c r="AJ87" s="70" t="s">
        <v>64</v>
      </c>
      <c r="AK87" s="70"/>
      <c r="AL87" s="70"/>
      <c r="AM87" s="70" t="s">
        <v>65</v>
      </c>
      <c r="AN87" s="70" t="s">
        <v>71</v>
      </c>
      <c r="AO87" s="70" t="s">
        <v>65</v>
      </c>
      <c r="AP87" s="70" t="s">
        <v>71</v>
      </c>
      <c r="AQ87" s="70" t="s">
        <v>68</v>
      </c>
      <c r="AR87" s="70" t="s">
        <v>72</v>
      </c>
      <c r="AS87" s="70" t="s">
        <v>68</v>
      </c>
      <c r="AT87" s="70" t="s">
        <v>70</v>
      </c>
      <c r="AU87" s="70" t="s">
        <v>68</v>
      </c>
      <c r="AV87" s="67"/>
      <c r="AW87" s="68" t="s">
        <v>22</v>
      </c>
    </row>
    <row r="88" spans="1:49" ht="39">
      <c r="A88" s="70">
        <v>48</v>
      </c>
      <c r="B88" s="97">
        <v>49</v>
      </c>
      <c r="C88" s="126">
        <v>10</v>
      </c>
      <c r="D88" s="127" t="s">
        <v>140</v>
      </c>
      <c r="E88" s="128">
        <v>21</v>
      </c>
      <c r="F88" s="129" t="s">
        <v>90</v>
      </c>
      <c r="G88" s="132">
        <v>2</v>
      </c>
      <c r="H88" s="133" t="s">
        <v>138</v>
      </c>
      <c r="I88" s="131">
        <v>221</v>
      </c>
      <c r="J88" s="133" t="s">
        <v>90</v>
      </c>
      <c r="K88" s="131" t="s">
        <v>80</v>
      </c>
      <c r="L88" s="131" t="s">
        <v>84</v>
      </c>
      <c r="M88" s="131" t="s">
        <v>58</v>
      </c>
      <c r="N88" s="131" t="s">
        <v>85</v>
      </c>
      <c r="O88" s="93" t="s">
        <v>60</v>
      </c>
      <c r="P88" s="93" t="s">
        <v>60</v>
      </c>
      <c r="Q88" s="93" t="s">
        <v>60</v>
      </c>
      <c r="R88" s="91"/>
      <c r="S88" s="94" t="s">
        <v>61</v>
      </c>
      <c r="T88" s="94" t="s">
        <v>60</v>
      </c>
      <c r="U88" s="94" t="s">
        <v>60</v>
      </c>
      <c r="V88" s="94" t="s">
        <v>60</v>
      </c>
      <c r="W88" s="94" t="s">
        <v>60</v>
      </c>
      <c r="X88" s="91"/>
      <c r="Y88" s="91"/>
      <c r="Z88" s="91"/>
      <c r="AA88" s="91"/>
      <c r="AB88" s="91"/>
      <c r="AC88" s="95" t="s">
        <v>62</v>
      </c>
      <c r="AD88" s="95" t="s">
        <v>62</v>
      </c>
      <c r="AE88" s="95" t="s">
        <v>62</v>
      </c>
      <c r="AF88" s="95" t="s">
        <v>62</v>
      </c>
      <c r="AG88" s="96" t="s">
        <v>0</v>
      </c>
      <c r="AH88" s="70" t="s">
        <v>0</v>
      </c>
      <c r="AI88" s="70" t="s">
        <v>63</v>
      </c>
      <c r="AJ88" s="70" t="s">
        <v>64</v>
      </c>
      <c r="AK88" s="70"/>
      <c r="AL88" s="70"/>
      <c r="AM88" s="70" t="s">
        <v>62</v>
      </c>
      <c r="AN88" s="70" t="s">
        <v>62</v>
      </c>
      <c r="AO88" s="70" t="s">
        <v>62</v>
      </c>
      <c r="AP88" s="70" t="s">
        <v>62</v>
      </c>
      <c r="AQ88" s="70" t="s">
        <v>62</v>
      </c>
      <c r="AR88" s="70" t="s">
        <v>62</v>
      </c>
      <c r="AS88" s="70" t="s">
        <v>62</v>
      </c>
      <c r="AT88" s="70" t="s">
        <v>62</v>
      </c>
      <c r="AU88" s="70" t="s">
        <v>68</v>
      </c>
      <c r="AV88" s="67"/>
      <c r="AW88" s="68" t="s">
        <v>22</v>
      </c>
    </row>
    <row r="89" spans="1:49" ht="39">
      <c r="A89" s="1354">
        <v>49</v>
      </c>
      <c r="B89" s="1357">
        <v>50</v>
      </c>
      <c r="C89" s="126">
        <v>20</v>
      </c>
      <c r="D89" s="127" t="s">
        <v>137</v>
      </c>
      <c r="E89" s="128">
        <v>22</v>
      </c>
      <c r="F89" s="129" t="s">
        <v>93</v>
      </c>
      <c r="G89" s="132">
        <v>2</v>
      </c>
      <c r="H89" s="133" t="s">
        <v>138</v>
      </c>
      <c r="I89" s="131">
        <v>222</v>
      </c>
      <c r="J89" s="133" t="s">
        <v>93</v>
      </c>
      <c r="K89" s="131" t="s">
        <v>139</v>
      </c>
      <c r="L89" s="207" t="s">
        <v>57</v>
      </c>
      <c r="M89" s="131" t="s">
        <v>58</v>
      </c>
      <c r="N89" s="131" t="s">
        <v>59</v>
      </c>
      <c r="O89" s="93" t="s">
        <v>60</v>
      </c>
      <c r="P89" s="93" t="s">
        <v>60</v>
      </c>
      <c r="Q89" s="93" t="s">
        <v>60</v>
      </c>
      <c r="R89" s="91"/>
      <c r="S89" s="94" t="s">
        <v>61</v>
      </c>
      <c r="T89" s="94" t="s">
        <v>60</v>
      </c>
      <c r="U89" s="94" t="s">
        <v>60</v>
      </c>
      <c r="V89" s="94" t="s">
        <v>60</v>
      </c>
      <c r="W89" s="91"/>
      <c r="X89" s="91"/>
      <c r="Y89" s="91"/>
      <c r="Z89" s="91"/>
      <c r="AA89" s="91"/>
      <c r="AB89" s="91"/>
      <c r="AC89" s="95" t="s">
        <v>62</v>
      </c>
      <c r="AD89" s="95" t="s">
        <v>62</v>
      </c>
      <c r="AE89" s="95" t="s">
        <v>62</v>
      </c>
      <c r="AF89" s="95" t="s">
        <v>62</v>
      </c>
      <c r="AG89" s="96" t="s">
        <v>0</v>
      </c>
      <c r="AH89" s="70" t="s">
        <v>0</v>
      </c>
      <c r="AI89" s="70" t="s">
        <v>63</v>
      </c>
      <c r="AJ89" s="70" t="s">
        <v>64</v>
      </c>
      <c r="AK89" s="70"/>
      <c r="AL89" s="70"/>
      <c r="AM89" s="70" t="s">
        <v>62</v>
      </c>
      <c r="AN89" s="70" t="s">
        <v>62</v>
      </c>
      <c r="AO89" s="70" t="s">
        <v>62</v>
      </c>
      <c r="AP89" s="70" t="s">
        <v>62</v>
      </c>
      <c r="AQ89" s="70" t="s">
        <v>68</v>
      </c>
      <c r="AR89" s="70" t="s">
        <v>62</v>
      </c>
      <c r="AS89" s="70" t="s">
        <v>62</v>
      </c>
      <c r="AT89" s="70" t="s">
        <v>62</v>
      </c>
      <c r="AU89" s="70" t="s">
        <v>68</v>
      </c>
      <c r="AV89" s="67"/>
      <c r="AW89" s="68" t="s">
        <v>22</v>
      </c>
    </row>
    <row r="90" spans="1:49" ht="39">
      <c r="A90" s="1355"/>
      <c r="B90" s="1359"/>
      <c r="C90" s="126">
        <v>20</v>
      </c>
      <c r="D90" s="127" t="s">
        <v>137</v>
      </c>
      <c r="E90" s="128">
        <v>22</v>
      </c>
      <c r="F90" s="129" t="s">
        <v>93</v>
      </c>
      <c r="G90" s="132">
        <v>2</v>
      </c>
      <c r="H90" s="133" t="s">
        <v>138</v>
      </c>
      <c r="I90" s="131">
        <v>222</v>
      </c>
      <c r="J90" s="133" t="s">
        <v>93</v>
      </c>
      <c r="K90" s="131" t="s">
        <v>139</v>
      </c>
      <c r="L90" s="207" t="s">
        <v>57</v>
      </c>
      <c r="M90" s="131" t="s">
        <v>58</v>
      </c>
      <c r="N90" s="131" t="s">
        <v>59</v>
      </c>
      <c r="O90" s="93" t="s">
        <v>60</v>
      </c>
      <c r="P90" s="93" t="s">
        <v>60</v>
      </c>
      <c r="Q90" s="93" t="s">
        <v>60</v>
      </c>
      <c r="R90" s="91"/>
      <c r="S90" s="94" t="s">
        <v>61</v>
      </c>
      <c r="T90" s="94" t="s">
        <v>60</v>
      </c>
      <c r="U90" s="94" t="s">
        <v>60</v>
      </c>
      <c r="V90" s="94" t="s">
        <v>60</v>
      </c>
      <c r="W90" s="91"/>
      <c r="X90" s="91"/>
      <c r="Y90" s="91"/>
      <c r="Z90" s="91"/>
      <c r="AA90" s="91"/>
      <c r="AB90" s="91"/>
      <c r="AC90" s="95" t="s">
        <v>62</v>
      </c>
      <c r="AD90" s="95" t="s">
        <v>62</v>
      </c>
      <c r="AE90" s="95" t="s">
        <v>62</v>
      </c>
      <c r="AF90" s="95" t="s">
        <v>62</v>
      </c>
      <c r="AG90" s="96" t="s">
        <v>1</v>
      </c>
      <c r="AH90" s="70" t="s">
        <v>0</v>
      </c>
      <c r="AI90" s="70" t="s">
        <v>63</v>
      </c>
      <c r="AJ90" s="70" t="s">
        <v>64</v>
      </c>
      <c r="AK90" s="70"/>
      <c r="AL90" s="70"/>
      <c r="AM90" s="70" t="s">
        <v>62</v>
      </c>
      <c r="AN90" s="70" t="s">
        <v>62</v>
      </c>
      <c r="AO90" s="70" t="s">
        <v>62</v>
      </c>
      <c r="AP90" s="70" t="s">
        <v>62</v>
      </c>
      <c r="AQ90" s="70" t="s">
        <v>68</v>
      </c>
      <c r="AR90" s="70" t="s">
        <v>62</v>
      </c>
      <c r="AS90" s="70" t="s">
        <v>62</v>
      </c>
      <c r="AT90" s="70" t="s">
        <v>62</v>
      </c>
      <c r="AU90" s="70" t="s">
        <v>68</v>
      </c>
      <c r="AV90" s="67"/>
      <c r="AW90" s="68" t="s">
        <v>22</v>
      </c>
    </row>
    <row r="91" spans="1:49" ht="39">
      <c r="A91" s="1356"/>
      <c r="B91" s="1358"/>
      <c r="C91" s="126">
        <v>20</v>
      </c>
      <c r="D91" s="127" t="s">
        <v>137</v>
      </c>
      <c r="E91" s="128">
        <v>22</v>
      </c>
      <c r="F91" s="129" t="s">
        <v>93</v>
      </c>
      <c r="G91" s="132">
        <v>2</v>
      </c>
      <c r="H91" s="133" t="s">
        <v>138</v>
      </c>
      <c r="I91" s="131">
        <v>222</v>
      </c>
      <c r="J91" s="133" t="s">
        <v>93</v>
      </c>
      <c r="K91" s="131" t="s">
        <v>139</v>
      </c>
      <c r="L91" s="207" t="s">
        <v>57</v>
      </c>
      <c r="M91" s="131" t="s">
        <v>58</v>
      </c>
      <c r="N91" s="131" t="s">
        <v>59</v>
      </c>
      <c r="O91" s="93" t="s">
        <v>60</v>
      </c>
      <c r="P91" s="93" t="s">
        <v>60</v>
      </c>
      <c r="Q91" s="93" t="s">
        <v>60</v>
      </c>
      <c r="R91" s="91"/>
      <c r="S91" s="94" t="s">
        <v>61</v>
      </c>
      <c r="T91" s="94" t="s">
        <v>60</v>
      </c>
      <c r="U91" s="94" t="s">
        <v>60</v>
      </c>
      <c r="V91" s="94" t="s">
        <v>60</v>
      </c>
      <c r="W91" s="91"/>
      <c r="X91" s="91"/>
      <c r="Y91" s="91"/>
      <c r="Z91" s="91"/>
      <c r="AA91" s="91"/>
      <c r="AB91" s="91"/>
      <c r="AC91" s="95" t="s">
        <v>62</v>
      </c>
      <c r="AD91" s="95" t="s">
        <v>62</v>
      </c>
      <c r="AE91" s="95" t="s">
        <v>62</v>
      </c>
      <c r="AF91" s="95" t="s">
        <v>62</v>
      </c>
      <c r="AG91" s="96" t="s">
        <v>71</v>
      </c>
      <c r="AH91" s="70" t="s">
        <v>0</v>
      </c>
      <c r="AI91" s="70" t="s">
        <v>63</v>
      </c>
      <c r="AJ91" s="70" t="s">
        <v>64</v>
      </c>
      <c r="AK91" s="70"/>
      <c r="AL91" s="70"/>
      <c r="AM91" s="70" t="s">
        <v>62</v>
      </c>
      <c r="AN91" s="70" t="s">
        <v>62</v>
      </c>
      <c r="AO91" s="70" t="s">
        <v>62</v>
      </c>
      <c r="AP91" s="70" t="s">
        <v>62</v>
      </c>
      <c r="AQ91" s="70" t="s">
        <v>68</v>
      </c>
      <c r="AR91" s="70" t="s">
        <v>62</v>
      </c>
      <c r="AS91" s="70" t="s">
        <v>62</v>
      </c>
      <c r="AT91" s="70" t="s">
        <v>62</v>
      </c>
      <c r="AU91" s="70" t="s">
        <v>68</v>
      </c>
      <c r="AV91" s="67"/>
      <c r="AW91" s="68" t="s">
        <v>22</v>
      </c>
    </row>
    <row r="92" spans="1:49" ht="39">
      <c r="A92" s="1354">
        <v>50</v>
      </c>
      <c r="B92" s="97">
        <v>51</v>
      </c>
      <c r="C92" s="126">
        <v>20</v>
      </c>
      <c r="D92" s="127" t="s">
        <v>137</v>
      </c>
      <c r="E92" s="128">
        <v>22</v>
      </c>
      <c r="F92" s="129" t="s">
        <v>93</v>
      </c>
      <c r="G92" s="132">
        <v>2</v>
      </c>
      <c r="H92" s="133" t="s">
        <v>138</v>
      </c>
      <c r="I92" s="131">
        <v>222</v>
      </c>
      <c r="J92" s="133" t="s">
        <v>93</v>
      </c>
      <c r="K92" s="131" t="s">
        <v>56</v>
      </c>
      <c r="L92" s="207" t="s">
        <v>57</v>
      </c>
      <c r="M92" s="131" t="s">
        <v>58</v>
      </c>
      <c r="N92" s="131" t="s">
        <v>59</v>
      </c>
      <c r="O92" s="93" t="s">
        <v>60</v>
      </c>
      <c r="P92" s="93" t="s">
        <v>60</v>
      </c>
      <c r="Q92" s="93" t="s">
        <v>60</v>
      </c>
      <c r="R92" s="91"/>
      <c r="S92" s="94" t="s">
        <v>61</v>
      </c>
      <c r="T92" s="94" t="s">
        <v>60</v>
      </c>
      <c r="U92" s="108"/>
      <c r="V92" s="108"/>
      <c r="W92" s="91"/>
      <c r="X92" s="91"/>
      <c r="Y92" s="91"/>
      <c r="Z92" s="91"/>
      <c r="AA92" s="91"/>
      <c r="AB92" s="91"/>
      <c r="AC92" s="70" t="s">
        <v>57</v>
      </c>
      <c r="AD92" s="70" t="s">
        <v>57</v>
      </c>
      <c r="AE92" s="70" t="s">
        <v>57</v>
      </c>
      <c r="AF92" s="95" t="s">
        <v>62</v>
      </c>
      <c r="AG92" s="70" t="s">
        <v>0</v>
      </c>
      <c r="AH92" s="70" t="s">
        <v>0</v>
      </c>
      <c r="AI92" s="70" t="s">
        <v>63</v>
      </c>
      <c r="AJ92" s="70" t="s">
        <v>64</v>
      </c>
      <c r="AK92" s="70"/>
      <c r="AL92" s="70"/>
      <c r="AM92" s="70" t="s">
        <v>65</v>
      </c>
      <c r="AN92" s="70" t="s">
        <v>66</v>
      </c>
      <c r="AO92" s="70" t="s">
        <v>65</v>
      </c>
      <c r="AP92" s="70" t="s">
        <v>67</v>
      </c>
      <c r="AQ92" s="70" t="s">
        <v>68</v>
      </c>
      <c r="AR92" s="70" t="s">
        <v>69</v>
      </c>
      <c r="AS92" s="70" t="s">
        <v>68</v>
      </c>
      <c r="AT92" s="70" t="s">
        <v>70</v>
      </c>
      <c r="AU92" s="70" t="s">
        <v>68</v>
      </c>
      <c r="AV92" s="67"/>
      <c r="AW92" s="68" t="s">
        <v>22</v>
      </c>
    </row>
    <row r="93" spans="1:49" ht="39">
      <c r="A93" s="1356"/>
      <c r="B93" s="97">
        <v>51</v>
      </c>
      <c r="C93" s="126">
        <v>20</v>
      </c>
      <c r="D93" s="127" t="s">
        <v>137</v>
      </c>
      <c r="E93" s="128">
        <v>22</v>
      </c>
      <c r="F93" s="129" t="s">
        <v>93</v>
      </c>
      <c r="G93" s="132">
        <v>2</v>
      </c>
      <c r="H93" s="133" t="s">
        <v>138</v>
      </c>
      <c r="I93" s="131">
        <v>222</v>
      </c>
      <c r="J93" s="133" t="s">
        <v>93</v>
      </c>
      <c r="K93" s="131" t="s">
        <v>56</v>
      </c>
      <c r="L93" s="207" t="s">
        <v>57</v>
      </c>
      <c r="M93" s="131" t="s">
        <v>58</v>
      </c>
      <c r="N93" s="131" t="s">
        <v>59</v>
      </c>
      <c r="O93" s="93" t="s">
        <v>60</v>
      </c>
      <c r="P93" s="93" t="s">
        <v>60</v>
      </c>
      <c r="Q93" s="93" t="s">
        <v>60</v>
      </c>
      <c r="R93" s="91"/>
      <c r="S93" s="94" t="s">
        <v>61</v>
      </c>
      <c r="T93" s="94" t="s">
        <v>60</v>
      </c>
      <c r="U93" s="108"/>
      <c r="V93" s="108"/>
      <c r="W93" s="91"/>
      <c r="X93" s="91"/>
      <c r="Y93" s="91"/>
      <c r="Z93" s="91"/>
      <c r="AA93" s="91"/>
      <c r="AB93" s="91"/>
      <c r="AC93" s="70" t="s">
        <v>57</v>
      </c>
      <c r="AD93" s="70" t="s">
        <v>57</v>
      </c>
      <c r="AE93" s="70" t="s">
        <v>57</v>
      </c>
      <c r="AF93" s="95" t="s">
        <v>62</v>
      </c>
      <c r="AG93" s="70" t="s">
        <v>71</v>
      </c>
      <c r="AH93" s="96" t="s">
        <v>62</v>
      </c>
      <c r="AI93" s="70" t="s">
        <v>63</v>
      </c>
      <c r="AJ93" s="70" t="s">
        <v>64</v>
      </c>
      <c r="AK93" s="70"/>
      <c r="AL93" s="70"/>
      <c r="AM93" s="70" t="s">
        <v>65</v>
      </c>
      <c r="AN93" s="70" t="s">
        <v>71</v>
      </c>
      <c r="AO93" s="70" t="s">
        <v>65</v>
      </c>
      <c r="AP93" s="70" t="s">
        <v>71</v>
      </c>
      <c r="AQ93" s="70" t="s">
        <v>68</v>
      </c>
      <c r="AR93" s="70" t="s">
        <v>72</v>
      </c>
      <c r="AS93" s="70" t="s">
        <v>68</v>
      </c>
      <c r="AT93" s="70" t="s">
        <v>70</v>
      </c>
      <c r="AU93" s="70" t="s">
        <v>68</v>
      </c>
      <c r="AV93" s="67"/>
      <c r="AW93" s="68" t="s">
        <v>22</v>
      </c>
    </row>
    <row r="94" spans="1:49" ht="39">
      <c r="A94" s="70">
        <v>51</v>
      </c>
      <c r="B94" s="97">
        <v>52</v>
      </c>
      <c r="C94" s="126">
        <v>20</v>
      </c>
      <c r="D94" s="127" t="s">
        <v>137</v>
      </c>
      <c r="E94" s="128">
        <v>22</v>
      </c>
      <c r="F94" s="129" t="s">
        <v>93</v>
      </c>
      <c r="G94" s="132">
        <v>2</v>
      </c>
      <c r="H94" s="133" t="s">
        <v>138</v>
      </c>
      <c r="I94" s="131">
        <v>222</v>
      </c>
      <c r="J94" s="133" t="s">
        <v>93</v>
      </c>
      <c r="K94" s="131" t="s">
        <v>80</v>
      </c>
      <c r="L94" s="207" t="s">
        <v>57</v>
      </c>
      <c r="M94" s="131" t="s">
        <v>58</v>
      </c>
      <c r="N94" s="131" t="s">
        <v>59</v>
      </c>
      <c r="O94" s="93" t="s">
        <v>60</v>
      </c>
      <c r="P94" s="93" t="s">
        <v>60</v>
      </c>
      <c r="Q94" s="93" t="s">
        <v>60</v>
      </c>
      <c r="R94" s="91"/>
      <c r="S94" s="94" t="s">
        <v>61</v>
      </c>
      <c r="T94" s="94" t="s">
        <v>60</v>
      </c>
      <c r="U94" s="94" t="s">
        <v>60</v>
      </c>
      <c r="V94" s="94" t="s">
        <v>60</v>
      </c>
      <c r="W94" s="91"/>
      <c r="X94" s="91"/>
      <c r="Y94" s="91"/>
      <c r="Z94" s="91"/>
      <c r="AA94" s="91"/>
      <c r="AB94" s="91"/>
      <c r="AC94" s="95" t="s">
        <v>62</v>
      </c>
      <c r="AD94" s="95" t="s">
        <v>62</v>
      </c>
      <c r="AE94" s="95" t="s">
        <v>62</v>
      </c>
      <c r="AF94" s="95" t="s">
        <v>62</v>
      </c>
      <c r="AG94" s="96" t="s">
        <v>0</v>
      </c>
      <c r="AH94" s="70" t="s">
        <v>0</v>
      </c>
      <c r="AI94" s="70" t="s">
        <v>63</v>
      </c>
      <c r="AJ94" s="70" t="s">
        <v>64</v>
      </c>
      <c r="AK94" s="70"/>
      <c r="AL94" s="70"/>
      <c r="AM94" s="70" t="s">
        <v>62</v>
      </c>
      <c r="AN94" s="70" t="s">
        <v>62</v>
      </c>
      <c r="AO94" s="70" t="s">
        <v>62</v>
      </c>
      <c r="AP94" s="70" t="s">
        <v>62</v>
      </c>
      <c r="AQ94" s="70" t="s">
        <v>62</v>
      </c>
      <c r="AR94" s="70" t="s">
        <v>62</v>
      </c>
      <c r="AS94" s="70" t="s">
        <v>62</v>
      </c>
      <c r="AT94" s="70" t="s">
        <v>62</v>
      </c>
      <c r="AU94" s="70" t="s">
        <v>68</v>
      </c>
      <c r="AV94" s="67"/>
      <c r="AW94" s="68" t="s">
        <v>22</v>
      </c>
    </row>
    <row r="95" spans="1:49" ht="39">
      <c r="A95" s="1354">
        <v>52</v>
      </c>
      <c r="B95" s="1357">
        <v>53</v>
      </c>
      <c r="C95" s="126">
        <v>10</v>
      </c>
      <c r="D95" s="127" t="s">
        <v>140</v>
      </c>
      <c r="E95" s="128">
        <v>23</v>
      </c>
      <c r="F95" s="129" t="s">
        <v>95</v>
      </c>
      <c r="G95" s="132">
        <v>2</v>
      </c>
      <c r="H95" s="133" t="s">
        <v>138</v>
      </c>
      <c r="I95" s="131">
        <v>223</v>
      </c>
      <c r="J95" s="133" t="s">
        <v>95</v>
      </c>
      <c r="K95" s="131" t="s">
        <v>139</v>
      </c>
      <c r="L95" s="131" t="s">
        <v>84</v>
      </c>
      <c r="M95" s="131" t="s">
        <v>58</v>
      </c>
      <c r="N95" s="131" t="s">
        <v>85</v>
      </c>
      <c r="O95" s="93" t="s">
        <v>60</v>
      </c>
      <c r="P95" s="93" t="s">
        <v>60</v>
      </c>
      <c r="Q95" s="93" t="s">
        <v>60</v>
      </c>
      <c r="R95" s="91"/>
      <c r="S95" s="94" t="s">
        <v>61</v>
      </c>
      <c r="T95" s="94" t="s">
        <v>60</v>
      </c>
      <c r="U95" s="94" t="s">
        <v>60</v>
      </c>
      <c r="V95" s="94" t="s">
        <v>60</v>
      </c>
      <c r="W95" s="94" t="s">
        <v>60</v>
      </c>
      <c r="X95" s="91"/>
      <c r="Y95" s="91"/>
      <c r="Z95" s="91"/>
      <c r="AA95" s="91"/>
      <c r="AB95" s="91"/>
      <c r="AC95" s="95" t="s">
        <v>62</v>
      </c>
      <c r="AD95" s="95" t="s">
        <v>62</v>
      </c>
      <c r="AE95" s="95" t="s">
        <v>62</v>
      </c>
      <c r="AF95" s="95" t="s">
        <v>62</v>
      </c>
      <c r="AG95" s="96" t="s">
        <v>0</v>
      </c>
      <c r="AH95" s="70" t="s">
        <v>0</v>
      </c>
      <c r="AI95" s="70" t="s">
        <v>63</v>
      </c>
      <c r="AJ95" s="70" t="s">
        <v>64</v>
      </c>
      <c r="AK95" s="70"/>
      <c r="AL95" s="70"/>
      <c r="AM95" s="70" t="s">
        <v>62</v>
      </c>
      <c r="AN95" s="70" t="s">
        <v>62</v>
      </c>
      <c r="AO95" s="70" t="s">
        <v>62</v>
      </c>
      <c r="AP95" s="70" t="s">
        <v>62</v>
      </c>
      <c r="AQ95" s="70" t="s">
        <v>68</v>
      </c>
      <c r="AR95" s="70" t="s">
        <v>62</v>
      </c>
      <c r="AS95" s="70" t="s">
        <v>62</v>
      </c>
      <c r="AT95" s="70" t="s">
        <v>62</v>
      </c>
      <c r="AU95" s="70" t="s">
        <v>68</v>
      </c>
      <c r="AV95" s="67"/>
      <c r="AW95" s="68" t="s">
        <v>22</v>
      </c>
    </row>
    <row r="96" spans="1:49" ht="39">
      <c r="A96" s="1355"/>
      <c r="B96" s="1359"/>
      <c r="C96" s="126">
        <v>10</v>
      </c>
      <c r="D96" s="127" t="s">
        <v>140</v>
      </c>
      <c r="E96" s="128">
        <v>23</v>
      </c>
      <c r="F96" s="129" t="s">
        <v>95</v>
      </c>
      <c r="G96" s="132">
        <v>2</v>
      </c>
      <c r="H96" s="133" t="s">
        <v>138</v>
      </c>
      <c r="I96" s="131">
        <v>223</v>
      </c>
      <c r="J96" s="133" t="s">
        <v>95</v>
      </c>
      <c r="K96" s="131" t="s">
        <v>139</v>
      </c>
      <c r="L96" s="131" t="s">
        <v>84</v>
      </c>
      <c r="M96" s="131" t="s">
        <v>58</v>
      </c>
      <c r="N96" s="131" t="s">
        <v>85</v>
      </c>
      <c r="O96" s="93" t="s">
        <v>60</v>
      </c>
      <c r="P96" s="93" t="s">
        <v>60</v>
      </c>
      <c r="Q96" s="93" t="s">
        <v>60</v>
      </c>
      <c r="R96" s="91"/>
      <c r="S96" s="94" t="s">
        <v>61</v>
      </c>
      <c r="T96" s="94" t="s">
        <v>60</v>
      </c>
      <c r="U96" s="94" t="s">
        <v>60</v>
      </c>
      <c r="V96" s="94" t="s">
        <v>60</v>
      </c>
      <c r="W96" s="94" t="s">
        <v>60</v>
      </c>
      <c r="X96" s="91"/>
      <c r="Y96" s="91"/>
      <c r="Z96" s="91"/>
      <c r="AA96" s="91"/>
      <c r="AB96" s="91"/>
      <c r="AC96" s="95" t="s">
        <v>62</v>
      </c>
      <c r="AD96" s="95" t="s">
        <v>62</v>
      </c>
      <c r="AE96" s="95" t="s">
        <v>62</v>
      </c>
      <c r="AF96" s="95" t="s">
        <v>62</v>
      </c>
      <c r="AG96" s="96" t="s">
        <v>1</v>
      </c>
      <c r="AH96" s="70" t="s">
        <v>0</v>
      </c>
      <c r="AI96" s="70" t="s">
        <v>63</v>
      </c>
      <c r="AJ96" s="70" t="s">
        <v>64</v>
      </c>
      <c r="AK96" s="70"/>
      <c r="AL96" s="70"/>
      <c r="AM96" s="70" t="s">
        <v>62</v>
      </c>
      <c r="AN96" s="70" t="s">
        <v>62</v>
      </c>
      <c r="AO96" s="70" t="s">
        <v>62</v>
      </c>
      <c r="AP96" s="70" t="s">
        <v>62</v>
      </c>
      <c r="AQ96" s="70" t="s">
        <v>68</v>
      </c>
      <c r="AR96" s="70" t="s">
        <v>62</v>
      </c>
      <c r="AS96" s="70" t="s">
        <v>62</v>
      </c>
      <c r="AT96" s="70" t="s">
        <v>62</v>
      </c>
      <c r="AU96" s="70" t="s">
        <v>68</v>
      </c>
      <c r="AV96" s="67"/>
      <c r="AW96" s="68" t="s">
        <v>22</v>
      </c>
    </row>
    <row r="97" spans="1:49" ht="39">
      <c r="A97" s="1356"/>
      <c r="B97" s="1358"/>
      <c r="C97" s="126">
        <v>10</v>
      </c>
      <c r="D97" s="127" t="s">
        <v>140</v>
      </c>
      <c r="E97" s="128">
        <v>23</v>
      </c>
      <c r="F97" s="129" t="s">
        <v>95</v>
      </c>
      <c r="G97" s="132">
        <v>2</v>
      </c>
      <c r="H97" s="133" t="s">
        <v>138</v>
      </c>
      <c r="I97" s="131">
        <v>223</v>
      </c>
      <c r="J97" s="133" t="s">
        <v>95</v>
      </c>
      <c r="K97" s="131" t="s">
        <v>139</v>
      </c>
      <c r="L97" s="131" t="s">
        <v>84</v>
      </c>
      <c r="M97" s="131" t="s">
        <v>58</v>
      </c>
      <c r="N97" s="131" t="s">
        <v>85</v>
      </c>
      <c r="O97" s="93" t="s">
        <v>60</v>
      </c>
      <c r="P97" s="93" t="s">
        <v>60</v>
      </c>
      <c r="Q97" s="93" t="s">
        <v>60</v>
      </c>
      <c r="R97" s="91"/>
      <c r="S97" s="94" t="s">
        <v>61</v>
      </c>
      <c r="T97" s="94" t="s">
        <v>60</v>
      </c>
      <c r="U97" s="94" t="s">
        <v>60</v>
      </c>
      <c r="V97" s="94" t="s">
        <v>60</v>
      </c>
      <c r="W97" s="94" t="s">
        <v>60</v>
      </c>
      <c r="X97" s="91"/>
      <c r="Y97" s="91"/>
      <c r="Z97" s="91"/>
      <c r="AA97" s="91"/>
      <c r="AB97" s="91"/>
      <c r="AC97" s="95" t="s">
        <v>62</v>
      </c>
      <c r="AD97" s="95" t="s">
        <v>62</v>
      </c>
      <c r="AE97" s="95" t="s">
        <v>62</v>
      </c>
      <c r="AF97" s="95" t="s">
        <v>62</v>
      </c>
      <c r="AG97" s="96" t="s">
        <v>71</v>
      </c>
      <c r="AH97" s="70" t="s">
        <v>0</v>
      </c>
      <c r="AI97" s="70" t="s">
        <v>63</v>
      </c>
      <c r="AJ97" s="70" t="s">
        <v>64</v>
      </c>
      <c r="AK97" s="70"/>
      <c r="AL97" s="70"/>
      <c r="AM97" s="70" t="s">
        <v>62</v>
      </c>
      <c r="AN97" s="70" t="s">
        <v>62</v>
      </c>
      <c r="AO97" s="70" t="s">
        <v>62</v>
      </c>
      <c r="AP97" s="70" t="s">
        <v>62</v>
      </c>
      <c r="AQ97" s="70" t="s">
        <v>68</v>
      </c>
      <c r="AR97" s="70" t="s">
        <v>62</v>
      </c>
      <c r="AS97" s="70" t="s">
        <v>62</v>
      </c>
      <c r="AT97" s="70" t="s">
        <v>62</v>
      </c>
      <c r="AU97" s="70" t="s">
        <v>68</v>
      </c>
      <c r="AV97" s="67"/>
      <c r="AW97" s="68" t="s">
        <v>22</v>
      </c>
    </row>
    <row r="98" spans="1:49" ht="78">
      <c r="A98" s="1354">
        <v>53</v>
      </c>
      <c r="B98" s="1357">
        <v>54</v>
      </c>
      <c r="C98" s="126">
        <v>10</v>
      </c>
      <c r="D98" s="127" t="s">
        <v>140</v>
      </c>
      <c r="E98" s="128">
        <v>23</v>
      </c>
      <c r="F98" s="129" t="s">
        <v>95</v>
      </c>
      <c r="G98" s="132">
        <v>2</v>
      </c>
      <c r="H98" s="133" t="s">
        <v>138</v>
      </c>
      <c r="I98" s="131">
        <v>223</v>
      </c>
      <c r="J98" s="133" t="s">
        <v>95</v>
      </c>
      <c r="K98" s="131" t="s">
        <v>56</v>
      </c>
      <c r="L98" s="131" t="s">
        <v>84</v>
      </c>
      <c r="M98" s="131" t="s">
        <v>58</v>
      </c>
      <c r="N98" s="131" t="s">
        <v>85</v>
      </c>
      <c r="O98" s="93" t="s">
        <v>60</v>
      </c>
      <c r="P98" s="93" t="s">
        <v>60</v>
      </c>
      <c r="Q98" s="93" t="s">
        <v>60</v>
      </c>
      <c r="R98" s="91"/>
      <c r="S98" s="94" t="s">
        <v>61</v>
      </c>
      <c r="T98" s="94" t="s">
        <v>60</v>
      </c>
      <c r="U98" s="108"/>
      <c r="V98" s="108"/>
      <c r="W98" s="94" t="s">
        <v>60</v>
      </c>
      <c r="X98" s="103" t="s">
        <v>61</v>
      </c>
      <c r="Y98" s="91"/>
      <c r="Z98" s="91"/>
      <c r="AA98" s="91"/>
      <c r="AB98" s="91"/>
      <c r="AC98" s="70" t="s">
        <v>86</v>
      </c>
      <c r="AD98" s="70" t="s">
        <v>86</v>
      </c>
      <c r="AE98" s="70" t="s">
        <v>89</v>
      </c>
      <c r="AF98" s="95" t="s">
        <v>62</v>
      </c>
      <c r="AG98" s="70" t="s">
        <v>0</v>
      </c>
      <c r="AH98" s="70" t="s">
        <v>0</v>
      </c>
      <c r="AI98" s="70" t="s">
        <v>63</v>
      </c>
      <c r="AJ98" s="70" t="s">
        <v>64</v>
      </c>
      <c r="AK98" s="70"/>
      <c r="AL98" s="70"/>
      <c r="AM98" s="70" t="s">
        <v>65</v>
      </c>
      <c r="AN98" s="70" t="s">
        <v>66</v>
      </c>
      <c r="AO98" s="70" t="s">
        <v>65</v>
      </c>
      <c r="AP98" s="70" t="s">
        <v>67</v>
      </c>
      <c r="AQ98" s="70" t="s">
        <v>68</v>
      </c>
      <c r="AR98" s="70" t="s">
        <v>69</v>
      </c>
      <c r="AS98" s="70" t="s">
        <v>68</v>
      </c>
      <c r="AT98" s="70" t="s">
        <v>70</v>
      </c>
      <c r="AU98" s="70" t="s">
        <v>68</v>
      </c>
      <c r="AV98" s="67"/>
      <c r="AW98" s="68" t="s">
        <v>22</v>
      </c>
    </row>
    <row r="99" spans="1:49" ht="78">
      <c r="A99" s="1356"/>
      <c r="B99" s="1358"/>
      <c r="C99" s="126">
        <v>10</v>
      </c>
      <c r="D99" s="127" t="s">
        <v>140</v>
      </c>
      <c r="E99" s="128">
        <v>23</v>
      </c>
      <c r="F99" s="129" t="s">
        <v>95</v>
      </c>
      <c r="G99" s="132">
        <v>2</v>
      </c>
      <c r="H99" s="133" t="s">
        <v>138</v>
      </c>
      <c r="I99" s="131">
        <v>223</v>
      </c>
      <c r="J99" s="133" t="s">
        <v>95</v>
      </c>
      <c r="K99" s="131" t="s">
        <v>56</v>
      </c>
      <c r="L99" s="131" t="s">
        <v>84</v>
      </c>
      <c r="M99" s="131" t="s">
        <v>58</v>
      </c>
      <c r="N99" s="131" t="s">
        <v>85</v>
      </c>
      <c r="O99" s="93" t="s">
        <v>60</v>
      </c>
      <c r="P99" s="93" t="s">
        <v>60</v>
      </c>
      <c r="Q99" s="93" t="s">
        <v>60</v>
      </c>
      <c r="R99" s="91"/>
      <c r="S99" s="94" t="s">
        <v>61</v>
      </c>
      <c r="T99" s="94" t="s">
        <v>60</v>
      </c>
      <c r="U99" s="108"/>
      <c r="V99" s="108"/>
      <c r="W99" s="94" t="s">
        <v>60</v>
      </c>
      <c r="X99" s="103" t="s">
        <v>61</v>
      </c>
      <c r="Y99" s="91"/>
      <c r="Z99" s="91"/>
      <c r="AA99" s="91"/>
      <c r="AB99" s="91"/>
      <c r="AC99" s="70" t="s">
        <v>86</v>
      </c>
      <c r="AD99" s="70" t="s">
        <v>86</v>
      </c>
      <c r="AE99" s="70" t="s">
        <v>89</v>
      </c>
      <c r="AF99" s="95" t="s">
        <v>62</v>
      </c>
      <c r="AG99" s="70" t="s">
        <v>71</v>
      </c>
      <c r="AH99" s="96" t="s">
        <v>62</v>
      </c>
      <c r="AI99" s="70" t="s">
        <v>63</v>
      </c>
      <c r="AJ99" s="70" t="s">
        <v>64</v>
      </c>
      <c r="AK99" s="70"/>
      <c r="AL99" s="70"/>
      <c r="AM99" s="70" t="s">
        <v>65</v>
      </c>
      <c r="AN99" s="70" t="s">
        <v>71</v>
      </c>
      <c r="AO99" s="70" t="s">
        <v>65</v>
      </c>
      <c r="AP99" s="70" t="s">
        <v>71</v>
      </c>
      <c r="AQ99" s="70" t="s">
        <v>68</v>
      </c>
      <c r="AR99" s="70" t="s">
        <v>72</v>
      </c>
      <c r="AS99" s="70" t="s">
        <v>68</v>
      </c>
      <c r="AT99" s="70" t="s">
        <v>70</v>
      </c>
      <c r="AU99" s="70" t="s">
        <v>68</v>
      </c>
      <c r="AV99" s="67"/>
      <c r="AW99" s="68" t="s">
        <v>22</v>
      </c>
    </row>
    <row r="100" spans="1:49" ht="39">
      <c r="A100" s="70">
        <v>54</v>
      </c>
      <c r="B100" s="97">
        <v>55</v>
      </c>
      <c r="C100" s="126">
        <v>10</v>
      </c>
      <c r="D100" s="127" t="s">
        <v>140</v>
      </c>
      <c r="E100" s="128">
        <v>23</v>
      </c>
      <c r="F100" s="129" t="s">
        <v>95</v>
      </c>
      <c r="G100" s="132">
        <v>2</v>
      </c>
      <c r="H100" s="133" t="s">
        <v>138</v>
      </c>
      <c r="I100" s="131">
        <v>223</v>
      </c>
      <c r="J100" s="133" t="s">
        <v>95</v>
      </c>
      <c r="K100" s="131" t="s">
        <v>80</v>
      </c>
      <c r="L100" s="131" t="s">
        <v>84</v>
      </c>
      <c r="M100" s="131" t="s">
        <v>58</v>
      </c>
      <c r="N100" s="131" t="s">
        <v>85</v>
      </c>
      <c r="O100" s="93" t="s">
        <v>60</v>
      </c>
      <c r="P100" s="93" t="s">
        <v>60</v>
      </c>
      <c r="Q100" s="93" t="s">
        <v>60</v>
      </c>
      <c r="R100" s="91"/>
      <c r="S100" s="94" t="s">
        <v>61</v>
      </c>
      <c r="T100" s="94" t="s">
        <v>60</v>
      </c>
      <c r="U100" s="94" t="s">
        <v>60</v>
      </c>
      <c r="V100" s="94" t="s">
        <v>60</v>
      </c>
      <c r="W100" s="94" t="s">
        <v>60</v>
      </c>
      <c r="X100" s="91"/>
      <c r="Y100" s="91"/>
      <c r="Z100" s="91"/>
      <c r="AA100" s="91"/>
      <c r="AB100" s="91"/>
      <c r="AC100" s="95" t="s">
        <v>62</v>
      </c>
      <c r="AD100" s="95" t="s">
        <v>62</v>
      </c>
      <c r="AE100" s="95" t="s">
        <v>62</v>
      </c>
      <c r="AF100" s="95" t="s">
        <v>62</v>
      </c>
      <c r="AG100" s="96" t="s">
        <v>0</v>
      </c>
      <c r="AH100" s="70" t="s">
        <v>0</v>
      </c>
      <c r="AI100" s="70" t="s">
        <v>63</v>
      </c>
      <c r="AJ100" s="70" t="s">
        <v>64</v>
      </c>
      <c r="AK100" s="70"/>
      <c r="AL100" s="70"/>
      <c r="AM100" s="70" t="s">
        <v>62</v>
      </c>
      <c r="AN100" s="70" t="s">
        <v>62</v>
      </c>
      <c r="AO100" s="70" t="s">
        <v>62</v>
      </c>
      <c r="AP100" s="70" t="s">
        <v>62</v>
      </c>
      <c r="AQ100" s="70" t="s">
        <v>62</v>
      </c>
      <c r="AR100" s="70" t="s">
        <v>62</v>
      </c>
      <c r="AS100" s="70" t="s">
        <v>62</v>
      </c>
      <c r="AT100" s="70" t="s">
        <v>62</v>
      </c>
      <c r="AU100" s="70" t="s">
        <v>68</v>
      </c>
      <c r="AV100" s="67"/>
      <c r="AW100" s="68" t="s">
        <v>22</v>
      </c>
    </row>
    <row r="101" spans="1:49" ht="39">
      <c r="A101" s="1354">
        <v>55</v>
      </c>
      <c r="B101" s="1357">
        <v>56</v>
      </c>
      <c r="C101" s="126">
        <v>10</v>
      </c>
      <c r="D101" s="127" t="s">
        <v>140</v>
      </c>
      <c r="E101" s="128">
        <v>31</v>
      </c>
      <c r="F101" s="129" t="s">
        <v>97</v>
      </c>
      <c r="G101" s="132">
        <v>2</v>
      </c>
      <c r="H101" s="133" t="s">
        <v>138</v>
      </c>
      <c r="I101" s="131">
        <v>231</v>
      </c>
      <c r="J101" s="133" t="s">
        <v>97</v>
      </c>
      <c r="K101" s="131" t="s">
        <v>139</v>
      </c>
      <c r="L101" s="131" t="s">
        <v>84</v>
      </c>
      <c r="M101" s="131" t="s">
        <v>58</v>
      </c>
      <c r="N101" s="131" t="s">
        <v>85</v>
      </c>
      <c r="O101" s="93" t="s">
        <v>60</v>
      </c>
      <c r="P101" s="93" t="s">
        <v>60</v>
      </c>
      <c r="Q101" s="93" t="s">
        <v>60</v>
      </c>
      <c r="R101" s="91"/>
      <c r="S101" s="94" t="s">
        <v>61</v>
      </c>
      <c r="T101" s="94" t="s">
        <v>60</v>
      </c>
      <c r="U101" s="94" t="s">
        <v>60</v>
      </c>
      <c r="V101" s="94" t="s">
        <v>60</v>
      </c>
      <c r="W101" s="94" t="s">
        <v>60</v>
      </c>
      <c r="X101" s="91"/>
      <c r="Y101" s="91"/>
      <c r="Z101" s="91"/>
      <c r="AA101" s="91"/>
      <c r="AB101" s="91"/>
      <c r="AC101" s="95" t="s">
        <v>62</v>
      </c>
      <c r="AD101" s="95" t="s">
        <v>62</v>
      </c>
      <c r="AE101" s="95" t="s">
        <v>62</v>
      </c>
      <c r="AF101" s="95" t="s">
        <v>62</v>
      </c>
      <c r="AG101" s="96" t="s">
        <v>0</v>
      </c>
      <c r="AH101" s="70" t="s">
        <v>0</v>
      </c>
      <c r="AI101" s="70" t="s">
        <v>63</v>
      </c>
      <c r="AJ101" s="70" t="s">
        <v>64</v>
      </c>
      <c r="AK101" s="70"/>
      <c r="AL101" s="70"/>
      <c r="AM101" s="70" t="s">
        <v>62</v>
      </c>
      <c r="AN101" s="70" t="s">
        <v>62</v>
      </c>
      <c r="AO101" s="70" t="s">
        <v>62</v>
      </c>
      <c r="AP101" s="70" t="s">
        <v>62</v>
      </c>
      <c r="AQ101" s="70" t="s">
        <v>68</v>
      </c>
      <c r="AR101" s="70" t="s">
        <v>62</v>
      </c>
      <c r="AS101" s="70" t="s">
        <v>62</v>
      </c>
      <c r="AT101" s="70" t="s">
        <v>62</v>
      </c>
      <c r="AU101" s="70" t="s">
        <v>68</v>
      </c>
      <c r="AV101" s="67"/>
      <c r="AW101" s="68" t="s">
        <v>22</v>
      </c>
    </row>
    <row r="102" spans="1:49" ht="39">
      <c r="A102" s="1355"/>
      <c r="B102" s="1359"/>
      <c r="C102" s="126">
        <v>10</v>
      </c>
      <c r="D102" s="127" t="s">
        <v>140</v>
      </c>
      <c r="E102" s="128">
        <v>31</v>
      </c>
      <c r="F102" s="129" t="s">
        <v>97</v>
      </c>
      <c r="G102" s="132">
        <v>2</v>
      </c>
      <c r="H102" s="133" t="s">
        <v>138</v>
      </c>
      <c r="I102" s="131">
        <v>231</v>
      </c>
      <c r="J102" s="133" t="s">
        <v>97</v>
      </c>
      <c r="K102" s="131" t="s">
        <v>139</v>
      </c>
      <c r="L102" s="131" t="s">
        <v>84</v>
      </c>
      <c r="M102" s="131" t="s">
        <v>58</v>
      </c>
      <c r="N102" s="131" t="s">
        <v>85</v>
      </c>
      <c r="O102" s="93" t="s">
        <v>60</v>
      </c>
      <c r="P102" s="93" t="s">
        <v>60</v>
      </c>
      <c r="Q102" s="93" t="s">
        <v>60</v>
      </c>
      <c r="R102" s="91"/>
      <c r="S102" s="94" t="s">
        <v>61</v>
      </c>
      <c r="T102" s="94" t="s">
        <v>60</v>
      </c>
      <c r="U102" s="94" t="s">
        <v>60</v>
      </c>
      <c r="V102" s="94" t="s">
        <v>60</v>
      </c>
      <c r="W102" s="94" t="s">
        <v>60</v>
      </c>
      <c r="X102" s="91"/>
      <c r="Y102" s="91"/>
      <c r="Z102" s="91"/>
      <c r="AA102" s="91"/>
      <c r="AB102" s="91"/>
      <c r="AC102" s="95" t="s">
        <v>62</v>
      </c>
      <c r="AD102" s="95" t="s">
        <v>62</v>
      </c>
      <c r="AE102" s="95" t="s">
        <v>62</v>
      </c>
      <c r="AF102" s="95" t="s">
        <v>62</v>
      </c>
      <c r="AG102" s="96" t="s">
        <v>1</v>
      </c>
      <c r="AH102" s="70" t="s">
        <v>0</v>
      </c>
      <c r="AI102" s="70" t="s">
        <v>63</v>
      </c>
      <c r="AJ102" s="70" t="s">
        <v>64</v>
      </c>
      <c r="AK102" s="70"/>
      <c r="AL102" s="70"/>
      <c r="AM102" s="70" t="s">
        <v>62</v>
      </c>
      <c r="AN102" s="70" t="s">
        <v>62</v>
      </c>
      <c r="AO102" s="70" t="s">
        <v>62</v>
      </c>
      <c r="AP102" s="70" t="s">
        <v>62</v>
      </c>
      <c r="AQ102" s="70" t="s">
        <v>68</v>
      </c>
      <c r="AR102" s="70" t="s">
        <v>62</v>
      </c>
      <c r="AS102" s="70" t="s">
        <v>62</v>
      </c>
      <c r="AT102" s="70" t="s">
        <v>62</v>
      </c>
      <c r="AU102" s="70" t="s">
        <v>68</v>
      </c>
      <c r="AV102" s="67"/>
      <c r="AW102" s="68" t="s">
        <v>22</v>
      </c>
    </row>
    <row r="103" spans="1:49" ht="39">
      <c r="A103" s="1356"/>
      <c r="B103" s="1358"/>
      <c r="C103" s="126">
        <v>10</v>
      </c>
      <c r="D103" s="127" t="s">
        <v>140</v>
      </c>
      <c r="E103" s="128">
        <v>31</v>
      </c>
      <c r="F103" s="129" t="s">
        <v>97</v>
      </c>
      <c r="G103" s="132">
        <v>2</v>
      </c>
      <c r="H103" s="133" t="s">
        <v>138</v>
      </c>
      <c r="I103" s="131">
        <v>231</v>
      </c>
      <c r="J103" s="133" t="s">
        <v>97</v>
      </c>
      <c r="K103" s="131" t="s">
        <v>139</v>
      </c>
      <c r="L103" s="131" t="s">
        <v>84</v>
      </c>
      <c r="M103" s="131" t="s">
        <v>58</v>
      </c>
      <c r="N103" s="131" t="s">
        <v>85</v>
      </c>
      <c r="O103" s="93" t="s">
        <v>60</v>
      </c>
      <c r="P103" s="93" t="s">
        <v>60</v>
      </c>
      <c r="Q103" s="93" t="s">
        <v>60</v>
      </c>
      <c r="R103" s="91"/>
      <c r="S103" s="94" t="s">
        <v>61</v>
      </c>
      <c r="T103" s="94" t="s">
        <v>60</v>
      </c>
      <c r="U103" s="94" t="s">
        <v>60</v>
      </c>
      <c r="V103" s="94" t="s">
        <v>60</v>
      </c>
      <c r="W103" s="94" t="s">
        <v>60</v>
      </c>
      <c r="X103" s="91"/>
      <c r="Y103" s="91"/>
      <c r="Z103" s="91"/>
      <c r="AA103" s="91"/>
      <c r="AB103" s="91"/>
      <c r="AC103" s="95" t="s">
        <v>62</v>
      </c>
      <c r="AD103" s="95" t="s">
        <v>62</v>
      </c>
      <c r="AE103" s="95" t="s">
        <v>62</v>
      </c>
      <c r="AF103" s="95" t="s">
        <v>62</v>
      </c>
      <c r="AG103" s="96" t="s">
        <v>71</v>
      </c>
      <c r="AH103" s="70" t="s">
        <v>0</v>
      </c>
      <c r="AI103" s="70" t="s">
        <v>63</v>
      </c>
      <c r="AJ103" s="70" t="s">
        <v>64</v>
      </c>
      <c r="AK103" s="70"/>
      <c r="AL103" s="70"/>
      <c r="AM103" s="70" t="s">
        <v>62</v>
      </c>
      <c r="AN103" s="70" t="s">
        <v>62</v>
      </c>
      <c r="AO103" s="70" t="s">
        <v>62</v>
      </c>
      <c r="AP103" s="70" t="s">
        <v>62</v>
      </c>
      <c r="AQ103" s="70" t="s">
        <v>68</v>
      </c>
      <c r="AR103" s="70" t="s">
        <v>62</v>
      </c>
      <c r="AS103" s="70" t="s">
        <v>62</v>
      </c>
      <c r="AT103" s="70" t="s">
        <v>62</v>
      </c>
      <c r="AU103" s="70" t="s">
        <v>68</v>
      </c>
      <c r="AV103" s="67"/>
      <c r="AW103" s="68" t="s">
        <v>22</v>
      </c>
    </row>
    <row r="104" spans="1:49" ht="78">
      <c r="A104" s="1354">
        <v>56</v>
      </c>
      <c r="B104" s="1357">
        <v>57</v>
      </c>
      <c r="C104" s="126">
        <v>10</v>
      </c>
      <c r="D104" s="127" t="s">
        <v>140</v>
      </c>
      <c r="E104" s="128">
        <v>31</v>
      </c>
      <c r="F104" s="129" t="s">
        <v>97</v>
      </c>
      <c r="G104" s="132">
        <v>2</v>
      </c>
      <c r="H104" s="133" t="s">
        <v>138</v>
      </c>
      <c r="I104" s="131">
        <v>231</v>
      </c>
      <c r="J104" s="133" t="s">
        <v>97</v>
      </c>
      <c r="K104" s="131" t="s">
        <v>56</v>
      </c>
      <c r="L104" s="131" t="s">
        <v>84</v>
      </c>
      <c r="M104" s="131" t="s">
        <v>58</v>
      </c>
      <c r="N104" s="131" t="s">
        <v>85</v>
      </c>
      <c r="O104" s="93" t="s">
        <v>60</v>
      </c>
      <c r="P104" s="93" t="s">
        <v>60</v>
      </c>
      <c r="Q104" s="93" t="s">
        <v>60</v>
      </c>
      <c r="R104" s="91"/>
      <c r="S104" s="94" t="s">
        <v>61</v>
      </c>
      <c r="T104" s="94" t="s">
        <v>60</v>
      </c>
      <c r="U104" s="108"/>
      <c r="V104" s="108"/>
      <c r="W104" s="94" t="s">
        <v>60</v>
      </c>
      <c r="X104" s="103" t="s">
        <v>61</v>
      </c>
      <c r="Y104" s="91"/>
      <c r="Z104" s="91"/>
      <c r="AA104" s="91"/>
      <c r="AB104" s="91"/>
      <c r="AC104" s="70" t="s">
        <v>86</v>
      </c>
      <c r="AD104" s="70" t="s">
        <v>86</v>
      </c>
      <c r="AE104" s="70" t="s">
        <v>89</v>
      </c>
      <c r="AF104" s="95" t="s">
        <v>62</v>
      </c>
      <c r="AG104" s="70" t="s">
        <v>0</v>
      </c>
      <c r="AH104" s="70" t="s">
        <v>0</v>
      </c>
      <c r="AI104" s="70" t="s">
        <v>63</v>
      </c>
      <c r="AJ104" s="70" t="s">
        <v>64</v>
      </c>
      <c r="AK104" s="70"/>
      <c r="AL104" s="70"/>
      <c r="AM104" s="70" t="s">
        <v>65</v>
      </c>
      <c r="AN104" s="70" t="s">
        <v>66</v>
      </c>
      <c r="AO104" s="70" t="s">
        <v>65</v>
      </c>
      <c r="AP104" s="70" t="s">
        <v>67</v>
      </c>
      <c r="AQ104" s="70" t="s">
        <v>68</v>
      </c>
      <c r="AR104" s="70" t="s">
        <v>69</v>
      </c>
      <c r="AS104" s="70" t="s">
        <v>68</v>
      </c>
      <c r="AT104" s="70" t="s">
        <v>70</v>
      </c>
      <c r="AU104" s="70" t="s">
        <v>68</v>
      </c>
      <c r="AV104" s="67"/>
      <c r="AW104" s="68" t="s">
        <v>22</v>
      </c>
    </row>
    <row r="105" spans="1:49" ht="78">
      <c r="A105" s="1356"/>
      <c r="B105" s="1358"/>
      <c r="C105" s="126">
        <v>10</v>
      </c>
      <c r="D105" s="127" t="s">
        <v>140</v>
      </c>
      <c r="E105" s="128">
        <v>31</v>
      </c>
      <c r="F105" s="129" t="s">
        <v>97</v>
      </c>
      <c r="G105" s="132">
        <v>2</v>
      </c>
      <c r="H105" s="133" t="s">
        <v>138</v>
      </c>
      <c r="I105" s="131">
        <v>231</v>
      </c>
      <c r="J105" s="133" t="s">
        <v>97</v>
      </c>
      <c r="K105" s="131" t="s">
        <v>56</v>
      </c>
      <c r="L105" s="131" t="s">
        <v>84</v>
      </c>
      <c r="M105" s="131" t="s">
        <v>58</v>
      </c>
      <c r="N105" s="131" t="s">
        <v>85</v>
      </c>
      <c r="O105" s="93" t="s">
        <v>60</v>
      </c>
      <c r="P105" s="93" t="s">
        <v>60</v>
      </c>
      <c r="Q105" s="93" t="s">
        <v>60</v>
      </c>
      <c r="R105" s="91"/>
      <c r="S105" s="94" t="s">
        <v>61</v>
      </c>
      <c r="T105" s="94" t="s">
        <v>60</v>
      </c>
      <c r="U105" s="108"/>
      <c r="V105" s="108"/>
      <c r="W105" s="94" t="s">
        <v>60</v>
      </c>
      <c r="X105" s="103" t="s">
        <v>61</v>
      </c>
      <c r="Y105" s="91"/>
      <c r="Z105" s="91"/>
      <c r="AA105" s="91"/>
      <c r="AB105" s="91"/>
      <c r="AC105" s="70" t="s">
        <v>86</v>
      </c>
      <c r="AD105" s="70" t="s">
        <v>86</v>
      </c>
      <c r="AE105" s="70" t="s">
        <v>89</v>
      </c>
      <c r="AF105" s="95" t="s">
        <v>62</v>
      </c>
      <c r="AG105" s="70" t="s">
        <v>71</v>
      </c>
      <c r="AH105" s="96" t="s">
        <v>62</v>
      </c>
      <c r="AI105" s="70" t="s">
        <v>63</v>
      </c>
      <c r="AJ105" s="70" t="s">
        <v>64</v>
      </c>
      <c r="AK105" s="70"/>
      <c r="AL105" s="70"/>
      <c r="AM105" s="70" t="s">
        <v>65</v>
      </c>
      <c r="AN105" s="70" t="s">
        <v>71</v>
      </c>
      <c r="AO105" s="70" t="s">
        <v>65</v>
      </c>
      <c r="AP105" s="70" t="s">
        <v>71</v>
      </c>
      <c r="AQ105" s="70" t="s">
        <v>68</v>
      </c>
      <c r="AR105" s="70" t="s">
        <v>72</v>
      </c>
      <c r="AS105" s="70" t="s">
        <v>68</v>
      </c>
      <c r="AT105" s="70" t="s">
        <v>70</v>
      </c>
      <c r="AU105" s="70" t="s">
        <v>68</v>
      </c>
      <c r="AV105" s="67"/>
      <c r="AW105" s="68" t="s">
        <v>22</v>
      </c>
    </row>
    <row r="106" spans="1:49" ht="39">
      <c r="A106" s="70">
        <v>57</v>
      </c>
      <c r="B106" s="97">
        <v>58</v>
      </c>
      <c r="C106" s="126">
        <v>10</v>
      </c>
      <c r="D106" s="127" t="s">
        <v>140</v>
      </c>
      <c r="E106" s="128">
        <v>31</v>
      </c>
      <c r="F106" s="129" t="s">
        <v>97</v>
      </c>
      <c r="G106" s="132">
        <v>2</v>
      </c>
      <c r="H106" s="133" t="s">
        <v>138</v>
      </c>
      <c r="I106" s="131">
        <v>231</v>
      </c>
      <c r="J106" s="133" t="s">
        <v>97</v>
      </c>
      <c r="K106" s="131" t="s">
        <v>80</v>
      </c>
      <c r="L106" s="131" t="s">
        <v>84</v>
      </c>
      <c r="M106" s="131" t="s">
        <v>58</v>
      </c>
      <c r="N106" s="131" t="s">
        <v>85</v>
      </c>
      <c r="O106" s="93" t="s">
        <v>60</v>
      </c>
      <c r="P106" s="93" t="s">
        <v>60</v>
      </c>
      <c r="Q106" s="93" t="s">
        <v>60</v>
      </c>
      <c r="R106" s="91"/>
      <c r="S106" s="94" t="s">
        <v>61</v>
      </c>
      <c r="T106" s="94" t="s">
        <v>60</v>
      </c>
      <c r="U106" s="94" t="s">
        <v>60</v>
      </c>
      <c r="V106" s="94" t="s">
        <v>60</v>
      </c>
      <c r="W106" s="94" t="s">
        <v>60</v>
      </c>
      <c r="X106" s="91"/>
      <c r="Y106" s="91"/>
      <c r="Z106" s="91"/>
      <c r="AA106" s="91"/>
      <c r="AB106" s="91"/>
      <c r="AC106" s="95" t="s">
        <v>62</v>
      </c>
      <c r="AD106" s="95" t="s">
        <v>62</v>
      </c>
      <c r="AE106" s="95" t="s">
        <v>62</v>
      </c>
      <c r="AF106" s="95" t="s">
        <v>62</v>
      </c>
      <c r="AG106" s="96" t="s">
        <v>0</v>
      </c>
      <c r="AH106" s="70" t="s">
        <v>0</v>
      </c>
      <c r="AI106" s="70" t="s">
        <v>63</v>
      </c>
      <c r="AJ106" s="70" t="s">
        <v>64</v>
      </c>
      <c r="AK106" s="70"/>
      <c r="AL106" s="70"/>
      <c r="AM106" s="70" t="s">
        <v>62</v>
      </c>
      <c r="AN106" s="70" t="s">
        <v>62</v>
      </c>
      <c r="AO106" s="70" t="s">
        <v>62</v>
      </c>
      <c r="AP106" s="70" t="s">
        <v>62</v>
      </c>
      <c r="AQ106" s="70" t="s">
        <v>62</v>
      </c>
      <c r="AR106" s="70" t="s">
        <v>62</v>
      </c>
      <c r="AS106" s="70" t="s">
        <v>62</v>
      </c>
      <c r="AT106" s="70" t="s">
        <v>62</v>
      </c>
      <c r="AU106" s="70" t="s">
        <v>68</v>
      </c>
      <c r="AV106" s="67"/>
      <c r="AW106" s="68" t="s">
        <v>22</v>
      </c>
    </row>
    <row r="107" spans="1:49" ht="39">
      <c r="A107" s="1354">
        <v>58</v>
      </c>
      <c r="B107" s="1357">
        <v>59</v>
      </c>
      <c r="C107" s="126">
        <v>10</v>
      </c>
      <c r="D107" s="127" t="s">
        <v>140</v>
      </c>
      <c r="E107" s="128">
        <v>32</v>
      </c>
      <c r="F107" s="129" t="s">
        <v>99</v>
      </c>
      <c r="G107" s="132">
        <v>2</v>
      </c>
      <c r="H107" s="133" t="s">
        <v>138</v>
      </c>
      <c r="I107" s="131">
        <v>232</v>
      </c>
      <c r="J107" s="133" t="s">
        <v>141</v>
      </c>
      <c r="K107" s="131" t="s">
        <v>139</v>
      </c>
      <c r="L107" s="131" t="s">
        <v>84</v>
      </c>
      <c r="M107" s="131" t="s">
        <v>58</v>
      </c>
      <c r="N107" s="131" t="s">
        <v>85</v>
      </c>
      <c r="O107" s="93" t="s">
        <v>60</v>
      </c>
      <c r="P107" s="93" t="s">
        <v>60</v>
      </c>
      <c r="Q107" s="93" t="s">
        <v>60</v>
      </c>
      <c r="R107" s="91"/>
      <c r="S107" s="94" t="s">
        <v>61</v>
      </c>
      <c r="T107" s="94" t="s">
        <v>60</v>
      </c>
      <c r="U107" s="94" t="s">
        <v>60</v>
      </c>
      <c r="V107" s="94" t="s">
        <v>60</v>
      </c>
      <c r="W107" s="94" t="s">
        <v>60</v>
      </c>
      <c r="X107" s="91"/>
      <c r="Y107" s="91"/>
      <c r="Z107" s="91"/>
      <c r="AA107" s="91"/>
      <c r="AB107" s="91"/>
      <c r="AC107" s="95" t="s">
        <v>62</v>
      </c>
      <c r="AD107" s="95" t="s">
        <v>62</v>
      </c>
      <c r="AE107" s="95" t="s">
        <v>62</v>
      </c>
      <c r="AF107" s="95" t="s">
        <v>62</v>
      </c>
      <c r="AG107" s="96" t="s">
        <v>0</v>
      </c>
      <c r="AH107" s="70" t="s">
        <v>0</v>
      </c>
      <c r="AI107" s="70" t="s">
        <v>63</v>
      </c>
      <c r="AJ107" s="70" t="s">
        <v>64</v>
      </c>
      <c r="AK107" s="70"/>
      <c r="AL107" s="70"/>
      <c r="AM107" s="70" t="s">
        <v>62</v>
      </c>
      <c r="AN107" s="70" t="s">
        <v>62</v>
      </c>
      <c r="AO107" s="70" t="s">
        <v>62</v>
      </c>
      <c r="AP107" s="70" t="s">
        <v>62</v>
      </c>
      <c r="AQ107" s="70" t="s">
        <v>68</v>
      </c>
      <c r="AR107" s="70" t="s">
        <v>62</v>
      </c>
      <c r="AS107" s="70" t="s">
        <v>62</v>
      </c>
      <c r="AT107" s="70" t="s">
        <v>62</v>
      </c>
      <c r="AU107" s="70" t="s">
        <v>68</v>
      </c>
      <c r="AV107" s="67"/>
      <c r="AW107" s="68" t="s">
        <v>22</v>
      </c>
    </row>
    <row r="108" spans="1:49" ht="39">
      <c r="A108" s="1355"/>
      <c r="B108" s="1359"/>
      <c r="C108" s="126">
        <v>10</v>
      </c>
      <c r="D108" s="127" t="s">
        <v>140</v>
      </c>
      <c r="E108" s="128">
        <v>32</v>
      </c>
      <c r="F108" s="129" t="s">
        <v>99</v>
      </c>
      <c r="G108" s="132">
        <v>2</v>
      </c>
      <c r="H108" s="133" t="s">
        <v>138</v>
      </c>
      <c r="I108" s="131">
        <v>232</v>
      </c>
      <c r="J108" s="133" t="s">
        <v>141</v>
      </c>
      <c r="K108" s="131" t="s">
        <v>139</v>
      </c>
      <c r="L108" s="131" t="s">
        <v>84</v>
      </c>
      <c r="M108" s="131" t="s">
        <v>58</v>
      </c>
      <c r="N108" s="131" t="s">
        <v>85</v>
      </c>
      <c r="O108" s="93" t="s">
        <v>60</v>
      </c>
      <c r="P108" s="93" t="s">
        <v>60</v>
      </c>
      <c r="Q108" s="93" t="s">
        <v>60</v>
      </c>
      <c r="R108" s="91"/>
      <c r="S108" s="94" t="s">
        <v>61</v>
      </c>
      <c r="T108" s="94" t="s">
        <v>60</v>
      </c>
      <c r="U108" s="94" t="s">
        <v>60</v>
      </c>
      <c r="V108" s="94" t="s">
        <v>60</v>
      </c>
      <c r="W108" s="94" t="s">
        <v>60</v>
      </c>
      <c r="X108" s="91"/>
      <c r="Y108" s="91"/>
      <c r="Z108" s="91"/>
      <c r="AA108" s="91"/>
      <c r="AB108" s="91"/>
      <c r="AC108" s="95" t="s">
        <v>62</v>
      </c>
      <c r="AD108" s="95" t="s">
        <v>62</v>
      </c>
      <c r="AE108" s="95" t="s">
        <v>62</v>
      </c>
      <c r="AF108" s="95" t="s">
        <v>62</v>
      </c>
      <c r="AG108" s="96" t="s">
        <v>1</v>
      </c>
      <c r="AH108" s="70" t="s">
        <v>0</v>
      </c>
      <c r="AI108" s="70" t="s">
        <v>63</v>
      </c>
      <c r="AJ108" s="70" t="s">
        <v>64</v>
      </c>
      <c r="AK108" s="70"/>
      <c r="AL108" s="70"/>
      <c r="AM108" s="70" t="s">
        <v>62</v>
      </c>
      <c r="AN108" s="70" t="s">
        <v>62</v>
      </c>
      <c r="AO108" s="70" t="s">
        <v>62</v>
      </c>
      <c r="AP108" s="70" t="s">
        <v>62</v>
      </c>
      <c r="AQ108" s="70" t="s">
        <v>68</v>
      </c>
      <c r="AR108" s="70" t="s">
        <v>62</v>
      </c>
      <c r="AS108" s="70" t="s">
        <v>62</v>
      </c>
      <c r="AT108" s="70" t="s">
        <v>62</v>
      </c>
      <c r="AU108" s="70" t="s">
        <v>68</v>
      </c>
      <c r="AV108" s="67"/>
      <c r="AW108" s="68" t="s">
        <v>22</v>
      </c>
    </row>
    <row r="109" spans="1:49" ht="39">
      <c r="A109" s="1356"/>
      <c r="B109" s="1358"/>
      <c r="C109" s="126">
        <v>10</v>
      </c>
      <c r="D109" s="127" t="s">
        <v>140</v>
      </c>
      <c r="E109" s="128">
        <v>32</v>
      </c>
      <c r="F109" s="129" t="s">
        <v>99</v>
      </c>
      <c r="G109" s="132">
        <v>2</v>
      </c>
      <c r="H109" s="133" t="s">
        <v>138</v>
      </c>
      <c r="I109" s="131">
        <v>232</v>
      </c>
      <c r="J109" s="133" t="s">
        <v>141</v>
      </c>
      <c r="K109" s="131" t="s">
        <v>139</v>
      </c>
      <c r="L109" s="131" t="s">
        <v>84</v>
      </c>
      <c r="M109" s="131" t="s">
        <v>58</v>
      </c>
      <c r="N109" s="131" t="s">
        <v>85</v>
      </c>
      <c r="O109" s="93" t="s">
        <v>60</v>
      </c>
      <c r="P109" s="93" t="s">
        <v>60</v>
      </c>
      <c r="Q109" s="93" t="s">
        <v>60</v>
      </c>
      <c r="R109" s="91"/>
      <c r="S109" s="94" t="s">
        <v>61</v>
      </c>
      <c r="T109" s="94" t="s">
        <v>60</v>
      </c>
      <c r="U109" s="94" t="s">
        <v>60</v>
      </c>
      <c r="V109" s="94" t="s">
        <v>60</v>
      </c>
      <c r="W109" s="94" t="s">
        <v>60</v>
      </c>
      <c r="X109" s="91"/>
      <c r="Y109" s="91"/>
      <c r="Z109" s="91"/>
      <c r="AA109" s="91"/>
      <c r="AB109" s="91"/>
      <c r="AC109" s="95" t="s">
        <v>62</v>
      </c>
      <c r="AD109" s="95" t="s">
        <v>62</v>
      </c>
      <c r="AE109" s="95" t="s">
        <v>62</v>
      </c>
      <c r="AF109" s="95" t="s">
        <v>62</v>
      </c>
      <c r="AG109" s="96" t="s">
        <v>71</v>
      </c>
      <c r="AH109" s="70" t="s">
        <v>0</v>
      </c>
      <c r="AI109" s="70" t="s">
        <v>63</v>
      </c>
      <c r="AJ109" s="70" t="s">
        <v>64</v>
      </c>
      <c r="AK109" s="70"/>
      <c r="AL109" s="70"/>
      <c r="AM109" s="70" t="s">
        <v>62</v>
      </c>
      <c r="AN109" s="70" t="s">
        <v>62</v>
      </c>
      <c r="AO109" s="70" t="s">
        <v>62</v>
      </c>
      <c r="AP109" s="70" t="s">
        <v>62</v>
      </c>
      <c r="AQ109" s="70" t="s">
        <v>68</v>
      </c>
      <c r="AR109" s="70" t="s">
        <v>62</v>
      </c>
      <c r="AS109" s="70" t="s">
        <v>62</v>
      </c>
      <c r="AT109" s="70" t="s">
        <v>62</v>
      </c>
      <c r="AU109" s="70" t="s">
        <v>68</v>
      </c>
      <c r="AV109" s="67"/>
      <c r="AW109" s="68" t="s">
        <v>22</v>
      </c>
    </row>
    <row r="110" spans="1:49" ht="78">
      <c r="A110" s="1354">
        <v>59</v>
      </c>
      <c r="B110" s="1357">
        <v>60</v>
      </c>
      <c r="C110" s="126">
        <v>10</v>
      </c>
      <c r="D110" s="127" t="s">
        <v>140</v>
      </c>
      <c r="E110" s="128">
        <v>32</v>
      </c>
      <c r="F110" s="129" t="s">
        <v>99</v>
      </c>
      <c r="G110" s="132">
        <v>2</v>
      </c>
      <c r="H110" s="133" t="s">
        <v>138</v>
      </c>
      <c r="I110" s="131">
        <v>232</v>
      </c>
      <c r="J110" s="133" t="s">
        <v>141</v>
      </c>
      <c r="K110" s="131" t="s">
        <v>56</v>
      </c>
      <c r="L110" s="131" t="s">
        <v>84</v>
      </c>
      <c r="M110" s="131" t="s">
        <v>58</v>
      </c>
      <c r="N110" s="131" t="s">
        <v>85</v>
      </c>
      <c r="O110" s="93" t="s">
        <v>60</v>
      </c>
      <c r="P110" s="93" t="s">
        <v>60</v>
      </c>
      <c r="Q110" s="93" t="s">
        <v>60</v>
      </c>
      <c r="R110" s="91"/>
      <c r="S110" s="94" t="s">
        <v>61</v>
      </c>
      <c r="T110" s="94" t="s">
        <v>60</v>
      </c>
      <c r="U110" s="94" t="s">
        <v>60</v>
      </c>
      <c r="V110" s="94" t="s">
        <v>60</v>
      </c>
      <c r="W110" s="94" t="s">
        <v>60</v>
      </c>
      <c r="X110" s="103" t="s">
        <v>61</v>
      </c>
      <c r="Y110" s="91"/>
      <c r="Z110" s="91"/>
      <c r="AA110" s="91"/>
      <c r="AB110" s="91"/>
      <c r="AC110" s="70" t="s">
        <v>86</v>
      </c>
      <c r="AD110" s="70" t="s">
        <v>86</v>
      </c>
      <c r="AE110" s="70" t="s">
        <v>89</v>
      </c>
      <c r="AF110" s="95" t="s">
        <v>62</v>
      </c>
      <c r="AG110" s="70" t="s">
        <v>0</v>
      </c>
      <c r="AH110" s="70" t="s">
        <v>0</v>
      </c>
      <c r="AI110" s="70" t="s">
        <v>63</v>
      </c>
      <c r="AJ110" s="70" t="s">
        <v>64</v>
      </c>
      <c r="AK110" s="70"/>
      <c r="AL110" s="70"/>
      <c r="AM110" s="70" t="s">
        <v>65</v>
      </c>
      <c r="AN110" s="70" t="s">
        <v>66</v>
      </c>
      <c r="AO110" s="70" t="s">
        <v>65</v>
      </c>
      <c r="AP110" s="70" t="s">
        <v>67</v>
      </c>
      <c r="AQ110" s="70" t="s">
        <v>68</v>
      </c>
      <c r="AR110" s="70" t="s">
        <v>69</v>
      </c>
      <c r="AS110" s="70" t="s">
        <v>68</v>
      </c>
      <c r="AT110" s="70" t="s">
        <v>70</v>
      </c>
      <c r="AU110" s="70" t="s">
        <v>68</v>
      </c>
      <c r="AV110" s="67"/>
      <c r="AW110" s="68" t="s">
        <v>22</v>
      </c>
    </row>
    <row r="111" spans="1:49" ht="78">
      <c r="A111" s="1356"/>
      <c r="B111" s="1358"/>
      <c r="C111" s="126">
        <v>10</v>
      </c>
      <c r="D111" s="127" t="s">
        <v>140</v>
      </c>
      <c r="E111" s="128">
        <v>32</v>
      </c>
      <c r="F111" s="129" t="s">
        <v>99</v>
      </c>
      <c r="G111" s="132">
        <v>2</v>
      </c>
      <c r="H111" s="133" t="s">
        <v>138</v>
      </c>
      <c r="I111" s="131">
        <v>232</v>
      </c>
      <c r="J111" s="133" t="s">
        <v>141</v>
      </c>
      <c r="K111" s="131" t="s">
        <v>56</v>
      </c>
      <c r="L111" s="131" t="s">
        <v>84</v>
      </c>
      <c r="M111" s="131" t="s">
        <v>58</v>
      </c>
      <c r="N111" s="131" t="s">
        <v>85</v>
      </c>
      <c r="O111" s="93" t="s">
        <v>60</v>
      </c>
      <c r="P111" s="93" t="s">
        <v>60</v>
      </c>
      <c r="Q111" s="93" t="s">
        <v>60</v>
      </c>
      <c r="R111" s="91"/>
      <c r="S111" s="94" t="s">
        <v>61</v>
      </c>
      <c r="T111" s="94" t="s">
        <v>60</v>
      </c>
      <c r="U111" s="94" t="s">
        <v>60</v>
      </c>
      <c r="V111" s="94" t="s">
        <v>60</v>
      </c>
      <c r="W111" s="94" t="s">
        <v>60</v>
      </c>
      <c r="X111" s="103" t="s">
        <v>61</v>
      </c>
      <c r="Y111" s="91"/>
      <c r="Z111" s="91"/>
      <c r="AA111" s="91"/>
      <c r="AB111" s="91"/>
      <c r="AC111" s="70" t="s">
        <v>86</v>
      </c>
      <c r="AD111" s="70" t="s">
        <v>86</v>
      </c>
      <c r="AE111" s="70" t="s">
        <v>89</v>
      </c>
      <c r="AF111" s="95" t="s">
        <v>62</v>
      </c>
      <c r="AG111" s="70" t="s">
        <v>71</v>
      </c>
      <c r="AH111" s="96" t="s">
        <v>62</v>
      </c>
      <c r="AI111" s="70" t="s">
        <v>63</v>
      </c>
      <c r="AJ111" s="70" t="s">
        <v>64</v>
      </c>
      <c r="AK111" s="70"/>
      <c r="AL111" s="70"/>
      <c r="AM111" s="70" t="s">
        <v>65</v>
      </c>
      <c r="AN111" s="70" t="s">
        <v>71</v>
      </c>
      <c r="AO111" s="70" t="s">
        <v>65</v>
      </c>
      <c r="AP111" s="70" t="s">
        <v>71</v>
      </c>
      <c r="AQ111" s="70" t="s">
        <v>68</v>
      </c>
      <c r="AR111" s="70" t="s">
        <v>72</v>
      </c>
      <c r="AS111" s="70" t="s">
        <v>68</v>
      </c>
      <c r="AT111" s="70" t="s">
        <v>70</v>
      </c>
      <c r="AU111" s="70" t="s">
        <v>68</v>
      </c>
      <c r="AV111" s="67"/>
      <c r="AW111" s="68" t="s">
        <v>22</v>
      </c>
    </row>
    <row r="112" spans="1:49" ht="39">
      <c r="A112" s="70">
        <v>60</v>
      </c>
      <c r="B112" s="97">
        <v>61</v>
      </c>
      <c r="C112" s="126">
        <v>10</v>
      </c>
      <c r="D112" s="127" t="s">
        <v>140</v>
      </c>
      <c r="E112" s="128">
        <v>32</v>
      </c>
      <c r="F112" s="129" t="s">
        <v>99</v>
      </c>
      <c r="G112" s="132">
        <v>2</v>
      </c>
      <c r="H112" s="133" t="s">
        <v>138</v>
      </c>
      <c r="I112" s="131">
        <v>232</v>
      </c>
      <c r="J112" s="133" t="s">
        <v>141</v>
      </c>
      <c r="K112" s="131" t="s">
        <v>80</v>
      </c>
      <c r="L112" s="131" t="s">
        <v>84</v>
      </c>
      <c r="M112" s="131" t="s">
        <v>58</v>
      </c>
      <c r="N112" s="131" t="s">
        <v>85</v>
      </c>
      <c r="O112" s="93" t="s">
        <v>60</v>
      </c>
      <c r="P112" s="93" t="s">
        <v>60</v>
      </c>
      <c r="Q112" s="93" t="s">
        <v>60</v>
      </c>
      <c r="R112" s="91"/>
      <c r="S112" s="94" t="s">
        <v>61</v>
      </c>
      <c r="T112" s="94" t="s">
        <v>60</v>
      </c>
      <c r="U112" s="94" t="s">
        <v>60</v>
      </c>
      <c r="V112" s="94" t="s">
        <v>60</v>
      </c>
      <c r="W112" s="94" t="s">
        <v>60</v>
      </c>
      <c r="X112" s="91"/>
      <c r="Y112" s="91"/>
      <c r="Z112" s="91"/>
      <c r="AA112" s="91"/>
      <c r="AB112" s="91"/>
      <c r="AC112" s="95" t="s">
        <v>62</v>
      </c>
      <c r="AD112" s="95" t="s">
        <v>62</v>
      </c>
      <c r="AE112" s="95" t="s">
        <v>62</v>
      </c>
      <c r="AF112" s="95" t="s">
        <v>62</v>
      </c>
      <c r="AG112" s="96" t="s">
        <v>0</v>
      </c>
      <c r="AH112" s="70" t="s">
        <v>0</v>
      </c>
      <c r="AI112" s="70" t="s">
        <v>63</v>
      </c>
      <c r="AJ112" s="70" t="s">
        <v>64</v>
      </c>
      <c r="AK112" s="70"/>
      <c r="AL112" s="70"/>
      <c r="AM112" s="70" t="s">
        <v>62</v>
      </c>
      <c r="AN112" s="70" t="s">
        <v>62</v>
      </c>
      <c r="AO112" s="70" t="s">
        <v>62</v>
      </c>
      <c r="AP112" s="70" t="s">
        <v>62</v>
      </c>
      <c r="AQ112" s="70" t="s">
        <v>62</v>
      </c>
      <c r="AR112" s="70" t="s">
        <v>62</v>
      </c>
      <c r="AS112" s="70" t="s">
        <v>62</v>
      </c>
      <c r="AT112" s="70" t="s">
        <v>62</v>
      </c>
      <c r="AU112" s="70" t="s">
        <v>68</v>
      </c>
      <c r="AV112" s="67"/>
      <c r="AW112" s="68" t="s">
        <v>22</v>
      </c>
    </row>
    <row r="113" spans="1:49" ht="39">
      <c r="A113" s="1354">
        <v>61</v>
      </c>
      <c r="B113" s="1357">
        <v>62</v>
      </c>
      <c r="C113" s="91">
        <v>40</v>
      </c>
      <c r="D113" s="106" t="s">
        <v>101</v>
      </c>
      <c r="E113" s="105">
        <v>33</v>
      </c>
      <c r="F113" s="92" t="s">
        <v>102</v>
      </c>
      <c r="G113" s="109">
        <v>2</v>
      </c>
      <c r="H113" s="87" t="s">
        <v>138</v>
      </c>
      <c r="I113" s="80">
        <v>233</v>
      </c>
      <c r="J113" s="87" t="s">
        <v>142</v>
      </c>
      <c r="K113" s="80" t="s">
        <v>139</v>
      </c>
      <c r="L113" s="80" t="s">
        <v>84</v>
      </c>
      <c r="M113" s="80" t="s">
        <v>58</v>
      </c>
      <c r="N113" s="80" t="s">
        <v>85</v>
      </c>
      <c r="O113" s="93" t="s">
        <v>60</v>
      </c>
      <c r="P113" s="93" t="s">
        <v>60</v>
      </c>
      <c r="Q113" s="93" t="s">
        <v>60</v>
      </c>
      <c r="R113" s="91"/>
      <c r="S113" s="94" t="s">
        <v>61</v>
      </c>
      <c r="T113" s="94" t="s">
        <v>60</v>
      </c>
      <c r="U113" s="94" t="s">
        <v>60</v>
      </c>
      <c r="V113" s="94" t="s">
        <v>60</v>
      </c>
      <c r="W113" s="94" t="s">
        <v>60</v>
      </c>
      <c r="X113" s="91"/>
      <c r="Y113" s="91"/>
      <c r="Z113" s="91"/>
      <c r="AA113" s="91"/>
      <c r="AB113" s="91"/>
      <c r="AC113" s="95" t="s">
        <v>62</v>
      </c>
      <c r="AD113" s="95" t="s">
        <v>62</v>
      </c>
      <c r="AE113" s="95" t="s">
        <v>62</v>
      </c>
      <c r="AF113" s="95" t="s">
        <v>62</v>
      </c>
      <c r="AG113" s="96" t="s">
        <v>0</v>
      </c>
      <c r="AH113" s="70" t="s">
        <v>0</v>
      </c>
      <c r="AI113" s="70" t="s">
        <v>63</v>
      </c>
      <c r="AJ113" s="70" t="s">
        <v>64</v>
      </c>
      <c r="AK113" s="70"/>
      <c r="AL113" s="70"/>
      <c r="AM113" s="70" t="s">
        <v>62</v>
      </c>
      <c r="AN113" s="70" t="s">
        <v>62</v>
      </c>
      <c r="AO113" s="70" t="s">
        <v>62</v>
      </c>
      <c r="AP113" s="70" t="s">
        <v>62</v>
      </c>
      <c r="AQ113" s="70" t="s">
        <v>68</v>
      </c>
      <c r="AR113" s="70" t="s">
        <v>62</v>
      </c>
      <c r="AS113" s="70" t="s">
        <v>62</v>
      </c>
      <c r="AT113" s="70" t="s">
        <v>62</v>
      </c>
      <c r="AU113" s="70" t="s">
        <v>68</v>
      </c>
      <c r="AV113" s="67"/>
      <c r="AW113" s="68" t="s">
        <v>22</v>
      </c>
    </row>
    <row r="114" spans="1:49" ht="39">
      <c r="A114" s="1355"/>
      <c r="B114" s="1359"/>
      <c r="C114" s="91">
        <v>40</v>
      </c>
      <c r="D114" s="106" t="s">
        <v>101</v>
      </c>
      <c r="E114" s="105">
        <v>33</v>
      </c>
      <c r="F114" s="92" t="s">
        <v>102</v>
      </c>
      <c r="G114" s="109">
        <v>2</v>
      </c>
      <c r="H114" s="87" t="s">
        <v>138</v>
      </c>
      <c r="I114" s="80">
        <v>233</v>
      </c>
      <c r="J114" s="87" t="s">
        <v>142</v>
      </c>
      <c r="K114" s="80" t="s">
        <v>139</v>
      </c>
      <c r="L114" s="80" t="s">
        <v>84</v>
      </c>
      <c r="M114" s="80" t="s">
        <v>58</v>
      </c>
      <c r="N114" s="80" t="s">
        <v>85</v>
      </c>
      <c r="O114" s="93" t="s">
        <v>60</v>
      </c>
      <c r="P114" s="93" t="s">
        <v>60</v>
      </c>
      <c r="Q114" s="93" t="s">
        <v>60</v>
      </c>
      <c r="R114" s="91"/>
      <c r="S114" s="94" t="s">
        <v>61</v>
      </c>
      <c r="T114" s="94" t="s">
        <v>60</v>
      </c>
      <c r="U114" s="94" t="s">
        <v>60</v>
      </c>
      <c r="V114" s="94" t="s">
        <v>60</v>
      </c>
      <c r="W114" s="94" t="s">
        <v>60</v>
      </c>
      <c r="X114" s="91"/>
      <c r="Y114" s="91"/>
      <c r="Z114" s="91"/>
      <c r="AA114" s="91"/>
      <c r="AB114" s="91"/>
      <c r="AC114" s="95" t="s">
        <v>62</v>
      </c>
      <c r="AD114" s="95" t="s">
        <v>62</v>
      </c>
      <c r="AE114" s="95" t="s">
        <v>62</v>
      </c>
      <c r="AF114" s="95" t="s">
        <v>62</v>
      </c>
      <c r="AG114" s="96" t="s">
        <v>1</v>
      </c>
      <c r="AH114" s="70" t="s">
        <v>0</v>
      </c>
      <c r="AI114" s="70" t="s">
        <v>63</v>
      </c>
      <c r="AJ114" s="70" t="s">
        <v>64</v>
      </c>
      <c r="AK114" s="70"/>
      <c r="AL114" s="70"/>
      <c r="AM114" s="70" t="s">
        <v>62</v>
      </c>
      <c r="AN114" s="70" t="s">
        <v>62</v>
      </c>
      <c r="AO114" s="70" t="s">
        <v>62</v>
      </c>
      <c r="AP114" s="70" t="s">
        <v>62</v>
      </c>
      <c r="AQ114" s="70" t="s">
        <v>68</v>
      </c>
      <c r="AR114" s="70" t="s">
        <v>62</v>
      </c>
      <c r="AS114" s="70" t="s">
        <v>62</v>
      </c>
      <c r="AT114" s="70" t="s">
        <v>62</v>
      </c>
      <c r="AU114" s="70" t="s">
        <v>68</v>
      </c>
      <c r="AV114" s="67"/>
      <c r="AW114" s="68" t="s">
        <v>22</v>
      </c>
    </row>
    <row r="115" spans="1:49" ht="39">
      <c r="A115" s="1356"/>
      <c r="B115" s="1358"/>
      <c r="C115" s="91">
        <v>40</v>
      </c>
      <c r="D115" s="106" t="s">
        <v>101</v>
      </c>
      <c r="E115" s="105">
        <v>33</v>
      </c>
      <c r="F115" s="92" t="s">
        <v>102</v>
      </c>
      <c r="G115" s="109">
        <v>2</v>
      </c>
      <c r="H115" s="87" t="s">
        <v>138</v>
      </c>
      <c r="I115" s="80">
        <v>233</v>
      </c>
      <c r="J115" s="87" t="s">
        <v>142</v>
      </c>
      <c r="K115" s="80" t="s">
        <v>139</v>
      </c>
      <c r="L115" s="80" t="s">
        <v>84</v>
      </c>
      <c r="M115" s="80" t="s">
        <v>58</v>
      </c>
      <c r="N115" s="80" t="s">
        <v>85</v>
      </c>
      <c r="O115" s="93" t="s">
        <v>60</v>
      </c>
      <c r="P115" s="93" t="s">
        <v>60</v>
      </c>
      <c r="Q115" s="93" t="s">
        <v>60</v>
      </c>
      <c r="R115" s="91"/>
      <c r="S115" s="94" t="s">
        <v>61</v>
      </c>
      <c r="T115" s="94" t="s">
        <v>60</v>
      </c>
      <c r="U115" s="94" t="s">
        <v>60</v>
      </c>
      <c r="V115" s="94" t="s">
        <v>60</v>
      </c>
      <c r="W115" s="94" t="s">
        <v>60</v>
      </c>
      <c r="X115" s="91"/>
      <c r="Y115" s="91"/>
      <c r="Z115" s="91"/>
      <c r="AA115" s="91"/>
      <c r="AB115" s="91"/>
      <c r="AC115" s="95" t="s">
        <v>62</v>
      </c>
      <c r="AD115" s="95" t="s">
        <v>62</v>
      </c>
      <c r="AE115" s="95" t="s">
        <v>62</v>
      </c>
      <c r="AF115" s="95" t="s">
        <v>62</v>
      </c>
      <c r="AG115" s="96" t="s">
        <v>71</v>
      </c>
      <c r="AH115" s="70" t="s">
        <v>0</v>
      </c>
      <c r="AI115" s="70" t="s">
        <v>63</v>
      </c>
      <c r="AJ115" s="70" t="s">
        <v>64</v>
      </c>
      <c r="AK115" s="70"/>
      <c r="AL115" s="70"/>
      <c r="AM115" s="70" t="s">
        <v>62</v>
      </c>
      <c r="AN115" s="70" t="s">
        <v>62</v>
      </c>
      <c r="AO115" s="70" t="s">
        <v>62</v>
      </c>
      <c r="AP115" s="70" t="s">
        <v>62</v>
      </c>
      <c r="AQ115" s="70" t="s">
        <v>68</v>
      </c>
      <c r="AR115" s="70" t="s">
        <v>62</v>
      </c>
      <c r="AS115" s="70" t="s">
        <v>62</v>
      </c>
      <c r="AT115" s="70" t="s">
        <v>62</v>
      </c>
      <c r="AU115" s="70" t="s">
        <v>68</v>
      </c>
      <c r="AV115" s="67"/>
      <c r="AW115" s="68" t="s">
        <v>22</v>
      </c>
    </row>
    <row r="116" spans="1:49" ht="78">
      <c r="A116" s="1354">
        <v>62</v>
      </c>
      <c r="B116" s="1357">
        <v>63</v>
      </c>
      <c r="C116" s="91">
        <v>40</v>
      </c>
      <c r="D116" s="106" t="s">
        <v>101</v>
      </c>
      <c r="E116" s="105">
        <v>33</v>
      </c>
      <c r="F116" s="92" t="s">
        <v>102</v>
      </c>
      <c r="G116" s="109">
        <v>2</v>
      </c>
      <c r="H116" s="87" t="s">
        <v>138</v>
      </c>
      <c r="I116" s="80">
        <v>233</v>
      </c>
      <c r="J116" s="87" t="s">
        <v>142</v>
      </c>
      <c r="K116" s="80" t="s">
        <v>56</v>
      </c>
      <c r="L116" s="80" t="s">
        <v>84</v>
      </c>
      <c r="M116" s="80" t="s">
        <v>58</v>
      </c>
      <c r="N116" s="80" t="s">
        <v>85</v>
      </c>
      <c r="O116" s="93" t="s">
        <v>60</v>
      </c>
      <c r="P116" s="93" t="s">
        <v>60</v>
      </c>
      <c r="Q116" s="93" t="s">
        <v>60</v>
      </c>
      <c r="R116" s="91"/>
      <c r="S116" s="94" t="s">
        <v>61</v>
      </c>
      <c r="T116" s="94" t="s">
        <v>60</v>
      </c>
      <c r="U116" s="108"/>
      <c r="V116" s="108"/>
      <c r="W116" s="94" t="s">
        <v>60</v>
      </c>
      <c r="X116" s="103" t="s">
        <v>61</v>
      </c>
      <c r="Y116" s="91"/>
      <c r="Z116" s="91"/>
      <c r="AA116" s="91"/>
      <c r="AB116" s="91"/>
      <c r="AC116" s="70" t="s">
        <v>86</v>
      </c>
      <c r="AD116" s="70" t="s">
        <v>86</v>
      </c>
      <c r="AE116" s="70" t="s">
        <v>89</v>
      </c>
      <c r="AF116" s="95" t="s">
        <v>62</v>
      </c>
      <c r="AG116" s="70" t="s">
        <v>0</v>
      </c>
      <c r="AH116" s="70" t="s">
        <v>0</v>
      </c>
      <c r="AI116" s="70" t="s">
        <v>63</v>
      </c>
      <c r="AJ116" s="70" t="s">
        <v>64</v>
      </c>
      <c r="AK116" s="70"/>
      <c r="AL116" s="70"/>
      <c r="AM116" s="70" t="s">
        <v>65</v>
      </c>
      <c r="AN116" s="70" t="s">
        <v>66</v>
      </c>
      <c r="AO116" s="70" t="s">
        <v>65</v>
      </c>
      <c r="AP116" s="70" t="s">
        <v>67</v>
      </c>
      <c r="AQ116" s="70" t="s">
        <v>68</v>
      </c>
      <c r="AR116" s="70" t="s">
        <v>69</v>
      </c>
      <c r="AS116" s="70" t="s">
        <v>143</v>
      </c>
      <c r="AT116" s="70" t="s">
        <v>70</v>
      </c>
      <c r="AU116" s="70" t="s">
        <v>68</v>
      </c>
      <c r="AV116" s="67"/>
      <c r="AW116" s="68" t="s">
        <v>22</v>
      </c>
    </row>
    <row r="117" spans="1:49" ht="78">
      <c r="A117" s="1356"/>
      <c r="B117" s="1358"/>
      <c r="C117" s="91">
        <v>40</v>
      </c>
      <c r="D117" s="106" t="s">
        <v>101</v>
      </c>
      <c r="E117" s="105">
        <v>33</v>
      </c>
      <c r="F117" s="92" t="s">
        <v>102</v>
      </c>
      <c r="G117" s="109">
        <v>2</v>
      </c>
      <c r="H117" s="87" t="s">
        <v>138</v>
      </c>
      <c r="I117" s="80">
        <v>233</v>
      </c>
      <c r="J117" s="87" t="s">
        <v>142</v>
      </c>
      <c r="K117" s="80" t="s">
        <v>56</v>
      </c>
      <c r="L117" s="80" t="s">
        <v>84</v>
      </c>
      <c r="M117" s="80" t="s">
        <v>58</v>
      </c>
      <c r="N117" s="80" t="s">
        <v>85</v>
      </c>
      <c r="O117" s="93" t="s">
        <v>60</v>
      </c>
      <c r="P117" s="93" t="s">
        <v>60</v>
      </c>
      <c r="Q117" s="93" t="s">
        <v>60</v>
      </c>
      <c r="R117" s="91"/>
      <c r="S117" s="94" t="s">
        <v>61</v>
      </c>
      <c r="T117" s="94" t="s">
        <v>60</v>
      </c>
      <c r="U117" s="108"/>
      <c r="V117" s="108"/>
      <c r="W117" s="94" t="s">
        <v>60</v>
      </c>
      <c r="X117" s="103" t="s">
        <v>61</v>
      </c>
      <c r="Y117" s="91"/>
      <c r="Z117" s="91"/>
      <c r="AA117" s="91"/>
      <c r="AB117" s="91"/>
      <c r="AC117" s="70" t="s">
        <v>86</v>
      </c>
      <c r="AD117" s="70" t="s">
        <v>86</v>
      </c>
      <c r="AE117" s="70" t="s">
        <v>89</v>
      </c>
      <c r="AF117" s="95" t="s">
        <v>62</v>
      </c>
      <c r="AG117" s="70" t="s">
        <v>71</v>
      </c>
      <c r="AH117" s="96" t="s">
        <v>62</v>
      </c>
      <c r="AI117" s="70" t="s">
        <v>63</v>
      </c>
      <c r="AJ117" s="70" t="s">
        <v>64</v>
      </c>
      <c r="AK117" s="70"/>
      <c r="AL117" s="70"/>
      <c r="AM117" s="70" t="s">
        <v>65</v>
      </c>
      <c r="AN117" s="70" t="s">
        <v>71</v>
      </c>
      <c r="AO117" s="70" t="s">
        <v>65</v>
      </c>
      <c r="AP117" s="70" t="s">
        <v>71</v>
      </c>
      <c r="AQ117" s="70" t="s">
        <v>68</v>
      </c>
      <c r="AR117" s="70" t="s">
        <v>72</v>
      </c>
      <c r="AS117" s="70" t="s">
        <v>143</v>
      </c>
      <c r="AT117" s="70" t="s">
        <v>70</v>
      </c>
      <c r="AU117" s="70" t="s">
        <v>68</v>
      </c>
      <c r="AV117" s="67"/>
      <c r="AW117" s="68" t="s">
        <v>22</v>
      </c>
    </row>
    <row r="118" spans="1:49" ht="39">
      <c r="A118" s="70">
        <v>63</v>
      </c>
      <c r="B118" s="97">
        <v>64</v>
      </c>
      <c r="C118" s="91">
        <v>40</v>
      </c>
      <c r="D118" s="106" t="s">
        <v>101</v>
      </c>
      <c r="E118" s="105">
        <v>33</v>
      </c>
      <c r="F118" s="92" t="s">
        <v>102</v>
      </c>
      <c r="G118" s="109">
        <v>2</v>
      </c>
      <c r="H118" s="87" t="s">
        <v>138</v>
      </c>
      <c r="I118" s="80">
        <v>233</v>
      </c>
      <c r="J118" s="87" t="s">
        <v>142</v>
      </c>
      <c r="K118" s="80" t="s">
        <v>80</v>
      </c>
      <c r="L118" s="80" t="s">
        <v>84</v>
      </c>
      <c r="M118" s="80" t="s">
        <v>58</v>
      </c>
      <c r="N118" s="80" t="s">
        <v>85</v>
      </c>
      <c r="O118" s="93" t="s">
        <v>60</v>
      </c>
      <c r="P118" s="93" t="s">
        <v>60</v>
      </c>
      <c r="Q118" s="93" t="s">
        <v>60</v>
      </c>
      <c r="R118" s="91"/>
      <c r="S118" s="94" t="s">
        <v>61</v>
      </c>
      <c r="T118" s="94" t="s">
        <v>60</v>
      </c>
      <c r="U118" s="94" t="s">
        <v>60</v>
      </c>
      <c r="V118" s="94" t="s">
        <v>60</v>
      </c>
      <c r="W118" s="94" t="s">
        <v>60</v>
      </c>
      <c r="X118" s="91"/>
      <c r="Y118" s="91"/>
      <c r="Z118" s="91"/>
      <c r="AA118" s="91"/>
      <c r="AB118" s="91"/>
      <c r="AC118" s="95" t="s">
        <v>62</v>
      </c>
      <c r="AD118" s="95" t="s">
        <v>62</v>
      </c>
      <c r="AE118" s="95" t="s">
        <v>62</v>
      </c>
      <c r="AF118" s="95" t="s">
        <v>62</v>
      </c>
      <c r="AG118" s="96" t="s">
        <v>0</v>
      </c>
      <c r="AH118" s="70" t="s">
        <v>0</v>
      </c>
      <c r="AI118" s="70" t="s">
        <v>63</v>
      </c>
      <c r="AJ118" s="70" t="s">
        <v>64</v>
      </c>
      <c r="AK118" s="70"/>
      <c r="AL118" s="70"/>
      <c r="AM118" s="70" t="s">
        <v>62</v>
      </c>
      <c r="AN118" s="70" t="s">
        <v>62</v>
      </c>
      <c r="AO118" s="70" t="s">
        <v>62</v>
      </c>
      <c r="AP118" s="70" t="s">
        <v>62</v>
      </c>
      <c r="AQ118" s="70" t="s">
        <v>62</v>
      </c>
      <c r="AR118" s="70" t="s">
        <v>62</v>
      </c>
      <c r="AS118" s="70" t="s">
        <v>62</v>
      </c>
      <c r="AT118" s="70" t="s">
        <v>62</v>
      </c>
      <c r="AU118" s="70" t="s">
        <v>68</v>
      </c>
      <c r="AV118" s="67"/>
      <c r="AW118" s="68" t="s">
        <v>22</v>
      </c>
    </row>
    <row r="119" spans="1:49" ht="39">
      <c r="A119" s="1354">
        <v>64</v>
      </c>
      <c r="B119" s="1357">
        <v>65</v>
      </c>
      <c r="C119" s="91">
        <v>40</v>
      </c>
      <c r="D119" s="106" t="s">
        <v>101</v>
      </c>
      <c r="E119" s="105">
        <v>42</v>
      </c>
      <c r="F119" s="92" t="s">
        <v>114</v>
      </c>
      <c r="G119" s="109">
        <v>2</v>
      </c>
      <c r="H119" s="87" t="s">
        <v>138</v>
      </c>
      <c r="I119" s="80">
        <v>242</v>
      </c>
      <c r="J119" s="87" t="s">
        <v>114</v>
      </c>
      <c r="K119" s="80" t="s">
        <v>139</v>
      </c>
      <c r="L119" s="80" t="s">
        <v>84</v>
      </c>
      <c r="M119" s="80" t="s">
        <v>58</v>
      </c>
      <c r="N119" s="80" t="s">
        <v>85</v>
      </c>
      <c r="O119" s="93" t="s">
        <v>60</v>
      </c>
      <c r="P119" s="93" t="s">
        <v>60</v>
      </c>
      <c r="Q119" s="93" t="s">
        <v>60</v>
      </c>
      <c r="R119" s="91"/>
      <c r="S119" s="94" t="s">
        <v>61</v>
      </c>
      <c r="T119" s="94" t="s">
        <v>60</v>
      </c>
      <c r="U119" s="94" t="s">
        <v>60</v>
      </c>
      <c r="V119" s="94" t="s">
        <v>60</v>
      </c>
      <c r="W119" s="94" t="s">
        <v>60</v>
      </c>
      <c r="X119" s="91"/>
      <c r="Y119" s="91"/>
      <c r="Z119" s="91"/>
      <c r="AA119" s="91"/>
      <c r="AB119" s="91"/>
      <c r="AC119" s="95" t="s">
        <v>62</v>
      </c>
      <c r="AD119" s="95" t="s">
        <v>62</v>
      </c>
      <c r="AE119" s="95" t="s">
        <v>62</v>
      </c>
      <c r="AF119" s="95" t="s">
        <v>62</v>
      </c>
      <c r="AG119" s="96" t="s">
        <v>0</v>
      </c>
      <c r="AH119" s="70" t="s">
        <v>0</v>
      </c>
      <c r="AI119" s="70" t="s">
        <v>63</v>
      </c>
      <c r="AJ119" s="70" t="s">
        <v>64</v>
      </c>
      <c r="AK119" s="70"/>
      <c r="AL119" s="70"/>
      <c r="AM119" s="70" t="s">
        <v>62</v>
      </c>
      <c r="AN119" s="70" t="s">
        <v>62</v>
      </c>
      <c r="AO119" s="70" t="s">
        <v>62</v>
      </c>
      <c r="AP119" s="70" t="s">
        <v>62</v>
      </c>
      <c r="AQ119" s="70" t="s">
        <v>68</v>
      </c>
      <c r="AR119" s="70" t="s">
        <v>62</v>
      </c>
      <c r="AS119" s="70" t="s">
        <v>62</v>
      </c>
      <c r="AT119" s="70" t="s">
        <v>62</v>
      </c>
      <c r="AU119" s="70" t="s">
        <v>68</v>
      </c>
      <c r="AV119" s="67"/>
      <c r="AW119" s="68" t="s">
        <v>22</v>
      </c>
    </row>
    <row r="120" spans="1:49" ht="39">
      <c r="A120" s="1355"/>
      <c r="B120" s="1359"/>
      <c r="C120" s="91">
        <v>40</v>
      </c>
      <c r="D120" s="106" t="s">
        <v>101</v>
      </c>
      <c r="E120" s="105">
        <v>42</v>
      </c>
      <c r="F120" s="92" t="s">
        <v>114</v>
      </c>
      <c r="G120" s="109">
        <v>2</v>
      </c>
      <c r="H120" s="87" t="s">
        <v>138</v>
      </c>
      <c r="I120" s="80">
        <v>242</v>
      </c>
      <c r="J120" s="87" t="s">
        <v>114</v>
      </c>
      <c r="K120" s="80" t="s">
        <v>139</v>
      </c>
      <c r="L120" s="80" t="s">
        <v>84</v>
      </c>
      <c r="M120" s="80" t="s">
        <v>58</v>
      </c>
      <c r="N120" s="80" t="s">
        <v>85</v>
      </c>
      <c r="O120" s="93" t="s">
        <v>60</v>
      </c>
      <c r="P120" s="93" t="s">
        <v>60</v>
      </c>
      <c r="Q120" s="93" t="s">
        <v>60</v>
      </c>
      <c r="R120" s="91"/>
      <c r="S120" s="94" t="s">
        <v>61</v>
      </c>
      <c r="T120" s="94" t="s">
        <v>60</v>
      </c>
      <c r="U120" s="94" t="s">
        <v>60</v>
      </c>
      <c r="V120" s="94" t="s">
        <v>60</v>
      </c>
      <c r="W120" s="94" t="s">
        <v>60</v>
      </c>
      <c r="X120" s="91"/>
      <c r="Y120" s="91"/>
      <c r="Z120" s="91"/>
      <c r="AA120" s="91"/>
      <c r="AB120" s="91"/>
      <c r="AC120" s="95" t="s">
        <v>62</v>
      </c>
      <c r="AD120" s="95" t="s">
        <v>62</v>
      </c>
      <c r="AE120" s="95" t="s">
        <v>62</v>
      </c>
      <c r="AF120" s="95" t="s">
        <v>62</v>
      </c>
      <c r="AG120" s="96" t="s">
        <v>1</v>
      </c>
      <c r="AH120" s="70" t="s">
        <v>0</v>
      </c>
      <c r="AI120" s="70" t="s">
        <v>63</v>
      </c>
      <c r="AJ120" s="70" t="s">
        <v>64</v>
      </c>
      <c r="AK120" s="70"/>
      <c r="AL120" s="70"/>
      <c r="AM120" s="70" t="s">
        <v>62</v>
      </c>
      <c r="AN120" s="70" t="s">
        <v>62</v>
      </c>
      <c r="AO120" s="70" t="s">
        <v>62</v>
      </c>
      <c r="AP120" s="70" t="s">
        <v>62</v>
      </c>
      <c r="AQ120" s="70" t="s">
        <v>68</v>
      </c>
      <c r="AR120" s="70" t="s">
        <v>62</v>
      </c>
      <c r="AS120" s="70" t="s">
        <v>62</v>
      </c>
      <c r="AT120" s="70" t="s">
        <v>62</v>
      </c>
      <c r="AU120" s="70" t="s">
        <v>68</v>
      </c>
      <c r="AV120" s="67"/>
      <c r="AW120" s="68" t="s">
        <v>22</v>
      </c>
    </row>
    <row r="121" spans="1:49" ht="39">
      <c r="A121" s="1356"/>
      <c r="B121" s="1358"/>
      <c r="C121" s="91">
        <v>40</v>
      </c>
      <c r="D121" s="106" t="s">
        <v>101</v>
      </c>
      <c r="E121" s="105">
        <v>42</v>
      </c>
      <c r="F121" s="92" t="s">
        <v>114</v>
      </c>
      <c r="G121" s="109">
        <v>2</v>
      </c>
      <c r="H121" s="87" t="s">
        <v>138</v>
      </c>
      <c r="I121" s="80">
        <v>242</v>
      </c>
      <c r="J121" s="87" t="s">
        <v>114</v>
      </c>
      <c r="K121" s="80" t="s">
        <v>139</v>
      </c>
      <c r="L121" s="80" t="s">
        <v>84</v>
      </c>
      <c r="M121" s="80" t="s">
        <v>58</v>
      </c>
      <c r="N121" s="80" t="s">
        <v>85</v>
      </c>
      <c r="O121" s="93" t="s">
        <v>60</v>
      </c>
      <c r="P121" s="93" t="s">
        <v>60</v>
      </c>
      <c r="Q121" s="93" t="s">
        <v>60</v>
      </c>
      <c r="R121" s="91"/>
      <c r="S121" s="94" t="s">
        <v>61</v>
      </c>
      <c r="T121" s="94" t="s">
        <v>60</v>
      </c>
      <c r="U121" s="94" t="s">
        <v>60</v>
      </c>
      <c r="V121" s="94" t="s">
        <v>60</v>
      </c>
      <c r="W121" s="94" t="s">
        <v>60</v>
      </c>
      <c r="X121" s="91"/>
      <c r="Y121" s="91"/>
      <c r="Z121" s="91"/>
      <c r="AA121" s="91"/>
      <c r="AB121" s="91"/>
      <c r="AC121" s="95" t="s">
        <v>62</v>
      </c>
      <c r="AD121" s="95" t="s">
        <v>62</v>
      </c>
      <c r="AE121" s="95" t="s">
        <v>62</v>
      </c>
      <c r="AF121" s="95" t="s">
        <v>62</v>
      </c>
      <c r="AG121" s="96" t="s">
        <v>71</v>
      </c>
      <c r="AH121" s="70" t="s">
        <v>0</v>
      </c>
      <c r="AI121" s="70" t="s">
        <v>63</v>
      </c>
      <c r="AJ121" s="70" t="s">
        <v>64</v>
      </c>
      <c r="AK121" s="70"/>
      <c r="AL121" s="70"/>
      <c r="AM121" s="70" t="s">
        <v>62</v>
      </c>
      <c r="AN121" s="70" t="s">
        <v>62</v>
      </c>
      <c r="AO121" s="70" t="s">
        <v>62</v>
      </c>
      <c r="AP121" s="70" t="s">
        <v>62</v>
      </c>
      <c r="AQ121" s="70" t="s">
        <v>68</v>
      </c>
      <c r="AR121" s="70" t="s">
        <v>62</v>
      </c>
      <c r="AS121" s="70" t="s">
        <v>62</v>
      </c>
      <c r="AT121" s="70" t="s">
        <v>62</v>
      </c>
      <c r="AU121" s="70" t="s">
        <v>68</v>
      </c>
      <c r="AV121" s="67"/>
      <c r="AW121" s="68" t="s">
        <v>22</v>
      </c>
    </row>
    <row r="122" spans="1:49" ht="78">
      <c r="A122" s="1354">
        <v>65</v>
      </c>
      <c r="B122" s="1357">
        <v>66</v>
      </c>
      <c r="C122" s="91">
        <v>40</v>
      </c>
      <c r="D122" s="106" t="s">
        <v>101</v>
      </c>
      <c r="E122" s="105">
        <v>42</v>
      </c>
      <c r="F122" s="92" t="s">
        <v>114</v>
      </c>
      <c r="G122" s="109">
        <v>2</v>
      </c>
      <c r="H122" s="87" t="s">
        <v>138</v>
      </c>
      <c r="I122" s="80">
        <v>242</v>
      </c>
      <c r="J122" s="87" t="s">
        <v>114</v>
      </c>
      <c r="K122" s="80" t="s">
        <v>56</v>
      </c>
      <c r="L122" s="80" t="s">
        <v>84</v>
      </c>
      <c r="M122" s="80" t="s">
        <v>58</v>
      </c>
      <c r="N122" s="80" t="s">
        <v>85</v>
      </c>
      <c r="O122" s="93" t="s">
        <v>60</v>
      </c>
      <c r="P122" s="93" t="s">
        <v>60</v>
      </c>
      <c r="Q122" s="93" t="s">
        <v>60</v>
      </c>
      <c r="R122" s="91"/>
      <c r="S122" s="94" t="s">
        <v>61</v>
      </c>
      <c r="T122" s="94" t="s">
        <v>60</v>
      </c>
      <c r="U122" s="108"/>
      <c r="V122" s="108"/>
      <c r="W122" s="94" t="s">
        <v>60</v>
      </c>
      <c r="X122" s="103" t="s">
        <v>61</v>
      </c>
      <c r="Y122" s="91"/>
      <c r="Z122" s="103" t="s">
        <v>61</v>
      </c>
      <c r="AA122" s="103" t="s">
        <v>61</v>
      </c>
      <c r="AB122" s="91"/>
      <c r="AC122" s="70" t="s">
        <v>86</v>
      </c>
      <c r="AD122" s="70" t="s">
        <v>86</v>
      </c>
      <c r="AE122" s="70" t="s">
        <v>89</v>
      </c>
      <c r="AF122" s="95" t="s">
        <v>62</v>
      </c>
      <c r="AG122" s="70" t="s">
        <v>0</v>
      </c>
      <c r="AH122" s="70" t="s">
        <v>0</v>
      </c>
      <c r="AI122" s="70" t="s">
        <v>63</v>
      </c>
      <c r="AJ122" s="70" t="s">
        <v>64</v>
      </c>
      <c r="AK122" s="70"/>
      <c r="AL122" s="70"/>
      <c r="AM122" s="70" t="s">
        <v>65</v>
      </c>
      <c r="AN122" s="70" t="s">
        <v>66</v>
      </c>
      <c r="AO122" s="70" t="s">
        <v>116</v>
      </c>
      <c r="AP122" s="70" t="s">
        <v>67</v>
      </c>
      <c r="AQ122" s="70" t="s">
        <v>68</v>
      </c>
      <c r="AR122" s="70" t="s">
        <v>69</v>
      </c>
      <c r="AS122" s="70" t="s">
        <v>117</v>
      </c>
      <c r="AT122" s="70" t="s">
        <v>70</v>
      </c>
      <c r="AU122" s="70" t="s">
        <v>68</v>
      </c>
      <c r="AV122" s="67"/>
      <c r="AW122" s="68" t="s">
        <v>22</v>
      </c>
    </row>
    <row r="123" spans="1:49" ht="78">
      <c r="A123" s="1356"/>
      <c r="B123" s="1358"/>
      <c r="C123" s="91">
        <v>40</v>
      </c>
      <c r="D123" s="106" t="s">
        <v>101</v>
      </c>
      <c r="E123" s="105">
        <v>42</v>
      </c>
      <c r="F123" s="92" t="s">
        <v>114</v>
      </c>
      <c r="G123" s="109">
        <v>2</v>
      </c>
      <c r="H123" s="87" t="s">
        <v>138</v>
      </c>
      <c r="I123" s="80">
        <v>242</v>
      </c>
      <c r="J123" s="87" t="s">
        <v>114</v>
      </c>
      <c r="K123" s="80" t="s">
        <v>56</v>
      </c>
      <c r="L123" s="80" t="s">
        <v>84</v>
      </c>
      <c r="M123" s="80" t="s">
        <v>58</v>
      </c>
      <c r="N123" s="80" t="s">
        <v>85</v>
      </c>
      <c r="O123" s="93" t="s">
        <v>60</v>
      </c>
      <c r="P123" s="93" t="s">
        <v>60</v>
      </c>
      <c r="Q123" s="93" t="s">
        <v>60</v>
      </c>
      <c r="R123" s="91"/>
      <c r="S123" s="94" t="s">
        <v>61</v>
      </c>
      <c r="T123" s="94" t="s">
        <v>60</v>
      </c>
      <c r="U123" s="108"/>
      <c r="V123" s="108"/>
      <c r="W123" s="94" t="s">
        <v>60</v>
      </c>
      <c r="X123" s="103" t="s">
        <v>61</v>
      </c>
      <c r="Y123" s="91"/>
      <c r="Z123" s="103" t="s">
        <v>61</v>
      </c>
      <c r="AA123" s="103" t="s">
        <v>61</v>
      </c>
      <c r="AB123" s="91"/>
      <c r="AC123" s="70" t="s">
        <v>86</v>
      </c>
      <c r="AD123" s="70" t="s">
        <v>86</v>
      </c>
      <c r="AE123" s="70" t="s">
        <v>89</v>
      </c>
      <c r="AF123" s="95" t="s">
        <v>62</v>
      </c>
      <c r="AG123" s="70" t="s">
        <v>71</v>
      </c>
      <c r="AH123" s="96" t="s">
        <v>62</v>
      </c>
      <c r="AI123" s="70" t="s">
        <v>63</v>
      </c>
      <c r="AJ123" s="70" t="s">
        <v>64</v>
      </c>
      <c r="AK123" s="70"/>
      <c r="AL123" s="70"/>
      <c r="AM123" s="70" t="s">
        <v>71</v>
      </c>
      <c r="AN123" s="70" t="s">
        <v>71</v>
      </c>
      <c r="AO123" s="70" t="s">
        <v>71</v>
      </c>
      <c r="AP123" s="70" t="s">
        <v>71</v>
      </c>
      <c r="AQ123" s="70" t="s">
        <v>68</v>
      </c>
      <c r="AR123" s="70" t="s">
        <v>72</v>
      </c>
      <c r="AS123" s="70" t="s">
        <v>117</v>
      </c>
      <c r="AT123" s="70" t="s">
        <v>70</v>
      </c>
      <c r="AU123" s="70" t="s">
        <v>68</v>
      </c>
      <c r="AV123" s="67"/>
      <c r="AW123" s="68" t="s">
        <v>22</v>
      </c>
    </row>
    <row r="124" spans="1:49" ht="39">
      <c r="A124" s="70">
        <v>66</v>
      </c>
      <c r="B124" s="97">
        <v>67</v>
      </c>
      <c r="C124" s="91">
        <v>40</v>
      </c>
      <c r="D124" s="106" t="s">
        <v>101</v>
      </c>
      <c r="E124" s="105">
        <v>42</v>
      </c>
      <c r="F124" s="92" t="s">
        <v>114</v>
      </c>
      <c r="G124" s="109">
        <v>2</v>
      </c>
      <c r="H124" s="87" t="s">
        <v>138</v>
      </c>
      <c r="I124" s="80">
        <v>242</v>
      </c>
      <c r="J124" s="87" t="s">
        <v>114</v>
      </c>
      <c r="K124" s="80" t="s">
        <v>80</v>
      </c>
      <c r="L124" s="80" t="s">
        <v>84</v>
      </c>
      <c r="M124" s="80" t="s">
        <v>58</v>
      </c>
      <c r="N124" s="80" t="s">
        <v>85</v>
      </c>
      <c r="O124" s="93" t="s">
        <v>60</v>
      </c>
      <c r="P124" s="93" t="s">
        <v>60</v>
      </c>
      <c r="Q124" s="93" t="s">
        <v>60</v>
      </c>
      <c r="R124" s="91"/>
      <c r="S124" s="94" t="s">
        <v>61</v>
      </c>
      <c r="T124" s="94" t="s">
        <v>60</v>
      </c>
      <c r="U124" s="94" t="s">
        <v>60</v>
      </c>
      <c r="V124" s="94" t="s">
        <v>60</v>
      </c>
      <c r="W124" s="94" t="s">
        <v>60</v>
      </c>
      <c r="X124" s="91"/>
      <c r="Y124" s="91"/>
      <c r="Z124" s="91"/>
      <c r="AA124" s="91"/>
      <c r="AB124" s="91"/>
      <c r="AC124" s="95" t="s">
        <v>62</v>
      </c>
      <c r="AD124" s="95" t="s">
        <v>62</v>
      </c>
      <c r="AE124" s="95" t="s">
        <v>62</v>
      </c>
      <c r="AF124" s="95" t="s">
        <v>62</v>
      </c>
      <c r="AG124" s="96" t="s">
        <v>0</v>
      </c>
      <c r="AH124" s="70" t="s">
        <v>0</v>
      </c>
      <c r="AI124" s="70" t="s">
        <v>63</v>
      </c>
      <c r="AJ124" s="70" t="s">
        <v>64</v>
      </c>
      <c r="AK124" s="70"/>
      <c r="AL124" s="70"/>
      <c r="AM124" s="70" t="s">
        <v>62</v>
      </c>
      <c r="AN124" s="70" t="s">
        <v>62</v>
      </c>
      <c r="AO124" s="70" t="s">
        <v>62</v>
      </c>
      <c r="AP124" s="70" t="s">
        <v>62</v>
      </c>
      <c r="AQ124" s="70" t="s">
        <v>62</v>
      </c>
      <c r="AR124" s="70" t="s">
        <v>62</v>
      </c>
      <c r="AS124" s="70" t="s">
        <v>62</v>
      </c>
      <c r="AT124" s="70" t="s">
        <v>62</v>
      </c>
      <c r="AU124" s="70" t="s">
        <v>68</v>
      </c>
      <c r="AV124" s="67"/>
      <c r="AW124" s="68" t="s">
        <v>22</v>
      </c>
    </row>
    <row r="125" spans="1:49" ht="39" hidden="1">
      <c r="A125" s="1354">
        <v>67</v>
      </c>
      <c r="B125" s="1357">
        <v>68</v>
      </c>
      <c r="C125" s="82" t="s">
        <v>62</v>
      </c>
      <c r="D125" s="82" t="s">
        <v>62</v>
      </c>
      <c r="E125" s="82" t="s">
        <v>62</v>
      </c>
      <c r="F125" s="82" t="s">
        <v>62</v>
      </c>
      <c r="G125" s="110">
        <v>3</v>
      </c>
      <c r="H125" s="88" t="s">
        <v>144</v>
      </c>
      <c r="I125" s="83">
        <v>301</v>
      </c>
      <c r="J125" s="88" t="s">
        <v>145</v>
      </c>
      <c r="K125" s="83" t="s">
        <v>139</v>
      </c>
      <c r="L125" s="83" t="s">
        <v>84</v>
      </c>
      <c r="M125" s="83" t="s">
        <v>58</v>
      </c>
      <c r="N125" s="82" t="s">
        <v>62</v>
      </c>
      <c r="O125" s="93" t="s">
        <v>60</v>
      </c>
      <c r="P125" s="93" t="s">
        <v>60</v>
      </c>
      <c r="Q125" s="93" t="s">
        <v>60</v>
      </c>
      <c r="R125" s="91"/>
      <c r="S125" s="94" t="s">
        <v>61</v>
      </c>
      <c r="T125" s="94" t="s">
        <v>60</v>
      </c>
      <c r="U125" s="94" t="s">
        <v>60</v>
      </c>
      <c r="V125" s="94" t="s">
        <v>60</v>
      </c>
      <c r="W125" s="91"/>
      <c r="X125" s="91"/>
      <c r="Y125" s="91"/>
      <c r="Z125" s="91"/>
      <c r="AA125" s="91"/>
      <c r="AB125" s="91"/>
      <c r="AC125" s="95" t="s">
        <v>62</v>
      </c>
      <c r="AD125" s="95" t="s">
        <v>62</v>
      </c>
      <c r="AE125" s="95" t="s">
        <v>62</v>
      </c>
      <c r="AF125" s="95" t="s">
        <v>62</v>
      </c>
      <c r="AG125" s="96" t="s">
        <v>0</v>
      </c>
      <c r="AH125" s="70" t="s">
        <v>0</v>
      </c>
      <c r="AI125" s="70" t="s">
        <v>146</v>
      </c>
      <c r="AJ125" s="70" t="s">
        <v>147</v>
      </c>
      <c r="AK125" s="70" t="s">
        <v>148</v>
      </c>
      <c r="AL125" s="70"/>
      <c r="AM125" s="70" t="s">
        <v>62</v>
      </c>
      <c r="AN125" s="70" t="s">
        <v>62</v>
      </c>
      <c r="AO125" s="70" t="s">
        <v>62</v>
      </c>
      <c r="AP125" s="70" t="s">
        <v>62</v>
      </c>
      <c r="AQ125" s="70" t="s">
        <v>68</v>
      </c>
      <c r="AR125" s="70" t="s">
        <v>62</v>
      </c>
      <c r="AS125" s="70" t="s">
        <v>62</v>
      </c>
      <c r="AT125" s="70" t="s">
        <v>62</v>
      </c>
      <c r="AU125" s="70" t="s">
        <v>68</v>
      </c>
      <c r="AV125" s="67"/>
      <c r="AW125" s="68" t="s">
        <v>22</v>
      </c>
    </row>
    <row r="126" spans="1:49" ht="39" hidden="1">
      <c r="A126" s="1355"/>
      <c r="B126" s="1359"/>
      <c r="C126" s="82" t="s">
        <v>62</v>
      </c>
      <c r="D126" s="82" t="s">
        <v>62</v>
      </c>
      <c r="E126" s="82" t="s">
        <v>62</v>
      </c>
      <c r="F126" s="82" t="s">
        <v>62</v>
      </c>
      <c r="G126" s="110">
        <v>3</v>
      </c>
      <c r="H126" s="88" t="s">
        <v>144</v>
      </c>
      <c r="I126" s="83">
        <v>301</v>
      </c>
      <c r="J126" s="88" t="s">
        <v>145</v>
      </c>
      <c r="K126" s="83" t="s">
        <v>139</v>
      </c>
      <c r="L126" s="83" t="s">
        <v>84</v>
      </c>
      <c r="M126" s="83" t="s">
        <v>58</v>
      </c>
      <c r="N126" s="82" t="s">
        <v>62</v>
      </c>
      <c r="O126" s="93" t="s">
        <v>60</v>
      </c>
      <c r="P126" s="93" t="s">
        <v>60</v>
      </c>
      <c r="Q126" s="93" t="s">
        <v>60</v>
      </c>
      <c r="R126" s="91"/>
      <c r="S126" s="94" t="s">
        <v>61</v>
      </c>
      <c r="T126" s="94" t="s">
        <v>60</v>
      </c>
      <c r="U126" s="94" t="s">
        <v>60</v>
      </c>
      <c r="V126" s="94" t="s">
        <v>60</v>
      </c>
      <c r="W126" s="91"/>
      <c r="X126" s="91"/>
      <c r="Y126" s="91"/>
      <c r="Z126" s="91"/>
      <c r="AA126" s="91"/>
      <c r="AB126" s="91"/>
      <c r="AC126" s="95" t="s">
        <v>62</v>
      </c>
      <c r="AD126" s="95" t="s">
        <v>62</v>
      </c>
      <c r="AE126" s="95" t="s">
        <v>62</v>
      </c>
      <c r="AF126" s="95" t="s">
        <v>62</v>
      </c>
      <c r="AG126" s="96" t="s">
        <v>1</v>
      </c>
      <c r="AH126" s="70" t="s">
        <v>0</v>
      </c>
      <c r="AI126" s="70" t="s">
        <v>146</v>
      </c>
      <c r="AJ126" s="70" t="s">
        <v>147</v>
      </c>
      <c r="AK126" s="70" t="s">
        <v>148</v>
      </c>
      <c r="AL126" s="70"/>
      <c r="AM126" s="70" t="s">
        <v>62</v>
      </c>
      <c r="AN126" s="70" t="s">
        <v>62</v>
      </c>
      <c r="AO126" s="70" t="s">
        <v>62</v>
      </c>
      <c r="AP126" s="70" t="s">
        <v>62</v>
      </c>
      <c r="AQ126" s="70" t="s">
        <v>68</v>
      </c>
      <c r="AR126" s="70" t="s">
        <v>62</v>
      </c>
      <c r="AS126" s="70" t="s">
        <v>62</v>
      </c>
      <c r="AT126" s="70" t="s">
        <v>62</v>
      </c>
      <c r="AU126" s="70" t="s">
        <v>68</v>
      </c>
      <c r="AV126" s="67"/>
      <c r="AW126" s="68" t="s">
        <v>22</v>
      </c>
    </row>
    <row r="127" spans="1:49" ht="39" hidden="1">
      <c r="A127" s="1356"/>
      <c r="B127" s="1358"/>
      <c r="C127" s="82" t="s">
        <v>62</v>
      </c>
      <c r="D127" s="82" t="s">
        <v>62</v>
      </c>
      <c r="E127" s="82" t="s">
        <v>62</v>
      </c>
      <c r="F127" s="82" t="s">
        <v>62</v>
      </c>
      <c r="G127" s="110">
        <v>3</v>
      </c>
      <c r="H127" s="88" t="s">
        <v>144</v>
      </c>
      <c r="I127" s="83">
        <v>301</v>
      </c>
      <c r="J127" s="88" t="s">
        <v>145</v>
      </c>
      <c r="K127" s="83" t="s">
        <v>139</v>
      </c>
      <c r="L127" s="83" t="s">
        <v>84</v>
      </c>
      <c r="M127" s="83" t="s">
        <v>58</v>
      </c>
      <c r="N127" s="82" t="s">
        <v>62</v>
      </c>
      <c r="O127" s="93" t="s">
        <v>60</v>
      </c>
      <c r="P127" s="93" t="s">
        <v>60</v>
      </c>
      <c r="Q127" s="93" t="s">
        <v>60</v>
      </c>
      <c r="R127" s="91"/>
      <c r="S127" s="94" t="s">
        <v>61</v>
      </c>
      <c r="T127" s="94" t="s">
        <v>60</v>
      </c>
      <c r="U127" s="94" t="s">
        <v>60</v>
      </c>
      <c r="V127" s="94" t="s">
        <v>60</v>
      </c>
      <c r="W127" s="91"/>
      <c r="X127" s="91"/>
      <c r="Y127" s="91"/>
      <c r="Z127" s="91"/>
      <c r="AA127" s="91"/>
      <c r="AB127" s="91"/>
      <c r="AC127" s="95" t="s">
        <v>62</v>
      </c>
      <c r="AD127" s="95" t="s">
        <v>62</v>
      </c>
      <c r="AE127" s="95" t="s">
        <v>62</v>
      </c>
      <c r="AF127" s="95" t="s">
        <v>62</v>
      </c>
      <c r="AG127" s="96" t="s">
        <v>71</v>
      </c>
      <c r="AH127" s="70" t="s">
        <v>0</v>
      </c>
      <c r="AI127" s="70" t="s">
        <v>146</v>
      </c>
      <c r="AJ127" s="70" t="s">
        <v>147</v>
      </c>
      <c r="AK127" s="70" t="s">
        <v>148</v>
      </c>
      <c r="AL127" s="70"/>
      <c r="AM127" s="70" t="s">
        <v>62</v>
      </c>
      <c r="AN127" s="70" t="s">
        <v>62</v>
      </c>
      <c r="AO127" s="70" t="s">
        <v>62</v>
      </c>
      <c r="AP127" s="70" t="s">
        <v>62</v>
      </c>
      <c r="AQ127" s="70" t="s">
        <v>68</v>
      </c>
      <c r="AR127" s="70" t="s">
        <v>62</v>
      </c>
      <c r="AS127" s="70" t="s">
        <v>62</v>
      </c>
      <c r="AT127" s="70" t="s">
        <v>62</v>
      </c>
      <c r="AU127" s="70" t="s">
        <v>68</v>
      </c>
      <c r="AV127" s="67"/>
      <c r="AW127" s="68" t="s">
        <v>22</v>
      </c>
    </row>
    <row r="128" spans="1:49" ht="39" hidden="1">
      <c r="A128" s="90">
        <v>68</v>
      </c>
      <c r="B128" s="97">
        <v>69</v>
      </c>
      <c r="C128" s="82" t="s">
        <v>62</v>
      </c>
      <c r="D128" s="82" t="s">
        <v>62</v>
      </c>
      <c r="E128" s="82" t="s">
        <v>62</v>
      </c>
      <c r="F128" s="82" t="s">
        <v>62</v>
      </c>
      <c r="G128" s="110">
        <v>3</v>
      </c>
      <c r="H128" s="88" t="s">
        <v>144</v>
      </c>
      <c r="I128" s="83">
        <v>301</v>
      </c>
      <c r="J128" s="88" t="s">
        <v>145</v>
      </c>
      <c r="K128" s="83" t="s">
        <v>56</v>
      </c>
      <c r="L128" s="83" t="s">
        <v>84</v>
      </c>
      <c r="M128" s="83" t="s">
        <v>58</v>
      </c>
      <c r="N128" s="82" t="s">
        <v>62</v>
      </c>
      <c r="O128" s="93" t="s">
        <v>60</v>
      </c>
      <c r="P128" s="93" t="s">
        <v>60</v>
      </c>
      <c r="Q128" s="93" t="s">
        <v>60</v>
      </c>
      <c r="R128" s="91"/>
      <c r="S128" s="94" t="s">
        <v>61</v>
      </c>
      <c r="T128" s="94" t="s">
        <v>60</v>
      </c>
      <c r="U128" s="108"/>
      <c r="V128" s="108"/>
      <c r="W128" s="91"/>
      <c r="X128" s="103" t="s">
        <v>61</v>
      </c>
      <c r="Y128" s="91"/>
      <c r="Z128" s="91"/>
      <c r="AA128" s="91"/>
      <c r="AB128" s="91"/>
      <c r="AC128" s="95" t="s">
        <v>62</v>
      </c>
      <c r="AD128" s="95" t="s">
        <v>62</v>
      </c>
      <c r="AE128" s="95" t="s">
        <v>62</v>
      </c>
      <c r="AF128" s="95" t="s">
        <v>62</v>
      </c>
      <c r="AG128" s="70" t="s">
        <v>0</v>
      </c>
      <c r="AH128" s="70" t="s">
        <v>0</v>
      </c>
      <c r="AI128" s="70" t="s">
        <v>146</v>
      </c>
      <c r="AJ128" s="70" t="s">
        <v>147</v>
      </c>
      <c r="AK128" s="70" t="s">
        <v>148</v>
      </c>
      <c r="AL128" s="70"/>
      <c r="AM128" s="70" t="s">
        <v>65</v>
      </c>
      <c r="AN128" s="70" t="s">
        <v>66</v>
      </c>
      <c r="AO128" s="70" t="s">
        <v>65</v>
      </c>
      <c r="AP128" s="70" t="s">
        <v>67</v>
      </c>
      <c r="AQ128" s="70" t="s">
        <v>68</v>
      </c>
      <c r="AR128" s="70" t="s">
        <v>69</v>
      </c>
      <c r="AS128" s="70" t="s">
        <v>68</v>
      </c>
      <c r="AT128" s="70" t="s">
        <v>70</v>
      </c>
      <c r="AU128" s="70" t="s">
        <v>68</v>
      </c>
      <c r="AV128" s="67" t="s">
        <v>149</v>
      </c>
      <c r="AW128" s="68" t="s">
        <v>22</v>
      </c>
    </row>
    <row r="129" spans="1:49" ht="39" hidden="1">
      <c r="A129" s="70">
        <v>69</v>
      </c>
      <c r="B129" s="97">
        <v>70</v>
      </c>
      <c r="C129" s="82" t="s">
        <v>62</v>
      </c>
      <c r="D129" s="82" t="s">
        <v>62</v>
      </c>
      <c r="E129" s="82" t="s">
        <v>62</v>
      </c>
      <c r="F129" s="82" t="s">
        <v>62</v>
      </c>
      <c r="G129" s="110">
        <v>3</v>
      </c>
      <c r="H129" s="88" t="s">
        <v>144</v>
      </c>
      <c r="I129" s="83">
        <v>301</v>
      </c>
      <c r="J129" s="88" t="s">
        <v>145</v>
      </c>
      <c r="K129" s="83" t="s">
        <v>80</v>
      </c>
      <c r="L129" s="83" t="s">
        <v>84</v>
      </c>
      <c r="M129" s="83" t="s">
        <v>58</v>
      </c>
      <c r="N129" s="82" t="s">
        <v>62</v>
      </c>
      <c r="O129" s="93" t="s">
        <v>60</v>
      </c>
      <c r="P129" s="93" t="s">
        <v>60</v>
      </c>
      <c r="Q129" s="93" t="s">
        <v>60</v>
      </c>
      <c r="R129" s="91"/>
      <c r="S129" s="94" t="s">
        <v>61</v>
      </c>
      <c r="T129" s="94" t="s">
        <v>60</v>
      </c>
      <c r="U129" s="94" t="s">
        <v>60</v>
      </c>
      <c r="V129" s="94" t="s">
        <v>60</v>
      </c>
      <c r="W129" s="91"/>
      <c r="X129" s="91"/>
      <c r="Y129" s="91"/>
      <c r="Z129" s="91"/>
      <c r="AA129" s="91"/>
      <c r="AB129" s="91"/>
      <c r="AC129" s="95" t="s">
        <v>62</v>
      </c>
      <c r="AD129" s="95" t="s">
        <v>62</v>
      </c>
      <c r="AE129" s="95" t="s">
        <v>62</v>
      </c>
      <c r="AF129" s="95" t="s">
        <v>62</v>
      </c>
      <c r="AG129" s="96" t="s">
        <v>0</v>
      </c>
      <c r="AH129" s="70" t="s">
        <v>0</v>
      </c>
      <c r="AI129" s="70" t="s">
        <v>146</v>
      </c>
      <c r="AJ129" s="70" t="s">
        <v>147</v>
      </c>
      <c r="AK129" s="70" t="s">
        <v>148</v>
      </c>
      <c r="AL129" s="70"/>
      <c r="AM129" s="70" t="s">
        <v>62</v>
      </c>
      <c r="AN129" s="70" t="s">
        <v>62</v>
      </c>
      <c r="AO129" s="70" t="s">
        <v>62</v>
      </c>
      <c r="AP129" s="70" t="s">
        <v>62</v>
      </c>
      <c r="AQ129" s="70" t="s">
        <v>62</v>
      </c>
      <c r="AR129" s="70" t="s">
        <v>62</v>
      </c>
      <c r="AS129" s="70" t="s">
        <v>62</v>
      </c>
      <c r="AT129" s="70" t="s">
        <v>62</v>
      </c>
      <c r="AU129" s="70" t="s">
        <v>68</v>
      </c>
      <c r="AV129" s="67"/>
      <c r="AW129" s="68" t="s">
        <v>22</v>
      </c>
    </row>
    <row r="130" spans="1:49" ht="39" hidden="1">
      <c r="A130" s="1354">
        <v>70</v>
      </c>
      <c r="B130" s="1357">
        <v>71</v>
      </c>
      <c r="C130" s="82" t="s">
        <v>62</v>
      </c>
      <c r="D130" s="82" t="s">
        <v>62</v>
      </c>
      <c r="E130" s="82" t="s">
        <v>62</v>
      </c>
      <c r="F130" s="82" t="s">
        <v>62</v>
      </c>
      <c r="G130" s="110">
        <v>3</v>
      </c>
      <c r="H130" s="88" t="s">
        <v>144</v>
      </c>
      <c r="I130" s="83">
        <v>302</v>
      </c>
      <c r="J130" s="88" t="s">
        <v>150</v>
      </c>
      <c r="K130" s="83" t="s">
        <v>139</v>
      </c>
      <c r="L130" s="83" t="s">
        <v>84</v>
      </c>
      <c r="M130" s="83" t="s">
        <v>58</v>
      </c>
      <c r="N130" s="82" t="s">
        <v>62</v>
      </c>
      <c r="O130" s="93" t="s">
        <v>60</v>
      </c>
      <c r="P130" s="93" t="s">
        <v>60</v>
      </c>
      <c r="Q130" s="93" t="s">
        <v>60</v>
      </c>
      <c r="R130" s="91"/>
      <c r="S130" s="94" t="s">
        <v>61</v>
      </c>
      <c r="T130" s="94" t="s">
        <v>60</v>
      </c>
      <c r="U130" s="94" t="s">
        <v>60</v>
      </c>
      <c r="V130" s="94" t="s">
        <v>60</v>
      </c>
      <c r="W130" s="91"/>
      <c r="X130" s="91"/>
      <c r="Y130" s="91"/>
      <c r="Z130" s="91"/>
      <c r="AA130" s="91"/>
      <c r="AB130" s="91"/>
      <c r="AC130" s="95" t="s">
        <v>62</v>
      </c>
      <c r="AD130" s="95" t="s">
        <v>62</v>
      </c>
      <c r="AE130" s="95" t="s">
        <v>62</v>
      </c>
      <c r="AF130" s="95" t="s">
        <v>62</v>
      </c>
      <c r="AG130" s="96" t="s">
        <v>0</v>
      </c>
      <c r="AH130" s="70" t="s">
        <v>0</v>
      </c>
      <c r="AI130" s="70" t="s">
        <v>146</v>
      </c>
      <c r="AJ130" s="70" t="s">
        <v>147</v>
      </c>
      <c r="AK130" s="70" t="s">
        <v>148</v>
      </c>
      <c r="AL130" s="70" t="s">
        <v>151</v>
      </c>
      <c r="AM130" s="70" t="s">
        <v>62</v>
      </c>
      <c r="AN130" s="70" t="s">
        <v>62</v>
      </c>
      <c r="AO130" s="70" t="s">
        <v>62</v>
      </c>
      <c r="AP130" s="70" t="s">
        <v>62</v>
      </c>
      <c r="AQ130" s="70" t="s">
        <v>68</v>
      </c>
      <c r="AR130" s="70" t="s">
        <v>62</v>
      </c>
      <c r="AS130" s="70" t="s">
        <v>62</v>
      </c>
      <c r="AT130" s="70" t="s">
        <v>62</v>
      </c>
      <c r="AU130" s="70" t="s">
        <v>68</v>
      </c>
      <c r="AV130" s="67"/>
      <c r="AW130" s="68" t="s">
        <v>22</v>
      </c>
    </row>
    <row r="131" spans="1:49" ht="39" hidden="1">
      <c r="A131" s="1355"/>
      <c r="B131" s="1359"/>
      <c r="C131" s="82" t="s">
        <v>62</v>
      </c>
      <c r="D131" s="82" t="s">
        <v>62</v>
      </c>
      <c r="E131" s="82" t="s">
        <v>62</v>
      </c>
      <c r="F131" s="82" t="s">
        <v>62</v>
      </c>
      <c r="G131" s="110">
        <v>3</v>
      </c>
      <c r="H131" s="88" t="s">
        <v>144</v>
      </c>
      <c r="I131" s="83">
        <v>302</v>
      </c>
      <c r="J131" s="88" t="s">
        <v>150</v>
      </c>
      <c r="K131" s="83" t="s">
        <v>139</v>
      </c>
      <c r="L131" s="83" t="s">
        <v>84</v>
      </c>
      <c r="M131" s="83" t="s">
        <v>58</v>
      </c>
      <c r="N131" s="82" t="s">
        <v>62</v>
      </c>
      <c r="O131" s="93" t="s">
        <v>60</v>
      </c>
      <c r="P131" s="93" t="s">
        <v>60</v>
      </c>
      <c r="Q131" s="93" t="s">
        <v>60</v>
      </c>
      <c r="R131" s="91"/>
      <c r="S131" s="94" t="s">
        <v>61</v>
      </c>
      <c r="T131" s="94" t="s">
        <v>60</v>
      </c>
      <c r="U131" s="94" t="s">
        <v>60</v>
      </c>
      <c r="V131" s="94" t="s">
        <v>60</v>
      </c>
      <c r="W131" s="91"/>
      <c r="X131" s="91"/>
      <c r="Y131" s="91"/>
      <c r="Z131" s="91"/>
      <c r="AA131" s="91"/>
      <c r="AB131" s="91"/>
      <c r="AC131" s="95" t="s">
        <v>62</v>
      </c>
      <c r="AD131" s="95" t="s">
        <v>62</v>
      </c>
      <c r="AE131" s="95" t="s">
        <v>62</v>
      </c>
      <c r="AF131" s="95" t="s">
        <v>62</v>
      </c>
      <c r="AG131" s="96" t="s">
        <v>1</v>
      </c>
      <c r="AH131" s="70" t="s">
        <v>0</v>
      </c>
      <c r="AI131" s="70" t="s">
        <v>146</v>
      </c>
      <c r="AJ131" s="70" t="s">
        <v>147</v>
      </c>
      <c r="AK131" s="70" t="s">
        <v>148</v>
      </c>
      <c r="AL131" s="70" t="s">
        <v>151</v>
      </c>
      <c r="AM131" s="70" t="s">
        <v>62</v>
      </c>
      <c r="AN131" s="70" t="s">
        <v>62</v>
      </c>
      <c r="AO131" s="70" t="s">
        <v>62</v>
      </c>
      <c r="AP131" s="70" t="s">
        <v>62</v>
      </c>
      <c r="AQ131" s="70" t="s">
        <v>68</v>
      </c>
      <c r="AR131" s="70" t="s">
        <v>62</v>
      </c>
      <c r="AS131" s="70" t="s">
        <v>62</v>
      </c>
      <c r="AT131" s="70" t="s">
        <v>62</v>
      </c>
      <c r="AU131" s="70" t="s">
        <v>68</v>
      </c>
      <c r="AV131" s="67"/>
      <c r="AW131" s="68" t="s">
        <v>22</v>
      </c>
    </row>
    <row r="132" spans="1:49" ht="39" hidden="1">
      <c r="A132" s="1356"/>
      <c r="B132" s="1358"/>
      <c r="C132" s="82" t="s">
        <v>62</v>
      </c>
      <c r="D132" s="82" t="s">
        <v>62</v>
      </c>
      <c r="E132" s="82" t="s">
        <v>62</v>
      </c>
      <c r="F132" s="82" t="s">
        <v>62</v>
      </c>
      <c r="G132" s="110">
        <v>3</v>
      </c>
      <c r="H132" s="88" t="s">
        <v>144</v>
      </c>
      <c r="I132" s="83">
        <v>302</v>
      </c>
      <c r="J132" s="88" t="s">
        <v>150</v>
      </c>
      <c r="K132" s="83" t="s">
        <v>139</v>
      </c>
      <c r="L132" s="83" t="s">
        <v>84</v>
      </c>
      <c r="M132" s="83" t="s">
        <v>58</v>
      </c>
      <c r="N132" s="82" t="s">
        <v>62</v>
      </c>
      <c r="O132" s="93" t="s">
        <v>60</v>
      </c>
      <c r="P132" s="93" t="s">
        <v>60</v>
      </c>
      <c r="Q132" s="93" t="s">
        <v>60</v>
      </c>
      <c r="R132" s="91"/>
      <c r="S132" s="94" t="s">
        <v>61</v>
      </c>
      <c r="T132" s="94" t="s">
        <v>60</v>
      </c>
      <c r="U132" s="94" t="s">
        <v>60</v>
      </c>
      <c r="V132" s="94" t="s">
        <v>60</v>
      </c>
      <c r="W132" s="91"/>
      <c r="X132" s="91"/>
      <c r="Y132" s="91"/>
      <c r="Z132" s="91"/>
      <c r="AA132" s="91"/>
      <c r="AB132" s="91"/>
      <c r="AC132" s="95" t="s">
        <v>62</v>
      </c>
      <c r="AD132" s="95" t="s">
        <v>62</v>
      </c>
      <c r="AE132" s="95" t="s">
        <v>62</v>
      </c>
      <c r="AF132" s="95" t="s">
        <v>62</v>
      </c>
      <c r="AG132" s="96" t="s">
        <v>71</v>
      </c>
      <c r="AH132" s="70" t="s">
        <v>0</v>
      </c>
      <c r="AI132" s="70" t="s">
        <v>146</v>
      </c>
      <c r="AJ132" s="70" t="s">
        <v>147</v>
      </c>
      <c r="AK132" s="70" t="s">
        <v>148</v>
      </c>
      <c r="AL132" s="70" t="s">
        <v>151</v>
      </c>
      <c r="AM132" s="70" t="s">
        <v>62</v>
      </c>
      <c r="AN132" s="70" t="s">
        <v>62</v>
      </c>
      <c r="AO132" s="70" t="s">
        <v>62</v>
      </c>
      <c r="AP132" s="70" t="s">
        <v>62</v>
      </c>
      <c r="AQ132" s="70" t="s">
        <v>68</v>
      </c>
      <c r="AR132" s="70" t="s">
        <v>62</v>
      </c>
      <c r="AS132" s="70" t="s">
        <v>62</v>
      </c>
      <c r="AT132" s="70" t="s">
        <v>62</v>
      </c>
      <c r="AU132" s="70" t="s">
        <v>68</v>
      </c>
      <c r="AV132" s="67"/>
      <c r="AW132" s="68" t="s">
        <v>22</v>
      </c>
    </row>
    <row r="133" spans="1:49" ht="39" hidden="1">
      <c r="A133" s="90">
        <v>71</v>
      </c>
      <c r="B133" s="97">
        <v>72</v>
      </c>
      <c r="C133" s="82" t="s">
        <v>62</v>
      </c>
      <c r="D133" s="82" t="s">
        <v>62</v>
      </c>
      <c r="E133" s="82" t="s">
        <v>62</v>
      </c>
      <c r="F133" s="82" t="s">
        <v>62</v>
      </c>
      <c r="G133" s="110">
        <v>3</v>
      </c>
      <c r="H133" s="88" t="s">
        <v>144</v>
      </c>
      <c r="I133" s="83">
        <v>302</v>
      </c>
      <c r="J133" s="88" t="s">
        <v>150</v>
      </c>
      <c r="K133" s="83" t="s">
        <v>56</v>
      </c>
      <c r="L133" s="83" t="s">
        <v>84</v>
      </c>
      <c r="M133" s="83" t="s">
        <v>58</v>
      </c>
      <c r="N133" s="82" t="s">
        <v>62</v>
      </c>
      <c r="O133" s="93" t="s">
        <v>60</v>
      </c>
      <c r="P133" s="93" t="s">
        <v>60</v>
      </c>
      <c r="Q133" s="93" t="s">
        <v>60</v>
      </c>
      <c r="R133" s="91"/>
      <c r="S133" s="94" t="s">
        <v>61</v>
      </c>
      <c r="T133" s="94" t="s">
        <v>60</v>
      </c>
      <c r="U133" s="108"/>
      <c r="V133" s="108"/>
      <c r="W133" s="91"/>
      <c r="X133" s="103" t="s">
        <v>61</v>
      </c>
      <c r="Y133" s="91"/>
      <c r="Z133" s="91"/>
      <c r="AA133" s="91"/>
      <c r="AB133" s="91"/>
      <c r="AC133" s="95" t="s">
        <v>62</v>
      </c>
      <c r="AD133" s="95" t="s">
        <v>62</v>
      </c>
      <c r="AE133" s="95" t="s">
        <v>62</v>
      </c>
      <c r="AF133" s="95" t="s">
        <v>62</v>
      </c>
      <c r="AG133" s="70" t="s">
        <v>0</v>
      </c>
      <c r="AH133" s="70" t="s">
        <v>0</v>
      </c>
      <c r="AI133" s="70" t="s">
        <v>146</v>
      </c>
      <c r="AJ133" s="70" t="s">
        <v>147</v>
      </c>
      <c r="AK133" s="70" t="s">
        <v>148</v>
      </c>
      <c r="AL133" s="70" t="s">
        <v>151</v>
      </c>
      <c r="AM133" s="70" t="s">
        <v>65</v>
      </c>
      <c r="AN133" s="70" t="s">
        <v>66</v>
      </c>
      <c r="AO133" s="70" t="s">
        <v>65</v>
      </c>
      <c r="AP133" s="70" t="s">
        <v>67</v>
      </c>
      <c r="AQ133" s="70" t="s">
        <v>68</v>
      </c>
      <c r="AR133" s="70" t="s">
        <v>69</v>
      </c>
      <c r="AS133" s="70" t="s">
        <v>68</v>
      </c>
      <c r="AT133" s="70" t="s">
        <v>70</v>
      </c>
      <c r="AU133" s="70" t="s">
        <v>68</v>
      </c>
      <c r="AV133" s="67"/>
      <c r="AW133" s="68" t="s">
        <v>22</v>
      </c>
    </row>
    <row r="134" spans="1:49" ht="39" hidden="1">
      <c r="A134" s="70">
        <v>72</v>
      </c>
      <c r="B134" s="97">
        <v>73</v>
      </c>
      <c r="C134" s="82" t="s">
        <v>62</v>
      </c>
      <c r="D134" s="82" t="s">
        <v>62</v>
      </c>
      <c r="E134" s="82" t="s">
        <v>62</v>
      </c>
      <c r="F134" s="82" t="s">
        <v>62</v>
      </c>
      <c r="G134" s="110">
        <v>3</v>
      </c>
      <c r="H134" s="88" t="s">
        <v>144</v>
      </c>
      <c r="I134" s="83">
        <v>302</v>
      </c>
      <c r="J134" s="88" t="s">
        <v>150</v>
      </c>
      <c r="K134" s="83" t="s">
        <v>80</v>
      </c>
      <c r="L134" s="83" t="s">
        <v>84</v>
      </c>
      <c r="M134" s="83" t="s">
        <v>58</v>
      </c>
      <c r="N134" s="82" t="s">
        <v>62</v>
      </c>
      <c r="O134" s="93" t="s">
        <v>60</v>
      </c>
      <c r="P134" s="93" t="s">
        <v>60</v>
      </c>
      <c r="Q134" s="93" t="s">
        <v>60</v>
      </c>
      <c r="R134" s="91"/>
      <c r="S134" s="94" t="s">
        <v>61</v>
      </c>
      <c r="T134" s="94" t="s">
        <v>60</v>
      </c>
      <c r="U134" s="94" t="s">
        <v>60</v>
      </c>
      <c r="V134" s="94" t="s">
        <v>60</v>
      </c>
      <c r="W134" s="91"/>
      <c r="X134" s="91"/>
      <c r="Y134" s="91"/>
      <c r="Z134" s="91"/>
      <c r="AA134" s="91"/>
      <c r="AB134" s="91"/>
      <c r="AC134" s="95" t="s">
        <v>62</v>
      </c>
      <c r="AD134" s="95" t="s">
        <v>62</v>
      </c>
      <c r="AE134" s="95" t="s">
        <v>62</v>
      </c>
      <c r="AF134" s="95" t="s">
        <v>62</v>
      </c>
      <c r="AG134" s="96" t="s">
        <v>0</v>
      </c>
      <c r="AH134" s="70" t="s">
        <v>0</v>
      </c>
      <c r="AI134" s="70" t="s">
        <v>146</v>
      </c>
      <c r="AJ134" s="70" t="s">
        <v>147</v>
      </c>
      <c r="AK134" s="70" t="s">
        <v>148</v>
      </c>
      <c r="AL134" s="70" t="s">
        <v>151</v>
      </c>
      <c r="AM134" s="70" t="s">
        <v>62</v>
      </c>
      <c r="AN134" s="70" t="s">
        <v>62</v>
      </c>
      <c r="AO134" s="70" t="s">
        <v>62</v>
      </c>
      <c r="AP134" s="70" t="s">
        <v>62</v>
      </c>
      <c r="AQ134" s="70" t="s">
        <v>62</v>
      </c>
      <c r="AR134" s="70" t="s">
        <v>62</v>
      </c>
      <c r="AS134" s="70" t="s">
        <v>62</v>
      </c>
      <c r="AT134" s="70" t="s">
        <v>62</v>
      </c>
      <c r="AU134" s="70" t="s">
        <v>68</v>
      </c>
      <c r="AV134" s="67"/>
      <c r="AW134" s="68" t="s">
        <v>22</v>
      </c>
    </row>
    <row r="135" spans="1:49" ht="39" hidden="1">
      <c r="A135" s="1354">
        <v>73</v>
      </c>
      <c r="B135" s="1357">
        <v>74</v>
      </c>
      <c r="C135" s="82" t="s">
        <v>62</v>
      </c>
      <c r="D135" s="82" t="s">
        <v>62</v>
      </c>
      <c r="E135" s="82" t="s">
        <v>62</v>
      </c>
      <c r="F135" s="82" t="s">
        <v>62</v>
      </c>
      <c r="G135" s="110">
        <v>3</v>
      </c>
      <c r="H135" s="88" t="s">
        <v>144</v>
      </c>
      <c r="I135" s="83">
        <v>303</v>
      </c>
      <c r="J135" s="88" t="s">
        <v>152</v>
      </c>
      <c r="K135" s="83" t="s">
        <v>139</v>
      </c>
      <c r="L135" s="83" t="s">
        <v>84</v>
      </c>
      <c r="M135" s="83" t="s">
        <v>58</v>
      </c>
      <c r="N135" s="82" t="s">
        <v>62</v>
      </c>
      <c r="O135" s="93" t="s">
        <v>60</v>
      </c>
      <c r="P135" s="93" t="s">
        <v>60</v>
      </c>
      <c r="Q135" s="93" t="s">
        <v>60</v>
      </c>
      <c r="R135" s="91"/>
      <c r="S135" s="94" t="s">
        <v>61</v>
      </c>
      <c r="T135" s="94" t="s">
        <v>60</v>
      </c>
      <c r="U135" s="94" t="s">
        <v>60</v>
      </c>
      <c r="V135" s="94" t="s">
        <v>60</v>
      </c>
      <c r="W135" s="91"/>
      <c r="X135" s="91"/>
      <c r="Y135" s="91"/>
      <c r="Z135" s="91"/>
      <c r="AA135" s="91"/>
      <c r="AB135" s="91"/>
      <c r="AC135" s="95" t="s">
        <v>62</v>
      </c>
      <c r="AD135" s="95" t="s">
        <v>62</v>
      </c>
      <c r="AE135" s="95" t="s">
        <v>62</v>
      </c>
      <c r="AF135" s="95" t="s">
        <v>62</v>
      </c>
      <c r="AG135" s="96" t="s">
        <v>0</v>
      </c>
      <c r="AH135" s="70" t="s">
        <v>0</v>
      </c>
      <c r="AI135" s="70" t="s">
        <v>146</v>
      </c>
      <c r="AJ135" s="70" t="s">
        <v>147</v>
      </c>
      <c r="AK135" s="70" t="s">
        <v>148</v>
      </c>
      <c r="AL135" s="111"/>
      <c r="AM135" s="70" t="s">
        <v>62</v>
      </c>
      <c r="AN135" s="70" t="s">
        <v>62</v>
      </c>
      <c r="AO135" s="70" t="s">
        <v>62</v>
      </c>
      <c r="AP135" s="70" t="s">
        <v>62</v>
      </c>
      <c r="AQ135" s="70" t="s">
        <v>68</v>
      </c>
      <c r="AR135" s="70" t="s">
        <v>62</v>
      </c>
      <c r="AS135" s="70" t="s">
        <v>62</v>
      </c>
      <c r="AT135" s="70" t="s">
        <v>62</v>
      </c>
      <c r="AU135" s="70" t="s">
        <v>68</v>
      </c>
      <c r="AV135" s="67"/>
      <c r="AW135" s="68" t="s">
        <v>22</v>
      </c>
    </row>
    <row r="136" spans="1:49" ht="39" hidden="1">
      <c r="A136" s="1355"/>
      <c r="B136" s="1359"/>
      <c r="C136" s="82" t="s">
        <v>62</v>
      </c>
      <c r="D136" s="82" t="s">
        <v>62</v>
      </c>
      <c r="E136" s="82" t="s">
        <v>62</v>
      </c>
      <c r="F136" s="82" t="s">
        <v>62</v>
      </c>
      <c r="G136" s="110">
        <v>3</v>
      </c>
      <c r="H136" s="88" t="s">
        <v>144</v>
      </c>
      <c r="I136" s="83">
        <v>303</v>
      </c>
      <c r="J136" s="88" t="s">
        <v>152</v>
      </c>
      <c r="K136" s="83" t="s">
        <v>139</v>
      </c>
      <c r="L136" s="83" t="s">
        <v>84</v>
      </c>
      <c r="M136" s="83" t="s">
        <v>58</v>
      </c>
      <c r="N136" s="82" t="s">
        <v>62</v>
      </c>
      <c r="O136" s="93" t="s">
        <v>60</v>
      </c>
      <c r="P136" s="93" t="s">
        <v>60</v>
      </c>
      <c r="Q136" s="93" t="s">
        <v>60</v>
      </c>
      <c r="R136" s="91"/>
      <c r="S136" s="94" t="s">
        <v>61</v>
      </c>
      <c r="T136" s="94" t="s">
        <v>60</v>
      </c>
      <c r="U136" s="94" t="s">
        <v>60</v>
      </c>
      <c r="V136" s="94" t="s">
        <v>60</v>
      </c>
      <c r="W136" s="91"/>
      <c r="X136" s="91"/>
      <c r="Y136" s="91"/>
      <c r="Z136" s="91"/>
      <c r="AA136" s="91"/>
      <c r="AB136" s="91"/>
      <c r="AC136" s="95" t="s">
        <v>62</v>
      </c>
      <c r="AD136" s="95" t="s">
        <v>62</v>
      </c>
      <c r="AE136" s="95" t="s">
        <v>62</v>
      </c>
      <c r="AF136" s="95" t="s">
        <v>62</v>
      </c>
      <c r="AG136" s="96" t="s">
        <v>1</v>
      </c>
      <c r="AH136" s="70" t="s">
        <v>0</v>
      </c>
      <c r="AI136" s="70" t="s">
        <v>146</v>
      </c>
      <c r="AJ136" s="70" t="s">
        <v>147</v>
      </c>
      <c r="AK136" s="70" t="s">
        <v>148</v>
      </c>
      <c r="AL136" s="111"/>
      <c r="AM136" s="70" t="s">
        <v>62</v>
      </c>
      <c r="AN136" s="70" t="s">
        <v>62</v>
      </c>
      <c r="AO136" s="70" t="s">
        <v>62</v>
      </c>
      <c r="AP136" s="70" t="s">
        <v>62</v>
      </c>
      <c r="AQ136" s="70" t="s">
        <v>68</v>
      </c>
      <c r="AR136" s="70" t="s">
        <v>62</v>
      </c>
      <c r="AS136" s="70" t="s">
        <v>62</v>
      </c>
      <c r="AT136" s="70" t="s">
        <v>62</v>
      </c>
      <c r="AU136" s="70" t="s">
        <v>68</v>
      </c>
      <c r="AV136" s="67"/>
      <c r="AW136" s="68" t="s">
        <v>22</v>
      </c>
    </row>
    <row r="137" spans="1:49" ht="39" hidden="1">
      <c r="A137" s="1356"/>
      <c r="B137" s="1358"/>
      <c r="C137" s="82" t="s">
        <v>62</v>
      </c>
      <c r="D137" s="82" t="s">
        <v>62</v>
      </c>
      <c r="E137" s="82" t="s">
        <v>62</v>
      </c>
      <c r="F137" s="82" t="s">
        <v>62</v>
      </c>
      <c r="G137" s="110">
        <v>3</v>
      </c>
      <c r="H137" s="88" t="s">
        <v>144</v>
      </c>
      <c r="I137" s="83">
        <v>303</v>
      </c>
      <c r="J137" s="88" t="s">
        <v>152</v>
      </c>
      <c r="K137" s="83" t="s">
        <v>139</v>
      </c>
      <c r="L137" s="83" t="s">
        <v>84</v>
      </c>
      <c r="M137" s="83" t="s">
        <v>58</v>
      </c>
      <c r="N137" s="82" t="s">
        <v>62</v>
      </c>
      <c r="O137" s="93" t="s">
        <v>60</v>
      </c>
      <c r="P137" s="93" t="s">
        <v>60</v>
      </c>
      <c r="Q137" s="93" t="s">
        <v>60</v>
      </c>
      <c r="R137" s="91"/>
      <c r="S137" s="94" t="s">
        <v>61</v>
      </c>
      <c r="T137" s="94" t="s">
        <v>60</v>
      </c>
      <c r="U137" s="94" t="s">
        <v>60</v>
      </c>
      <c r="V137" s="94" t="s">
        <v>60</v>
      </c>
      <c r="W137" s="91"/>
      <c r="X137" s="91"/>
      <c r="Y137" s="91"/>
      <c r="Z137" s="91"/>
      <c r="AA137" s="91"/>
      <c r="AB137" s="91"/>
      <c r="AC137" s="95" t="s">
        <v>62</v>
      </c>
      <c r="AD137" s="95" t="s">
        <v>62</v>
      </c>
      <c r="AE137" s="95" t="s">
        <v>62</v>
      </c>
      <c r="AF137" s="95" t="s">
        <v>62</v>
      </c>
      <c r="AG137" s="96" t="s">
        <v>71</v>
      </c>
      <c r="AH137" s="70" t="s">
        <v>0</v>
      </c>
      <c r="AI137" s="70" t="s">
        <v>146</v>
      </c>
      <c r="AJ137" s="70" t="s">
        <v>147</v>
      </c>
      <c r="AK137" s="70" t="s">
        <v>148</v>
      </c>
      <c r="AL137" s="111"/>
      <c r="AM137" s="70" t="s">
        <v>62</v>
      </c>
      <c r="AN137" s="70" t="s">
        <v>62</v>
      </c>
      <c r="AO137" s="70" t="s">
        <v>62</v>
      </c>
      <c r="AP137" s="70" t="s">
        <v>62</v>
      </c>
      <c r="AQ137" s="70" t="s">
        <v>68</v>
      </c>
      <c r="AR137" s="70" t="s">
        <v>62</v>
      </c>
      <c r="AS137" s="70" t="s">
        <v>62</v>
      </c>
      <c r="AT137" s="70" t="s">
        <v>62</v>
      </c>
      <c r="AU137" s="70" t="s">
        <v>68</v>
      </c>
      <c r="AV137" s="67"/>
      <c r="AW137" s="68" t="s">
        <v>22</v>
      </c>
    </row>
    <row r="138" spans="1:49" ht="39" hidden="1">
      <c r="A138" s="90">
        <v>74</v>
      </c>
      <c r="B138" s="97">
        <v>75</v>
      </c>
      <c r="C138" s="82" t="s">
        <v>62</v>
      </c>
      <c r="D138" s="82" t="s">
        <v>62</v>
      </c>
      <c r="E138" s="82" t="s">
        <v>62</v>
      </c>
      <c r="F138" s="82" t="s">
        <v>62</v>
      </c>
      <c r="G138" s="110">
        <v>3</v>
      </c>
      <c r="H138" s="88" t="s">
        <v>144</v>
      </c>
      <c r="I138" s="83">
        <v>303</v>
      </c>
      <c r="J138" s="88" t="s">
        <v>152</v>
      </c>
      <c r="K138" s="83" t="s">
        <v>56</v>
      </c>
      <c r="L138" s="83" t="s">
        <v>84</v>
      </c>
      <c r="M138" s="83" t="s">
        <v>58</v>
      </c>
      <c r="N138" s="82" t="s">
        <v>62</v>
      </c>
      <c r="O138" s="93" t="s">
        <v>60</v>
      </c>
      <c r="P138" s="93" t="s">
        <v>60</v>
      </c>
      <c r="Q138" s="93" t="s">
        <v>60</v>
      </c>
      <c r="R138" s="91"/>
      <c r="S138" s="94" t="s">
        <v>61</v>
      </c>
      <c r="T138" s="94" t="s">
        <v>60</v>
      </c>
      <c r="U138" s="108"/>
      <c r="V138" s="108"/>
      <c r="W138" s="91"/>
      <c r="X138" s="103" t="s">
        <v>61</v>
      </c>
      <c r="Y138" s="91"/>
      <c r="Z138" s="91"/>
      <c r="AA138" s="91"/>
      <c r="AB138" s="91"/>
      <c r="AC138" s="95" t="s">
        <v>62</v>
      </c>
      <c r="AD138" s="95" t="s">
        <v>62</v>
      </c>
      <c r="AE138" s="95" t="s">
        <v>62</v>
      </c>
      <c r="AF138" s="95" t="s">
        <v>62</v>
      </c>
      <c r="AG138" s="70" t="s">
        <v>0</v>
      </c>
      <c r="AH138" s="70" t="s">
        <v>0</v>
      </c>
      <c r="AI138" s="70" t="s">
        <v>146</v>
      </c>
      <c r="AJ138" s="70" t="s">
        <v>147</v>
      </c>
      <c r="AK138" s="70" t="s">
        <v>148</v>
      </c>
      <c r="AL138" s="111"/>
      <c r="AM138" s="70" t="s">
        <v>65</v>
      </c>
      <c r="AN138" s="70" t="s">
        <v>66</v>
      </c>
      <c r="AO138" s="70" t="s">
        <v>65</v>
      </c>
      <c r="AP138" s="70" t="s">
        <v>67</v>
      </c>
      <c r="AQ138" s="70" t="s">
        <v>68</v>
      </c>
      <c r="AR138" s="70" t="s">
        <v>69</v>
      </c>
      <c r="AS138" s="70" t="s">
        <v>68</v>
      </c>
      <c r="AT138" s="70" t="s">
        <v>70</v>
      </c>
      <c r="AU138" s="70" t="s">
        <v>68</v>
      </c>
      <c r="AV138" s="67"/>
      <c r="AW138" s="68" t="s">
        <v>22</v>
      </c>
    </row>
    <row r="139" spans="1:49" ht="39" hidden="1">
      <c r="A139" s="70">
        <v>75</v>
      </c>
      <c r="B139" s="97">
        <v>76</v>
      </c>
      <c r="C139" s="82" t="s">
        <v>62</v>
      </c>
      <c r="D139" s="82" t="s">
        <v>62</v>
      </c>
      <c r="E139" s="82" t="s">
        <v>62</v>
      </c>
      <c r="F139" s="82" t="s">
        <v>62</v>
      </c>
      <c r="G139" s="110">
        <v>3</v>
      </c>
      <c r="H139" s="88" t="s">
        <v>144</v>
      </c>
      <c r="I139" s="83">
        <v>303</v>
      </c>
      <c r="J139" s="88" t="s">
        <v>152</v>
      </c>
      <c r="K139" s="83" t="s">
        <v>80</v>
      </c>
      <c r="L139" s="83" t="s">
        <v>84</v>
      </c>
      <c r="M139" s="83" t="s">
        <v>58</v>
      </c>
      <c r="N139" s="82" t="s">
        <v>62</v>
      </c>
      <c r="O139" s="93" t="s">
        <v>60</v>
      </c>
      <c r="P139" s="93" t="s">
        <v>60</v>
      </c>
      <c r="Q139" s="93" t="s">
        <v>60</v>
      </c>
      <c r="R139" s="91"/>
      <c r="S139" s="94" t="s">
        <v>61</v>
      </c>
      <c r="T139" s="94" t="s">
        <v>60</v>
      </c>
      <c r="U139" s="94" t="s">
        <v>60</v>
      </c>
      <c r="V139" s="94" t="s">
        <v>60</v>
      </c>
      <c r="W139" s="91"/>
      <c r="X139" s="91"/>
      <c r="Y139" s="91"/>
      <c r="Z139" s="91"/>
      <c r="AA139" s="91"/>
      <c r="AB139" s="91"/>
      <c r="AC139" s="95" t="s">
        <v>62</v>
      </c>
      <c r="AD139" s="95" t="s">
        <v>62</v>
      </c>
      <c r="AE139" s="95" t="s">
        <v>62</v>
      </c>
      <c r="AF139" s="95" t="s">
        <v>62</v>
      </c>
      <c r="AG139" s="96" t="s">
        <v>0</v>
      </c>
      <c r="AH139" s="70" t="s">
        <v>0</v>
      </c>
      <c r="AI139" s="70" t="s">
        <v>146</v>
      </c>
      <c r="AJ139" s="70" t="s">
        <v>147</v>
      </c>
      <c r="AK139" s="70" t="s">
        <v>148</v>
      </c>
      <c r="AL139" s="111"/>
      <c r="AM139" s="70" t="s">
        <v>62</v>
      </c>
      <c r="AN139" s="70" t="s">
        <v>62</v>
      </c>
      <c r="AO139" s="70" t="s">
        <v>62</v>
      </c>
      <c r="AP139" s="70" t="s">
        <v>62</v>
      </c>
      <c r="AQ139" s="70" t="s">
        <v>62</v>
      </c>
      <c r="AR139" s="70" t="s">
        <v>62</v>
      </c>
      <c r="AS139" s="70" t="s">
        <v>62</v>
      </c>
      <c r="AT139" s="70" t="s">
        <v>62</v>
      </c>
      <c r="AU139" s="70" t="s">
        <v>68</v>
      </c>
      <c r="AV139" s="67"/>
      <c r="AW139" s="68" t="s">
        <v>22</v>
      </c>
    </row>
    <row r="140" spans="1:49" ht="39" hidden="1">
      <c r="A140" s="1354">
        <v>76</v>
      </c>
      <c r="B140" s="1357">
        <v>77</v>
      </c>
      <c r="C140" s="82" t="s">
        <v>62</v>
      </c>
      <c r="D140" s="82" t="s">
        <v>62</v>
      </c>
      <c r="E140" s="82" t="s">
        <v>62</v>
      </c>
      <c r="F140" s="82" t="s">
        <v>62</v>
      </c>
      <c r="G140" s="110">
        <v>3</v>
      </c>
      <c r="H140" s="88" t="s">
        <v>144</v>
      </c>
      <c r="I140" s="83">
        <v>304</v>
      </c>
      <c r="J140" s="88" t="s">
        <v>153</v>
      </c>
      <c r="K140" s="83" t="s">
        <v>139</v>
      </c>
      <c r="L140" s="83" t="s">
        <v>84</v>
      </c>
      <c r="M140" s="83" t="s">
        <v>58</v>
      </c>
      <c r="N140" s="82" t="s">
        <v>62</v>
      </c>
      <c r="O140" s="93" t="s">
        <v>60</v>
      </c>
      <c r="P140" s="93" t="s">
        <v>60</v>
      </c>
      <c r="Q140" s="93" t="s">
        <v>60</v>
      </c>
      <c r="R140" s="91"/>
      <c r="S140" s="94" t="s">
        <v>61</v>
      </c>
      <c r="T140" s="94" t="s">
        <v>60</v>
      </c>
      <c r="U140" s="94" t="s">
        <v>60</v>
      </c>
      <c r="V140" s="94" t="s">
        <v>60</v>
      </c>
      <c r="W140" s="91"/>
      <c r="X140" s="91"/>
      <c r="Y140" s="91"/>
      <c r="Z140" s="91"/>
      <c r="AA140" s="91"/>
      <c r="AB140" s="91"/>
      <c r="AC140" s="95" t="s">
        <v>62</v>
      </c>
      <c r="AD140" s="95" t="s">
        <v>62</v>
      </c>
      <c r="AE140" s="95" t="s">
        <v>62</v>
      </c>
      <c r="AF140" s="95" t="s">
        <v>62</v>
      </c>
      <c r="AG140" s="96" t="s">
        <v>0</v>
      </c>
      <c r="AH140" s="70" t="s">
        <v>0</v>
      </c>
      <c r="AI140" s="70" t="s">
        <v>146</v>
      </c>
      <c r="AJ140" s="70" t="s">
        <v>147</v>
      </c>
      <c r="AK140" s="70" t="s">
        <v>148</v>
      </c>
      <c r="AL140" s="111"/>
      <c r="AM140" s="70" t="s">
        <v>62</v>
      </c>
      <c r="AN140" s="70" t="s">
        <v>62</v>
      </c>
      <c r="AO140" s="70" t="s">
        <v>62</v>
      </c>
      <c r="AP140" s="70" t="s">
        <v>62</v>
      </c>
      <c r="AQ140" s="70" t="s">
        <v>68</v>
      </c>
      <c r="AR140" s="70" t="s">
        <v>62</v>
      </c>
      <c r="AS140" s="70" t="s">
        <v>62</v>
      </c>
      <c r="AT140" s="70" t="s">
        <v>62</v>
      </c>
      <c r="AU140" s="70" t="s">
        <v>68</v>
      </c>
      <c r="AV140" s="67"/>
      <c r="AW140" s="68" t="s">
        <v>22</v>
      </c>
    </row>
    <row r="141" spans="1:49" ht="39" hidden="1">
      <c r="A141" s="1355"/>
      <c r="B141" s="1359"/>
      <c r="C141" s="82" t="s">
        <v>62</v>
      </c>
      <c r="D141" s="82" t="s">
        <v>62</v>
      </c>
      <c r="E141" s="82" t="s">
        <v>62</v>
      </c>
      <c r="F141" s="82" t="s">
        <v>62</v>
      </c>
      <c r="G141" s="110">
        <v>3</v>
      </c>
      <c r="H141" s="88" t="s">
        <v>144</v>
      </c>
      <c r="I141" s="83">
        <v>304</v>
      </c>
      <c r="J141" s="88" t="s">
        <v>153</v>
      </c>
      <c r="K141" s="83" t="s">
        <v>139</v>
      </c>
      <c r="L141" s="83" t="s">
        <v>84</v>
      </c>
      <c r="M141" s="83" t="s">
        <v>58</v>
      </c>
      <c r="N141" s="82" t="s">
        <v>62</v>
      </c>
      <c r="O141" s="93" t="s">
        <v>60</v>
      </c>
      <c r="P141" s="93" t="s">
        <v>60</v>
      </c>
      <c r="Q141" s="93" t="s">
        <v>60</v>
      </c>
      <c r="R141" s="91"/>
      <c r="S141" s="94" t="s">
        <v>61</v>
      </c>
      <c r="T141" s="94" t="s">
        <v>60</v>
      </c>
      <c r="U141" s="94" t="s">
        <v>60</v>
      </c>
      <c r="V141" s="94" t="s">
        <v>60</v>
      </c>
      <c r="W141" s="91"/>
      <c r="X141" s="91"/>
      <c r="Y141" s="91"/>
      <c r="Z141" s="91"/>
      <c r="AA141" s="91"/>
      <c r="AB141" s="91"/>
      <c r="AC141" s="95" t="s">
        <v>62</v>
      </c>
      <c r="AD141" s="95" t="s">
        <v>62</v>
      </c>
      <c r="AE141" s="95" t="s">
        <v>62</v>
      </c>
      <c r="AF141" s="95" t="s">
        <v>62</v>
      </c>
      <c r="AG141" s="96" t="s">
        <v>1</v>
      </c>
      <c r="AH141" s="70" t="s">
        <v>0</v>
      </c>
      <c r="AI141" s="70" t="s">
        <v>146</v>
      </c>
      <c r="AJ141" s="70" t="s">
        <v>147</v>
      </c>
      <c r="AK141" s="70" t="s">
        <v>148</v>
      </c>
      <c r="AL141" s="111"/>
      <c r="AM141" s="70" t="s">
        <v>62</v>
      </c>
      <c r="AN141" s="70" t="s">
        <v>62</v>
      </c>
      <c r="AO141" s="70" t="s">
        <v>62</v>
      </c>
      <c r="AP141" s="70" t="s">
        <v>62</v>
      </c>
      <c r="AQ141" s="70" t="s">
        <v>68</v>
      </c>
      <c r="AR141" s="70" t="s">
        <v>62</v>
      </c>
      <c r="AS141" s="70" t="s">
        <v>62</v>
      </c>
      <c r="AT141" s="70" t="s">
        <v>62</v>
      </c>
      <c r="AU141" s="70" t="s">
        <v>68</v>
      </c>
      <c r="AV141" s="67"/>
      <c r="AW141" s="68" t="s">
        <v>22</v>
      </c>
    </row>
    <row r="142" spans="1:49" ht="39" hidden="1">
      <c r="A142" s="1356"/>
      <c r="B142" s="1358"/>
      <c r="C142" s="82" t="s">
        <v>62</v>
      </c>
      <c r="D142" s="82" t="s">
        <v>62</v>
      </c>
      <c r="E142" s="82" t="s">
        <v>62</v>
      </c>
      <c r="F142" s="82" t="s">
        <v>62</v>
      </c>
      <c r="G142" s="110">
        <v>3</v>
      </c>
      <c r="H142" s="88" t="s">
        <v>144</v>
      </c>
      <c r="I142" s="83">
        <v>304</v>
      </c>
      <c r="J142" s="88" t="s">
        <v>153</v>
      </c>
      <c r="K142" s="83" t="s">
        <v>139</v>
      </c>
      <c r="L142" s="83" t="s">
        <v>84</v>
      </c>
      <c r="M142" s="83" t="s">
        <v>58</v>
      </c>
      <c r="N142" s="82" t="s">
        <v>62</v>
      </c>
      <c r="O142" s="93" t="s">
        <v>60</v>
      </c>
      <c r="P142" s="93" t="s">
        <v>60</v>
      </c>
      <c r="Q142" s="93" t="s">
        <v>60</v>
      </c>
      <c r="R142" s="91"/>
      <c r="S142" s="94" t="s">
        <v>61</v>
      </c>
      <c r="T142" s="94" t="s">
        <v>60</v>
      </c>
      <c r="U142" s="94" t="s">
        <v>60</v>
      </c>
      <c r="V142" s="94" t="s">
        <v>60</v>
      </c>
      <c r="W142" s="91"/>
      <c r="X142" s="91"/>
      <c r="Y142" s="91"/>
      <c r="Z142" s="91"/>
      <c r="AA142" s="91"/>
      <c r="AB142" s="91"/>
      <c r="AC142" s="95" t="s">
        <v>62</v>
      </c>
      <c r="AD142" s="95" t="s">
        <v>62</v>
      </c>
      <c r="AE142" s="95" t="s">
        <v>62</v>
      </c>
      <c r="AF142" s="95" t="s">
        <v>62</v>
      </c>
      <c r="AG142" s="96" t="s">
        <v>71</v>
      </c>
      <c r="AH142" s="70" t="s">
        <v>0</v>
      </c>
      <c r="AI142" s="70" t="s">
        <v>146</v>
      </c>
      <c r="AJ142" s="70" t="s">
        <v>147</v>
      </c>
      <c r="AK142" s="70" t="s">
        <v>148</v>
      </c>
      <c r="AL142" s="111"/>
      <c r="AM142" s="70" t="s">
        <v>62</v>
      </c>
      <c r="AN142" s="70" t="s">
        <v>62</v>
      </c>
      <c r="AO142" s="70" t="s">
        <v>62</v>
      </c>
      <c r="AP142" s="70" t="s">
        <v>62</v>
      </c>
      <c r="AQ142" s="70" t="s">
        <v>68</v>
      </c>
      <c r="AR142" s="70" t="s">
        <v>62</v>
      </c>
      <c r="AS142" s="70" t="s">
        <v>62</v>
      </c>
      <c r="AT142" s="70" t="s">
        <v>62</v>
      </c>
      <c r="AU142" s="70" t="s">
        <v>68</v>
      </c>
      <c r="AV142" s="67"/>
      <c r="AW142" s="68" t="s">
        <v>22</v>
      </c>
    </row>
    <row r="143" spans="1:49" ht="39" hidden="1">
      <c r="A143" s="90">
        <v>77</v>
      </c>
      <c r="B143" s="97">
        <v>78</v>
      </c>
      <c r="C143" s="82" t="s">
        <v>62</v>
      </c>
      <c r="D143" s="82" t="s">
        <v>62</v>
      </c>
      <c r="E143" s="82" t="s">
        <v>62</v>
      </c>
      <c r="F143" s="82" t="s">
        <v>62</v>
      </c>
      <c r="G143" s="110">
        <v>3</v>
      </c>
      <c r="H143" s="88" t="s">
        <v>144</v>
      </c>
      <c r="I143" s="83">
        <v>304</v>
      </c>
      <c r="J143" s="88" t="s">
        <v>153</v>
      </c>
      <c r="K143" s="83" t="s">
        <v>56</v>
      </c>
      <c r="L143" s="83" t="s">
        <v>84</v>
      </c>
      <c r="M143" s="83" t="s">
        <v>58</v>
      </c>
      <c r="N143" s="82" t="s">
        <v>62</v>
      </c>
      <c r="O143" s="93" t="s">
        <v>60</v>
      </c>
      <c r="P143" s="93" t="s">
        <v>60</v>
      </c>
      <c r="Q143" s="93" t="s">
        <v>60</v>
      </c>
      <c r="R143" s="91"/>
      <c r="S143" s="94" t="s">
        <v>61</v>
      </c>
      <c r="T143" s="94" t="s">
        <v>60</v>
      </c>
      <c r="U143" s="108"/>
      <c r="V143" s="108"/>
      <c r="W143" s="91"/>
      <c r="X143" s="103" t="s">
        <v>61</v>
      </c>
      <c r="Y143" s="91"/>
      <c r="Z143" s="91"/>
      <c r="AA143" s="91"/>
      <c r="AB143" s="91"/>
      <c r="AC143" s="95" t="s">
        <v>62</v>
      </c>
      <c r="AD143" s="95" t="s">
        <v>62</v>
      </c>
      <c r="AE143" s="95" t="s">
        <v>62</v>
      </c>
      <c r="AF143" s="95" t="s">
        <v>62</v>
      </c>
      <c r="AG143" s="70" t="s">
        <v>0</v>
      </c>
      <c r="AH143" s="70" t="s">
        <v>0</v>
      </c>
      <c r="AI143" s="70" t="s">
        <v>146</v>
      </c>
      <c r="AJ143" s="70" t="s">
        <v>147</v>
      </c>
      <c r="AK143" s="70" t="s">
        <v>148</v>
      </c>
      <c r="AL143" s="111"/>
      <c r="AM143" s="70" t="s">
        <v>65</v>
      </c>
      <c r="AN143" s="70" t="s">
        <v>66</v>
      </c>
      <c r="AO143" s="70" t="s">
        <v>65</v>
      </c>
      <c r="AP143" s="70" t="s">
        <v>67</v>
      </c>
      <c r="AQ143" s="70" t="s">
        <v>68</v>
      </c>
      <c r="AR143" s="70" t="s">
        <v>69</v>
      </c>
      <c r="AS143" s="70" t="s">
        <v>68</v>
      </c>
      <c r="AT143" s="70" t="s">
        <v>70</v>
      </c>
      <c r="AU143" s="70" t="s">
        <v>68</v>
      </c>
      <c r="AV143" s="67"/>
      <c r="AW143" s="68" t="s">
        <v>22</v>
      </c>
    </row>
    <row r="144" spans="1:49" ht="39" hidden="1">
      <c r="A144" s="70">
        <v>78</v>
      </c>
      <c r="B144" s="97">
        <v>79</v>
      </c>
      <c r="C144" s="82" t="s">
        <v>62</v>
      </c>
      <c r="D144" s="82" t="s">
        <v>62</v>
      </c>
      <c r="E144" s="82" t="s">
        <v>62</v>
      </c>
      <c r="F144" s="82" t="s">
        <v>62</v>
      </c>
      <c r="G144" s="110">
        <v>3</v>
      </c>
      <c r="H144" s="88" t="s">
        <v>144</v>
      </c>
      <c r="I144" s="83">
        <v>304</v>
      </c>
      <c r="J144" s="88" t="s">
        <v>153</v>
      </c>
      <c r="K144" s="83" t="s">
        <v>80</v>
      </c>
      <c r="L144" s="83" t="s">
        <v>84</v>
      </c>
      <c r="M144" s="83" t="s">
        <v>58</v>
      </c>
      <c r="N144" s="82" t="s">
        <v>62</v>
      </c>
      <c r="O144" s="93" t="s">
        <v>60</v>
      </c>
      <c r="P144" s="93" t="s">
        <v>60</v>
      </c>
      <c r="Q144" s="93" t="s">
        <v>60</v>
      </c>
      <c r="R144" s="91"/>
      <c r="S144" s="94" t="s">
        <v>61</v>
      </c>
      <c r="T144" s="94" t="s">
        <v>60</v>
      </c>
      <c r="U144" s="94" t="s">
        <v>60</v>
      </c>
      <c r="V144" s="94" t="s">
        <v>60</v>
      </c>
      <c r="W144" s="91"/>
      <c r="X144" s="91"/>
      <c r="Y144" s="91"/>
      <c r="Z144" s="91"/>
      <c r="AA144" s="91"/>
      <c r="AB144" s="91"/>
      <c r="AC144" s="95" t="s">
        <v>62</v>
      </c>
      <c r="AD144" s="95" t="s">
        <v>62</v>
      </c>
      <c r="AE144" s="95" t="s">
        <v>62</v>
      </c>
      <c r="AF144" s="95" t="s">
        <v>62</v>
      </c>
      <c r="AG144" s="96" t="s">
        <v>0</v>
      </c>
      <c r="AH144" s="70" t="s">
        <v>0</v>
      </c>
      <c r="AI144" s="70" t="s">
        <v>146</v>
      </c>
      <c r="AJ144" s="70" t="s">
        <v>147</v>
      </c>
      <c r="AK144" s="70" t="s">
        <v>148</v>
      </c>
      <c r="AL144" s="111"/>
      <c r="AM144" s="70" t="s">
        <v>62</v>
      </c>
      <c r="AN144" s="70" t="s">
        <v>62</v>
      </c>
      <c r="AO144" s="70" t="s">
        <v>62</v>
      </c>
      <c r="AP144" s="70" t="s">
        <v>62</v>
      </c>
      <c r="AQ144" s="70" t="s">
        <v>62</v>
      </c>
      <c r="AR144" s="70" t="s">
        <v>62</v>
      </c>
      <c r="AS144" s="70" t="s">
        <v>62</v>
      </c>
      <c r="AT144" s="70" t="s">
        <v>62</v>
      </c>
      <c r="AU144" s="70" t="s">
        <v>68</v>
      </c>
      <c r="AV144" s="67"/>
      <c r="AW144" s="68" t="s">
        <v>22</v>
      </c>
    </row>
    <row r="145" spans="1:49" ht="39" hidden="1">
      <c r="A145" s="1354">
        <v>79</v>
      </c>
      <c r="B145" s="1357">
        <v>80</v>
      </c>
      <c r="C145" s="82" t="s">
        <v>62</v>
      </c>
      <c r="D145" s="82" t="s">
        <v>62</v>
      </c>
      <c r="E145" s="82" t="s">
        <v>62</v>
      </c>
      <c r="F145" s="82" t="s">
        <v>62</v>
      </c>
      <c r="G145" s="110">
        <v>3</v>
      </c>
      <c r="H145" s="88" t="s">
        <v>144</v>
      </c>
      <c r="I145" s="83">
        <v>305</v>
      </c>
      <c r="J145" s="88" t="s">
        <v>154</v>
      </c>
      <c r="K145" s="83" t="s">
        <v>139</v>
      </c>
      <c r="L145" s="83" t="s">
        <v>84</v>
      </c>
      <c r="M145" s="83" t="s">
        <v>58</v>
      </c>
      <c r="N145" s="82" t="s">
        <v>62</v>
      </c>
      <c r="O145" s="93" t="s">
        <v>60</v>
      </c>
      <c r="P145" s="93" t="s">
        <v>60</v>
      </c>
      <c r="Q145" s="93" t="s">
        <v>60</v>
      </c>
      <c r="R145" s="91"/>
      <c r="S145" s="94" t="s">
        <v>61</v>
      </c>
      <c r="T145" s="94" t="s">
        <v>60</v>
      </c>
      <c r="U145" s="94" t="s">
        <v>60</v>
      </c>
      <c r="V145" s="94" t="s">
        <v>60</v>
      </c>
      <c r="W145" s="91"/>
      <c r="X145" s="91"/>
      <c r="Y145" s="91"/>
      <c r="Z145" s="91"/>
      <c r="AA145" s="91"/>
      <c r="AB145" s="91"/>
      <c r="AC145" s="95" t="s">
        <v>62</v>
      </c>
      <c r="AD145" s="95" t="s">
        <v>62</v>
      </c>
      <c r="AE145" s="95" t="s">
        <v>62</v>
      </c>
      <c r="AF145" s="95" t="s">
        <v>62</v>
      </c>
      <c r="AG145" s="96" t="s">
        <v>0</v>
      </c>
      <c r="AH145" s="70" t="s">
        <v>0</v>
      </c>
      <c r="AI145" s="70" t="s">
        <v>146</v>
      </c>
      <c r="AJ145" s="70" t="s">
        <v>147</v>
      </c>
      <c r="AK145" s="70" t="s">
        <v>148</v>
      </c>
      <c r="AL145" s="111"/>
      <c r="AM145" s="70" t="s">
        <v>62</v>
      </c>
      <c r="AN145" s="70" t="s">
        <v>62</v>
      </c>
      <c r="AO145" s="70" t="s">
        <v>62</v>
      </c>
      <c r="AP145" s="70" t="s">
        <v>62</v>
      </c>
      <c r="AQ145" s="70" t="s">
        <v>68</v>
      </c>
      <c r="AR145" s="70" t="s">
        <v>62</v>
      </c>
      <c r="AS145" s="70" t="s">
        <v>62</v>
      </c>
      <c r="AT145" s="70" t="s">
        <v>62</v>
      </c>
      <c r="AU145" s="70" t="s">
        <v>68</v>
      </c>
      <c r="AV145" s="67"/>
      <c r="AW145" s="68" t="s">
        <v>22</v>
      </c>
    </row>
    <row r="146" spans="1:49" ht="39" hidden="1">
      <c r="A146" s="1355"/>
      <c r="B146" s="1359"/>
      <c r="C146" s="82" t="s">
        <v>62</v>
      </c>
      <c r="D146" s="82" t="s">
        <v>62</v>
      </c>
      <c r="E146" s="82" t="s">
        <v>62</v>
      </c>
      <c r="F146" s="82" t="s">
        <v>62</v>
      </c>
      <c r="G146" s="110">
        <v>3</v>
      </c>
      <c r="H146" s="88" t="s">
        <v>144</v>
      </c>
      <c r="I146" s="83">
        <v>305</v>
      </c>
      <c r="J146" s="88" t="s">
        <v>154</v>
      </c>
      <c r="K146" s="83" t="s">
        <v>139</v>
      </c>
      <c r="L146" s="83" t="s">
        <v>84</v>
      </c>
      <c r="M146" s="83" t="s">
        <v>58</v>
      </c>
      <c r="N146" s="82" t="s">
        <v>62</v>
      </c>
      <c r="O146" s="93" t="s">
        <v>60</v>
      </c>
      <c r="P146" s="93" t="s">
        <v>60</v>
      </c>
      <c r="Q146" s="93" t="s">
        <v>60</v>
      </c>
      <c r="R146" s="91"/>
      <c r="S146" s="94" t="s">
        <v>61</v>
      </c>
      <c r="T146" s="94" t="s">
        <v>60</v>
      </c>
      <c r="U146" s="94" t="s">
        <v>60</v>
      </c>
      <c r="V146" s="94" t="s">
        <v>60</v>
      </c>
      <c r="W146" s="91"/>
      <c r="X146" s="91"/>
      <c r="Y146" s="91"/>
      <c r="Z146" s="91"/>
      <c r="AA146" s="91"/>
      <c r="AB146" s="91"/>
      <c r="AC146" s="95" t="s">
        <v>62</v>
      </c>
      <c r="AD146" s="95" t="s">
        <v>62</v>
      </c>
      <c r="AE146" s="95" t="s">
        <v>62</v>
      </c>
      <c r="AF146" s="95" t="s">
        <v>62</v>
      </c>
      <c r="AG146" s="96" t="s">
        <v>1</v>
      </c>
      <c r="AH146" s="70" t="s">
        <v>0</v>
      </c>
      <c r="AI146" s="70" t="s">
        <v>146</v>
      </c>
      <c r="AJ146" s="70" t="s">
        <v>147</v>
      </c>
      <c r="AK146" s="70" t="s">
        <v>148</v>
      </c>
      <c r="AL146" s="111"/>
      <c r="AM146" s="70" t="s">
        <v>62</v>
      </c>
      <c r="AN146" s="70" t="s">
        <v>62</v>
      </c>
      <c r="AO146" s="70" t="s">
        <v>62</v>
      </c>
      <c r="AP146" s="70" t="s">
        <v>62</v>
      </c>
      <c r="AQ146" s="70" t="s">
        <v>68</v>
      </c>
      <c r="AR146" s="70" t="s">
        <v>62</v>
      </c>
      <c r="AS146" s="70" t="s">
        <v>62</v>
      </c>
      <c r="AT146" s="70" t="s">
        <v>62</v>
      </c>
      <c r="AU146" s="70" t="s">
        <v>68</v>
      </c>
      <c r="AV146" s="67"/>
      <c r="AW146" s="68" t="s">
        <v>22</v>
      </c>
    </row>
    <row r="147" spans="1:49" ht="39" hidden="1">
      <c r="A147" s="1356"/>
      <c r="B147" s="1358"/>
      <c r="C147" s="82" t="s">
        <v>62</v>
      </c>
      <c r="D147" s="82" t="s">
        <v>62</v>
      </c>
      <c r="E147" s="82" t="s">
        <v>62</v>
      </c>
      <c r="F147" s="82" t="s">
        <v>62</v>
      </c>
      <c r="G147" s="110">
        <v>3</v>
      </c>
      <c r="H147" s="88" t="s">
        <v>144</v>
      </c>
      <c r="I147" s="83">
        <v>305</v>
      </c>
      <c r="J147" s="88" t="s">
        <v>154</v>
      </c>
      <c r="K147" s="83" t="s">
        <v>139</v>
      </c>
      <c r="L147" s="83" t="s">
        <v>84</v>
      </c>
      <c r="M147" s="83" t="s">
        <v>58</v>
      </c>
      <c r="N147" s="82" t="s">
        <v>62</v>
      </c>
      <c r="O147" s="93" t="s">
        <v>60</v>
      </c>
      <c r="P147" s="93" t="s">
        <v>60</v>
      </c>
      <c r="Q147" s="93" t="s">
        <v>60</v>
      </c>
      <c r="R147" s="91"/>
      <c r="S147" s="94" t="s">
        <v>61</v>
      </c>
      <c r="T147" s="94" t="s">
        <v>60</v>
      </c>
      <c r="U147" s="94" t="s">
        <v>60</v>
      </c>
      <c r="V147" s="94" t="s">
        <v>60</v>
      </c>
      <c r="W147" s="91"/>
      <c r="X147" s="91"/>
      <c r="Y147" s="91"/>
      <c r="Z147" s="91"/>
      <c r="AA147" s="91"/>
      <c r="AB147" s="91"/>
      <c r="AC147" s="95" t="s">
        <v>62</v>
      </c>
      <c r="AD147" s="95" t="s">
        <v>62</v>
      </c>
      <c r="AE147" s="95" t="s">
        <v>62</v>
      </c>
      <c r="AF147" s="95" t="s">
        <v>62</v>
      </c>
      <c r="AG147" s="96" t="s">
        <v>71</v>
      </c>
      <c r="AH147" s="70" t="s">
        <v>0</v>
      </c>
      <c r="AI147" s="70" t="s">
        <v>146</v>
      </c>
      <c r="AJ147" s="70" t="s">
        <v>147</v>
      </c>
      <c r="AK147" s="70" t="s">
        <v>148</v>
      </c>
      <c r="AL147" s="111"/>
      <c r="AM147" s="70" t="s">
        <v>62</v>
      </c>
      <c r="AN147" s="70" t="s">
        <v>62</v>
      </c>
      <c r="AO147" s="70" t="s">
        <v>62</v>
      </c>
      <c r="AP147" s="70" t="s">
        <v>62</v>
      </c>
      <c r="AQ147" s="70" t="s">
        <v>68</v>
      </c>
      <c r="AR147" s="70" t="s">
        <v>62</v>
      </c>
      <c r="AS147" s="70" t="s">
        <v>62</v>
      </c>
      <c r="AT147" s="70" t="s">
        <v>62</v>
      </c>
      <c r="AU147" s="70" t="s">
        <v>68</v>
      </c>
      <c r="AV147" s="67"/>
      <c r="AW147" s="68" t="s">
        <v>22</v>
      </c>
    </row>
    <row r="148" spans="1:49" ht="39" hidden="1">
      <c r="A148" s="90">
        <v>80</v>
      </c>
      <c r="B148" s="97">
        <v>81</v>
      </c>
      <c r="C148" s="82" t="s">
        <v>62</v>
      </c>
      <c r="D148" s="82" t="s">
        <v>62</v>
      </c>
      <c r="E148" s="82" t="s">
        <v>62</v>
      </c>
      <c r="F148" s="82" t="s">
        <v>62</v>
      </c>
      <c r="G148" s="110">
        <v>3</v>
      </c>
      <c r="H148" s="88" t="s">
        <v>144</v>
      </c>
      <c r="I148" s="83">
        <v>305</v>
      </c>
      <c r="J148" s="88" t="s">
        <v>154</v>
      </c>
      <c r="K148" s="83" t="s">
        <v>56</v>
      </c>
      <c r="L148" s="83" t="s">
        <v>84</v>
      </c>
      <c r="M148" s="83" t="s">
        <v>58</v>
      </c>
      <c r="N148" s="82" t="s">
        <v>62</v>
      </c>
      <c r="O148" s="93" t="s">
        <v>60</v>
      </c>
      <c r="P148" s="93" t="s">
        <v>60</v>
      </c>
      <c r="Q148" s="93" t="s">
        <v>60</v>
      </c>
      <c r="R148" s="91"/>
      <c r="S148" s="94" t="s">
        <v>61</v>
      </c>
      <c r="T148" s="94" t="s">
        <v>60</v>
      </c>
      <c r="U148" s="108"/>
      <c r="V148" s="108"/>
      <c r="W148" s="91"/>
      <c r="X148" s="103" t="s">
        <v>61</v>
      </c>
      <c r="Y148" s="91"/>
      <c r="Z148" s="91"/>
      <c r="AA148" s="91"/>
      <c r="AB148" s="91"/>
      <c r="AC148" s="95" t="s">
        <v>62</v>
      </c>
      <c r="AD148" s="95" t="s">
        <v>62</v>
      </c>
      <c r="AE148" s="95" t="s">
        <v>62</v>
      </c>
      <c r="AF148" s="95" t="s">
        <v>62</v>
      </c>
      <c r="AG148" s="70" t="s">
        <v>0</v>
      </c>
      <c r="AH148" s="70" t="s">
        <v>0</v>
      </c>
      <c r="AI148" s="70" t="s">
        <v>146</v>
      </c>
      <c r="AJ148" s="70" t="s">
        <v>147</v>
      </c>
      <c r="AK148" s="70" t="s">
        <v>148</v>
      </c>
      <c r="AL148" s="111"/>
      <c r="AM148" s="70" t="s">
        <v>65</v>
      </c>
      <c r="AN148" s="70" t="s">
        <v>66</v>
      </c>
      <c r="AO148" s="70" t="s">
        <v>65</v>
      </c>
      <c r="AP148" s="70" t="s">
        <v>67</v>
      </c>
      <c r="AQ148" s="70" t="s">
        <v>68</v>
      </c>
      <c r="AR148" s="70" t="s">
        <v>69</v>
      </c>
      <c r="AS148" s="70" t="s">
        <v>68</v>
      </c>
      <c r="AT148" s="70" t="s">
        <v>70</v>
      </c>
      <c r="AU148" s="70" t="s">
        <v>68</v>
      </c>
      <c r="AV148" s="67"/>
      <c r="AW148" s="68" t="s">
        <v>22</v>
      </c>
    </row>
    <row r="149" spans="1:49" ht="39" hidden="1">
      <c r="A149" s="70">
        <v>81</v>
      </c>
      <c r="B149" s="97">
        <v>82</v>
      </c>
      <c r="C149" s="82" t="s">
        <v>62</v>
      </c>
      <c r="D149" s="82" t="s">
        <v>62</v>
      </c>
      <c r="E149" s="82" t="s">
        <v>62</v>
      </c>
      <c r="F149" s="82" t="s">
        <v>62</v>
      </c>
      <c r="G149" s="110">
        <v>3</v>
      </c>
      <c r="H149" s="88" t="s">
        <v>144</v>
      </c>
      <c r="I149" s="83">
        <v>305</v>
      </c>
      <c r="J149" s="88" t="s">
        <v>154</v>
      </c>
      <c r="K149" s="83" t="s">
        <v>80</v>
      </c>
      <c r="L149" s="83" t="s">
        <v>84</v>
      </c>
      <c r="M149" s="83" t="s">
        <v>58</v>
      </c>
      <c r="N149" s="82" t="s">
        <v>62</v>
      </c>
      <c r="O149" s="93" t="s">
        <v>60</v>
      </c>
      <c r="P149" s="93" t="s">
        <v>60</v>
      </c>
      <c r="Q149" s="93" t="s">
        <v>60</v>
      </c>
      <c r="R149" s="91"/>
      <c r="S149" s="94" t="s">
        <v>61</v>
      </c>
      <c r="T149" s="94" t="s">
        <v>60</v>
      </c>
      <c r="U149" s="94" t="s">
        <v>60</v>
      </c>
      <c r="V149" s="94" t="s">
        <v>60</v>
      </c>
      <c r="W149" s="91"/>
      <c r="X149" s="91"/>
      <c r="Y149" s="91"/>
      <c r="Z149" s="91"/>
      <c r="AA149" s="91"/>
      <c r="AB149" s="91"/>
      <c r="AC149" s="95" t="s">
        <v>62</v>
      </c>
      <c r="AD149" s="95" t="s">
        <v>62</v>
      </c>
      <c r="AE149" s="95" t="s">
        <v>62</v>
      </c>
      <c r="AF149" s="95" t="s">
        <v>62</v>
      </c>
      <c r="AG149" s="96" t="s">
        <v>0</v>
      </c>
      <c r="AH149" s="70" t="s">
        <v>0</v>
      </c>
      <c r="AI149" s="70" t="s">
        <v>146</v>
      </c>
      <c r="AJ149" s="70" t="s">
        <v>147</v>
      </c>
      <c r="AK149" s="70" t="s">
        <v>148</v>
      </c>
      <c r="AL149" s="111"/>
      <c r="AM149" s="70" t="s">
        <v>62</v>
      </c>
      <c r="AN149" s="70" t="s">
        <v>62</v>
      </c>
      <c r="AO149" s="70" t="s">
        <v>62</v>
      </c>
      <c r="AP149" s="70" t="s">
        <v>62</v>
      </c>
      <c r="AQ149" s="70" t="s">
        <v>62</v>
      </c>
      <c r="AR149" s="70" t="s">
        <v>62</v>
      </c>
      <c r="AS149" s="70" t="s">
        <v>62</v>
      </c>
      <c r="AT149" s="70" t="s">
        <v>62</v>
      </c>
      <c r="AU149" s="70" t="s">
        <v>68</v>
      </c>
      <c r="AV149" s="67"/>
      <c r="AW149" s="68" t="s">
        <v>22</v>
      </c>
    </row>
    <row r="150" spans="1:49" ht="39" hidden="1">
      <c r="A150" s="70">
        <v>82</v>
      </c>
      <c r="B150" s="97">
        <v>84</v>
      </c>
      <c r="C150" s="82" t="s">
        <v>62</v>
      </c>
      <c r="D150" s="82" t="s">
        <v>62</v>
      </c>
      <c r="E150" s="82" t="s">
        <v>62</v>
      </c>
      <c r="F150" s="82" t="s">
        <v>62</v>
      </c>
      <c r="G150" s="110">
        <v>5</v>
      </c>
      <c r="H150" s="88" t="s">
        <v>155</v>
      </c>
      <c r="I150" s="83">
        <v>501</v>
      </c>
      <c r="J150" s="88" t="s">
        <v>156</v>
      </c>
      <c r="K150" s="88" t="s">
        <v>73</v>
      </c>
      <c r="L150" s="83" t="s">
        <v>84</v>
      </c>
      <c r="M150" s="83" t="s">
        <v>58</v>
      </c>
      <c r="N150" s="82" t="s">
        <v>62</v>
      </c>
      <c r="O150" s="93" t="s">
        <v>60</v>
      </c>
      <c r="P150" s="93" t="s">
        <v>60</v>
      </c>
      <c r="Q150" s="93" t="s">
        <v>60</v>
      </c>
      <c r="R150" s="91"/>
      <c r="S150" s="91"/>
      <c r="T150" s="94" t="s">
        <v>60</v>
      </c>
      <c r="U150" s="94" t="s">
        <v>60</v>
      </c>
      <c r="V150" s="94" t="s">
        <v>60</v>
      </c>
      <c r="W150" s="91"/>
      <c r="X150" s="91"/>
      <c r="Y150" s="103" t="s">
        <v>61</v>
      </c>
      <c r="Z150" s="91"/>
      <c r="AA150" s="91"/>
      <c r="AB150" s="91"/>
      <c r="AC150" s="95" t="s">
        <v>62</v>
      </c>
      <c r="AD150" s="95" t="s">
        <v>62</v>
      </c>
      <c r="AE150" s="95" t="s">
        <v>62</v>
      </c>
      <c r="AF150" s="95" t="s">
        <v>62</v>
      </c>
      <c r="AG150" s="70" t="s">
        <v>0</v>
      </c>
      <c r="AH150" s="70" t="s">
        <v>0</v>
      </c>
      <c r="AI150" s="70" t="s">
        <v>146</v>
      </c>
      <c r="AJ150" s="70" t="s">
        <v>147</v>
      </c>
      <c r="AK150" s="70" t="s">
        <v>148</v>
      </c>
      <c r="AL150" s="70"/>
      <c r="AM150" s="70" t="s">
        <v>65</v>
      </c>
      <c r="AN150" s="70" t="s">
        <v>157</v>
      </c>
      <c r="AO150" s="70" t="s">
        <v>65</v>
      </c>
      <c r="AP150" s="70" t="s">
        <v>158</v>
      </c>
      <c r="AQ150" s="70" t="s">
        <v>68</v>
      </c>
      <c r="AR150" s="70" t="s">
        <v>159</v>
      </c>
      <c r="AS150" s="70" t="s">
        <v>62</v>
      </c>
      <c r="AT150" s="70" t="s">
        <v>62</v>
      </c>
      <c r="AU150" s="70" t="s">
        <v>68</v>
      </c>
      <c r="AV150" s="67"/>
      <c r="AW150" s="68" t="s">
        <v>22</v>
      </c>
    </row>
    <row r="151" spans="1:49" ht="58.5">
      <c r="A151" s="1354">
        <v>83</v>
      </c>
      <c r="B151" s="1357">
        <v>87</v>
      </c>
      <c r="C151" s="91">
        <v>40</v>
      </c>
      <c r="D151" s="106" t="s">
        <v>101</v>
      </c>
      <c r="E151" s="105">
        <v>42</v>
      </c>
      <c r="F151" s="92" t="s">
        <v>114</v>
      </c>
      <c r="G151" s="182">
        <v>6</v>
      </c>
      <c r="H151" s="183" t="s">
        <v>160</v>
      </c>
      <c r="I151" s="80">
        <v>600</v>
      </c>
      <c r="J151" s="87" t="s">
        <v>161</v>
      </c>
      <c r="K151" s="178" t="s">
        <v>73</v>
      </c>
      <c r="L151" s="208" t="s">
        <v>162</v>
      </c>
      <c r="M151" s="179" t="s">
        <v>58</v>
      </c>
      <c r="N151" s="179" t="s">
        <v>76</v>
      </c>
      <c r="O151" s="93" t="s">
        <v>60</v>
      </c>
      <c r="P151" s="93" t="s">
        <v>60</v>
      </c>
      <c r="Q151" s="93" t="s">
        <v>60</v>
      </c>
      <c r="R151" s="94" t="s">
        <v>60</v>
      </c>
      <c r="S151" s="93"/>
      <c r="T151" s="93"/>
      <c r="U151" s="91"/>
      <c r="V151" s="91"/>
      <c r="W151" s="91"/>
      <c r="X151" s="91"/>
      <c r="Y151" s="91"/>
      <c r="Z151" s="103" t="s">
        <v>60</v>
      </c>
      <c r="AA151" s="103" t="s">
        <v>60</v>
      </c>
      <c r="AB151" s="103" t="s">
        <v>60</v>
      </c>
      <c r="AC151" s="95" t="s">
        <v>62</v>
      </c>
      <c r="AD151" s="70" t="s">
        <v>57</v>
      </c>
      <c r="AE151" s="95" t="s">
        <v>62</v>
      </c>
      <c r="AF151" s="70" t="s">
        <v>57</v>
      </c>
      <c r="AG151" s="70" t="s">
        <v>0</v>
      </c>
      <c r="AH151" s="70" t="s">
        <v>0</v>
      </c>
      <c r="AI151" s="70" t="s">
        <v>163</v>
      </c>
      <c r="AJ151" s="70" t="s">
        <v>164</v>
      </c>
      <c r="AK151" s="70" t="s">
        <v>165</v>
      </c>
      <c r="AL151" s="70"/>
      <c r="AM151" s="70" t="s">
        <v>104</v>
      </c>
      <c r="AN151" s="70" t="s">
        <v>104</v>
      </c>
      <c r="AO151" s="70" t="s">
        <v>166</v>
      </c>
      <c r="AP151" s="70" t="s">
        <v>158</v>
      </c>
      <c r="AQ151" s="70" t="s">
        <v>62</v>
      </c>
      <c r="AR151" s="70" t="s">
        <v>167</v>
      </c>
      <c r="AS151" s="70" t="s">
        <v>68</v>
      </c>
      <c r="AT151" s="70" t="s">
        <v>168</v>
      </c>
      <c r="AU151" s="70" t="s">
        <v>68</v>
      </c>
      <c r="AV151" s="67"/>
      <c r="AW151" s="68" t="s">
        <v>22</v>
      </c>
    </row>
    <row r="152" spans="1:49" ht="58.5">
      <c r="A152" s="1355"/>
      <c r="B152" s="1359"/>
      <c r="C152" s="91">
        <v>40</v>
      </c>
      <c r="D152" s="106" t="s">
        <v>101</v>
      </c>
      <c r="E152" s="105">
        <v>42</v>
      </c>
      <c r="F152" s="92" t="s">
        <v>114</v>
      </c>
      <c r="G152" s="182">
        <v>6</v>
      </c>
      <c r="H152" s="183" t="s">
        <v>160</v>
      </c>
      <c r="I152" s="80">
        <v>600</v>
      </c>
      <c r="J152" s="87" t="s">
        <v>161</v>
      </c>
      <c r="K152" s="178" t="s">
        <v>73</v>
      </c>
      <c r="L152" s="208" t="s">
        <v>162</v>
      </c>
      <c r="M152" s="179" t="s">
        <v>58</v>
      </c>
      <c r="N152" s="179" t="s">
        <v>76</v>
      </c>
      <c r="O152" s="93" t="s">
        <v>60</v>
      </c>
      <c r="P152" s="93" t="s">
        <v>60</v>
      </c>
      <c r="Q152" s="93" t="s">
        <v>60</v>
      </c>
      <c r="R152" s="94" t="s">
        <v>60</v>
      </c>
      <c r="S152" s="93"/>
      <c r="T152" s="93"/>
      <c r="U152" s="91"/>
      <c r="V152" s="91"/>
      <c r="W152" s="91"/>
      <c r="X152" s="91"/>
      <c r="Y152" s="91"/>
      <c r="Z152" s="103" t="s">
        <v>60</v>
      </c>
      <c r="AA152" s="103" t="s">
        <v>60</v>
      </c>
      <c r="AB152" s="103" t="s">
        <v>60</v>
      </c>
      <c r="AC152" s="95" t="s">
        <v>62</v>
      </c>
      <c r="AD152" s="70" t="s">
        <v>57</v>
      </c>
      <c r="AE152" s="95" t="s">
        <v>62</v>
      </c>
      <c r="AF152" s="70" t="s">
        <v>57</v>
      </c>
      <c r="AG152" s="70" t="s">
        <v>1</v>
      </c>
      <c r="AH152" s="96" t="s">
        <v>62</v>
      </c>
      <c r="AI152" s="70" t="s">
        <v>163</v>
      </c>
      <c r="AJ152" s="70" t="s">
        <v>164</v>
      </c>
      <c r="AK152" s="70" t="s">
        <v>165</v>
      </c>
      <c r="AL152" s="70"/>
      <c r="AM152" s="70" t="s">
        <v>104</v>
      </c>
      <c r="AN152" s="70" t="s">
        <v>104</v>
      </c>
      <c r="AO152" s="70" t="s">
        <v>166</v>
      </c>
      <c r="AP152" s="70" t="s">
        <v>158</v>
      </c>
      <c r="AQ152" s="70" t="s">
        <v>62</v>
      </c>
      <c r="AR152" s="70" t="s">
        <v>167</v>
      </c>
      <c r="AS152" s="70" t="s">
        <v>68</v>
      </c>
      <c r="AT152" s="70" t="s">
        <v>168</v>
      </c>
      <c r="AU152" s="70" t="s">
        <v>68</v>
      </c>
      <c r="AV152" s="67"/>
      <c r="AW152" s="68" t="s">
        <v>22</v>
      </c>
    </row>
    <row r="153" spans="1:49" ht="58.5">
      <c r="A153" s="1356"/>
      <c r="B153" s="1358"/>
      <c r="C153" s="91">
        <v>40</v>
      </c>
      <c r="D153" s="106" t="s">
        <v>101</v>
      </c>
      <c r="E153" s="105">
        <v>42</v>
      </c>
      <c r="F153" s="92" t="s">
        <v>114</v>
      </c>
      <c r="G153" s="182">
        <v>6</v>
      </c>
      <c r="H153" s="183" t="s">
        <v>160</v>
      </c>
      <c r="I153" s="80">
        <v>600</v>
      </c>
      <c r="J153" s="87" t="s">
        <v>161</v>
      </c>
      <c r="K153" s="178" t="s">
        <v>73</v>
      </c>
      <c r="L153" s="208" t="s">
        <v>162</v>
      </c>
      <c r="M153" s="179" t="s">
        <v>58</v>
      </c>
      <c r="N153" s="179" t="s">
        <v>76</v>
      </c>
      <c r="O153" s="93" t="s">
        <v>60</v>
      </c>
      <c r="P153" s="93" t="s">
        <v>60</v>
      </c>
      <c r="Q153" s="93" t="s">
        <v>60</v>
      </c>
      <c r="R153" s="94" t="s">
        <v>60</v>
      </c>
      <c r="S153" s="93"/>
      <c r="T153" s="93"/>
      <c r="U153" s="91"/>
      <c r="V153" s="91"/>
      <c r="W153" s="91"/>
      <c r="X153" s="91"/>
      <c r="Y153" s="91"/>
      <c r="Z153" s="103" t="s">
        <v>60</v>
      </c>
      <c r="AA153" s="103" t="s">
        <v>60</v>
      </c>
      <c r="AB153" s="103" t="s">
        <v>60</v>
      </c>
      <c r="AC153" s="95" t="s">
        <v>62</v>
      </c>
      <c r="AD153" s="70" t="s">
        <v>57</v>
      </c>
      <c r="AE153" s="95" t="s">
        <v>62</v>
      </c>
      <c r="AF153" s="70" t="s">
        <v>57</v>
      </c>
      <c r="AG153" s="70" t="s">
        <v>71</v>
      </c>
      <c r="AH153" s="96" t="s">
        <v>62</v>
      </c>
      <c r="AI153" s="70" t="s">
        <v>163</v>
      </c>
      <c r="AJ153" s="70" t="s">
        <v>164</v>
      </c>
      <c r="AK153" s="70" t="s">
        <v>165</v>
      </c>
      <c r="AL153" s="70"/>
      <c r="AM153" s="70" t="s">
        <v>71</v>
      </c>
      <c r="AN153" s="70" t="s">
        <v>71</v>
      </c>
      <c r="AO153" s="70" t="s">
        <v>71</v>
      </c>
      <c r="AP153" s="70" t="s">
        <v>71</v>
      </c>
      <c r="AQ153" s="70" t="s">
        <v>62</v>
      </c>
      <c r="AR153" s="70" t="s">
        <v>167</v>
      </c>
      <c r="AS153" s="70" t="s">
        <v>68</v>
      </c>
      <c r="AT153" s="70" t="s">
        <v>168</v>
      </c>
      <c r="AU153" s="70" t="s">
        <v>68</v>
      </c>
      <c r="AV153" s="67"/>
      <c r="AW153" s="68" t="s">
        <v>22</v>
      </c>
    </row>
    <row r="154" spans="1:49" ht="58.5">
      <c r="A154" s="1354">
        <v>84</v>
      </c>
      <c r="B154" s="1357">
        <v>88</v>
      </c>
      <c r="C154" s="91">
        <v>40</v>
      </c>
      <c r="D154" s="106" t="s">
        <v>101</v>
      </c>
      <c r="E154" s="105">
        <v>42</v>
      </c>
      <c r="F154" s="92" t="s">
        <v>114</v>
      </c>
      <c r="G154" s="205">
        <v>6</v>
      </c>
      <c r="H154" s="206" t="s">
        <v>160</v>
      </c>
      <c r="I154" s="80">
        <v>600</v>
      </c>
      <c r="J154" s="87" t="s">
        <v>161</v>
      </c>
      <c r="K154" s="203" t="s">
        <v>169</v>
      </c>
      <c r="L154" s="207" t="s">
        <v>57</v>
      </c>
      <c r="M154" s="204" t="s">
        <v>58</v>
      </c>
      <c r="N154" s="203" t="s">
        <v>170</v>
      </c>
      <c r="O154" s="93" t="s">
        <v>60</v>
      </c>
      <c r="P154" s="93" t="s">
        <v>60</v>
      </c>
      <c r="Q154" s="93" t="s">
        <v>60</v>
      </c>
      <c r="R154" s="94" t="s">
        <v>60</v>
      </c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70" t="s">
        <v>57</v>
      </c>
      <c r="AD154" s="70" t="s">
        <v>57</v>
      </c>
      <c r="AE154" s="70" t="s">
        <v>57</v>
      </c>
      <c r="AF154" s="95" t="s">
        <v>62</v>
      </c>
      <c r="AG154" s="70" t="s">
        <v>0</v>
      </c>
      <c r="AH154" s="70" t="s">
        <v>0</v>
      </c>
      <c r="AI154" s="70" t="s">
        <v>163</v>
      </c>
      <c r="AJ154" s="70" t="s">
        <v>164</v>
      </c>
      <c r="AK154" s="70" t="s">
        <v>165</v>
      </c>
      <c r="AL154" s="70"/>
      <c r="AM154" s="70" t="s">
        <v>104</v>
      </c>
      <c r="AN154" s="70" t="s">
        <v>104</v>
      </c>
      <c r="AO154" s="70" t="s">
        <v>171</v>
      </c>
      <c r="AP154" s="70" t="s">
        <v>67</v>
      </c>
      <c r="AQ154" s="70" t="s">
        <v>62</v>
      </c>
      <c r="AR154" s="70" t="s">
        <v>172</v>
      </c>
      <c r="AS154" s="70" t="s">
        <v>68</v>
      </c>
      <c r="AT154" s="70" t="s">
        <v>168</v>
      </c>
      <c r="AU154" s="70" t="s">
        <v>68</v>
      </c>
      <c r="AV154" s="67"/>
      <c r="AW154" s="68" t="s">
        <v>22</v>
      </c>
    </row>
    <row r="155" spans="1:49" ht="58.5">
      <c r="A155" s="1355"/>
      <c r="B155" s="1359"/>
      <c r="C155" s="91">
        <v>40</v>
      </c>
      <c r="D155" s="106" t="s">
        <v>101</v>
      </c>
      <c r="E155" s="105">
        <v>42</v>
      </c>
      <c r="F155" s="92" t="s">
        <v>114</v>
      </c>
      <c r="G155" s="205">
        <v>6</v>
      </c>
      <c r="H155" s="206" t="s">
        <v>160</v>
      </c>
      <c r="I155" s="80">
        <v>600</v>
      </c>
      <c r="J155" s="87" t="s">
        <v>161</v>
      </c>
      <c r="K155" s="203" t="s">
        <v>169</v>
      </c>
      <c r="L155" s="207" t="s">
        <v>57</v>
      </c>
      <c r="M155" s="204" t="s">
        <v>58</v>
      </c>
      <c r="N155" s="203" t="s">
        <v>170</v>
      </c>
      <c r="O155" s="93" t="s">
        <v>60</v>
      </c>
      <c r="P155" s="93" t="s">
        <v>60</v>
      </c>
      <c r="Q155" s="93" t="s">
        <v>60</v>
      </c>
      <c r="R155" s="94" t="s">
        <v>60</v>
      </c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70" t="s">
        <v>57</v>
      </c>
      <c r="AD155" s="70" t="s">
        <v>57</v>
      </c>
      <c r="AE155" s="70" t="s">
        <v>57</v>
      </c>
      <c r="AF155" s="95" t="s">
        <v>62</v>
      </c>
      <c r="AG155" s="70" t="s">
        <v>1</v>
      </c>
      <c r="AH155" s="96" t="s">
        <v>62</v>
      </c>
      <c r="AI155" s="70" t="s">
        <v>163</v>
      </c>
      <c r="AJ155" s="70" t="s">
        <v>164</v>
      </c>
      <c r="AK155" s="70" t="s">
        <v>165</v>
      </c>
      <c r="AL155" s="70"/>
      <c r="AM155" s="70" t="s">
        <v>104</v>
      </c>
      <c r="AN155" s="70" t="s">
        <v>104</v>
      </c>
      <c r="AO155" s="70" t="s">
        <v>171</v>
      </c>
      <c r="AP155" s="70" t="s">
        <v>67</v>
      </c>
      <c r="AQ155" s="70" t="s">
        <v>62</v>
      </c>
      <c r="AR155" s="70" t="s">
        <v>172</v>
      </c>
      <c r="AS155" s="70" t="s">
        <v>68</v>
      </c>
      <c r="AT155" s="70" t="s">
        <v>168</v>
      </c>
      <c r="AU155" s="70" t="s">
        <v>68</v>
      </c>
      <c r="AV155" s="67"/>
      <c r="AW155" s="68" t="s">
        <v>22</v>
      </c>
    </row>
    <row r="156" spans="1:49" ht="58.5">
      <c r="A156" s="1356"/>
      <c r="B156" s="1358"/>
      <c r="C156" s="91">
        <v>40</v>
      </c>
      <c r="D156" s="106" t="s">
        <v>101</v>
      </c>
      <c r="E156" s="105">
        <v>42</v>
      </c>
      <c r="F156" s="92" t="s">
        <v>114</v>
      </c>
      <c r="G156" s="205">
        <v>6</v>
      </c>
      <c r="H156" s="206" t="s">
        <v>160</v>
      </c>
      <c r="I156" s="80">
        <v>600</v>
      </c>
      <c r="J156" s="87" t="s">
        <v>161</v>
      </c>
      <c r="K156" s="203" t="s">
        <v>169</v>
      </c>
      <c r="L156" s="207" t="s">
        <v>57</v>
      </c>
      <c r="M156" s="204" t="s">
        <v>58</v>
      </c>
      <c r="N156" s="203" t="s">
        <v>170</v>
      </c>
      <c r="O156" s="93" t="s">
        <v>60</v>
      </c>
      <c r="P156" s="93" t="s">
        <v>60</v>
      </c>
      <c r="Q156" s="93" t="s">
        <v>60</v>
      </c>
      <c r="R156" s="94" t="s">
        <v>60</v>
      </c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70" t="s">
        <v>57</v>
      </c>
      <c r="AD156" s="70" t="s">
        <v>57</v>
      </c>
      <c r="AE156" s="70" t="s">
        <v>57</v>
      </c>
      <c r="AF156" s="95" t="s">
        <v>62</v>
      </c>
      <c r="AG156" s="70" t="s">
        <v>71</v>
      </c>
      <c r="AH156" s="96" t="s">
        <v>62</v>
      </c>
      <c r="AI156" s="70" t="s">
        <v>163</v>
      </c>
      <c r="AJ156" s="70" t="s">
        <v>164</v>
      </c>
      <c r="AK156" s="70" t="s">
        <v>165</v>
      </c>
      <c r="AL156" s="70"/>
      <c r="AM156" s="70" t="s">
        <v>104</v>
      </c>
      <c r="AN156" s="70" t="s">
        <v>104</v>
      </c>
      <c r="AO156" s="70" t="s">
        <v>171</v>
      </c>
      <c r="AP156" s="70" t="s">
        <v>67</v>
      </c>
      <c r="AQ156" s="70" t="s">
        <v>62</v>
      </c>
      <c r="AR156" s="70" t="s">
        <v>172</v>
      </c>
      <c r="AS156" s="70" t="s">
        <v>68</v>
      </c>
      <c r="AT156" s="70" t="s">
        <v>168</v>
      </c>
      <c r="AU156" s="70" t="s">
        <v>68</v>
      </c>
      <c r="AV156" s="67"/>
      <c r="AW156" s="68" t="s">
        <v>22</v>
      </c>
    </row>
    <row r="157" spans="1:49" ht="58.5" hidden="1">
      <c r="A157" s="1354">
        <v>85</v>
      </c>
      <c r="B157" s="1357">
        <v>89</v>
      </c>
      <c r="C157" s="82" t="s">
        <v>62</v>
      </c>
      <c r="D157" s="82" t="s">
        <v>62</v>
      </c>
      <c r="E157" s="82" t="s">
        <v>62</v>
      </c>
      <c r="F157" s="82" t="s">
        <v>62</v>
      </c>
      <c r="G157" s="110">
        <v>6</v>
      </c>
      <c r="H157" s="88" t="s">
        <v>160</v>
      </c>
      <c r="I157" s="83">
        <v>600</v>
      </c>
      <c r="J157" s="88" t="s">
        <v>161</v>
      </c>
      <c r="K157" s="112" t="s">
        <v>173</v>
      </c>
      <c r="L157" s="83" t="s">
        <v>84</v>
      </c>
      <c r="M157" s="83" t="s">
        <v>58</v>
      </c>
      <c r="N157" s="82" t="s">
        <v>62</v>
      </c>
      <c r="O157" s="93" t="s">
        <v>60</v>
      </c>
      <c r="P157" s="93" t="s">
        <v>60</v>
      </c>
      <c r="Q157" s="93" t="s">
        <v>60</v>
      </c>
      <c r="R157" s="94" t="s">
        <v>60</v>
      </c>
      <c r="S157" s="91"/>
      <c r="T157" s="94" t="s">
        <v>60</v>
      </c>
      <c r="U157" s="94" t="s">
        <v>60</v>
      </c>
      <c r="V157" s="94" t="s">
        <v>60</v>
      </c>
      <c r="W157" s="93"/>
      <c r="X157" s="91"/>
      <c r="Y157" s="91"/>
      <c r="Z157" s="103" t="s">
        <v>61</v>
      </c>
      <c r="AA157" s="103" t="s">
        <v>61</v>
      </c>
      <c r="AB157" s="91"/>
      <c r="AC157" s="95" t="s">
        <v>62</v>
      </c>
      <c r="AD157" s="95" t="s">
        <v>62</v>
      </c>
      <c r="AE157" s="95" t="s">
        <v>62</v>
      </c>
      <c r="AF157" s="95" t="s">
        <v>62</v>
      </c>
      <c r="AG157" s="96" t="s">
        <v>0</v>
      </c>
      <c r="AH157" s="70" t="s">
        <v>0</v>
      </c>
      <c r="AI157" s="70" t="s">
        <v>163</v>
      </c>
      <c r="AJ157" s="70" t="s">
        <v>164</v>
      </c>
      <c r="AK157" s="70" t="s">
        <v>165</v>
      </c>
      <c r="AL157" s="70" t="s">
        <v>148</v>
      </c>
      <c r="AM157" s="70" t="s">
        <v>62</v>
      </c>
      <c r="AN157" s="70" t="s">
        <v>62</v>
      </c>
      <c r="AO157" s="70" t="s">
        <v>62</v>
      </c>
      <c r="AP157" s="70" t="s">
        <v>62</v>
      </c>
      <c r="AQ157" s="70" t="s">
        <v>68</v>
      </c>
      <c r="AR157" s="70" t="s">
        <v>62</v>
      </c>
      <c r="AS157" s="70" t="s">
        <v>62</v>
      </c>
      <c r="AT157" s="70" t="s">
        <v>62</v>
      </c>
      <c r="AU157" s="70" t="s">
        <v>68</v>
      </c>
      <c r="AV157" s="67"/>
      <c r="AW157" s="68" t="s">
        <v>22</v>
      </c>
    </row>
    <row r="158" spans="1:49" ht="58.5" hidden="1">
      <c r="A158" s="1355"/>
      <c r="B158" s="1359"/>
      <c r="C158" s="82" t="s">
        <v>62</v>
      </c>
      <c r="D158" s="82" t="s">
        <v>62</v>
      </c>
      <c r="E158" s="82" t="s">
        <v>62</v>
      </c>
      <c r="F158" s="82" t="s">
        <v>62</v>
      </c>
      <c r="G158" s="110">
        <v>6</v>
      </c>
      <c r="H158" s="88" t="s">
        <v>160</v>
      </c>
      <c r="I158" s="83">
        <v>600</v>
      </c>
      <c r="J158" s="88" t="s">
        <v>161</v>
      </c>
      <c r="K158" s="112" t="s">
        <v>173</v>
      </c>
      <c r="L158" s="83" t="s">
        <v>84</v>
      </c>
      <c r="M158" s="83" t="s">
        <v>58</v>
      </c>
      <c r="N158" s="82" t="s">
        <v>62</v>
      </c>
      <c r="O158" s="93" t="s">
        <v>60</v>
      </c>
      <c r="P158" s="93" t="s">
        <v>60</v>
      </c>
      <c r="Q158" s="93" t="s">
        <v>60</v>
      </c>
      <c r="R158" s="94" t="s">
        <v>60</v>
      </c>
      <c r="S158" s="91"/>
      <c r="T158" s="94" t="s">
        <v>60</v>
      </c>
      <c r="U158" s="94" t="s">
        <v>60</v>
      </c>
      <c r="V158" s="94" t="s">
        <v>60</v>
      </c>
      <c r="W158" s="93"/>
      <c r="X158" s="91"/>
      <c r="Y158" s="91"/>
      <c r="Z158" s="103" t="s">
        <v>61</v>
      </c>
      <c r="AA158" s="103" t="s">
        <v>61</v>
      </c>
      <c r="AB158" s="91"/>
      <c r="AC158" s="95" t="s">
        <v>62</v>
      </c>
      <c r="AD158" s="95" t="s">
        <v>62</v>
      </c>
      <c r="AE158" s="95" t="s">
        <v>62</v>
      </c>
      <c r="AF158" s="95" t="s">
        <v>62</v>
      </c>
      <c r="AG158" s="96" t="s">
        <v>1</v>
      </c>
      <c r="AH158" s="70" t="s">
        <v>0</v>
      </c>
      <c r="AI158" s="70" t="s">
        <v>163</v>
      </c>
      <c r="AJ158" s="70" t="s">
        <v>164</v>
      </c>
      <c r="AK158" s="70" t="s">
        <v>165</v>
      </c>
      <c r="AL158" s="70" t="s">
        <v>148</v>
      </c>
      <c r="AM158" s="70" t="s">
        <v>62</v>
      </c>
      <c r="AN158" s="70" t="s">
        <v>62</v>
      </c>
      <c r="AO158" s="70" t="s">
        <v>62</v>
      </c>
      <c r="AP158" s="70" t="s">
        <v>62</v>
      </c>
      <c r="AQ158" s="70" t="s">
        <v>68</v>
      </c>
      <c r="AR158" s="70" t="s">
        <v>62</v>
      </c>
      <c r="AS158" s="70" t="s">
        <v>62</v>
      </c>
      <c r="AT158" s="70" t="s">
        <v>62</v>
      </c>
      <c r="AU158" s="70" t="s">
        <v>68</v>
      </c>
      <c r="AV158" s="67"/>
      <c r="AW158" s="68" t="s">
        <v>22</v>
      </c>
    </row>
    <row r="159" spans="1:49" ht="58.5" hidden="1">
      <c r="A159" s="1356"/>
      <c r="B159" s="1358"/>
      <c r="C159" s="82" t="s">
        <v>62</v>
      </c>
      <c r="D159" s="82" t="s">
        <v>62</v>
      </c>
      <c r="E159" s="82" t="s">
        <v>62</v>
      </c>
      <c r="F159" s="82" t="s">
        <v>62</v>
      </c>
      <c r="G159" s="110">
        <v>6</v>
      </c>
      <c r="H159" s="88" t="s">
        <v>160</v>
      </c>
      <c r="I159" s="83">
        <v>600</v>
      </c>
      <c r="J159" s="88" t="s">
        <v>161</v>
      </c>
      <c r="K159" s="112" t="s">
        <v>173</v>
      </c>
      <c r="L159" s="83" t="s">
        <v>84</v>
      </c>
      <c r="M159" s="83" t="s">
        <v>58</v>
      </c>
      <c r="N159" s="82" t="s">
        <v>62</v>
      </c>
      <c r="O159" s="93" t="s">
        <v>60</v>
      </c>
      <c r="P159" s="93" t="s">
        <v>60</v>
      </c>
      <c r="Q159" s="93" t="s">
        <v>60</v>
      </c>
      <c r="R159" s="94" t="s">
        <v>60</v>
      </c>
      <c r="S159" s="91"/>
      <c r="T159" s="94" t="s">
        <v>60</v>
      </c>
      <c r="U159" s="94" t="s">
        <v>60</v>
      </c>
      <c r="V159" s="94" t="s">
        <v>60</v>
      </c>
      <c r="W159" s="93"/>
      <c r="X159" s="91"/>
      <c r="Y159" s="91"/>
      <c r="Z159" s="103" t="s">
        <v>61</v>
      </c>
      <c r="AA159" s="103" t="s">
        <v>61</v>
      </c>
      <c r="AB159" s="91"/>
      <c r="AC159" s="95" t="s">
        <v>62</v>
      </c>
      <c r="AD159" s="95" t="s">
        <v>62</v>
      </c>
      <c r="AE159" s="95" t="s">
        <v>62</v>
      </c>
      <c r="AF159" s="95" t="s">
        <v>62</v>
      </c>
      <c r="AG159" s="96" t="s">
        <v>71</v>
      </c>
      <c r="AH159" s="70" t="s">
        <v>0</v>
      </c>
      <c r="AI159" s="70" t="s">
        <v>163</v>
      </c>
      <c r="AJ159" s="70" t="s">
        <v>164</v>
      </c>
      <c r="AK159" s="70" t="s">
        <v>165</v>
      </c>
      <c r="AL159" s="70" t="s">
        <v>148</v>
      </c>
      <c r="AM159" s="70" t="s">
        <v>62</v>
      </c>
      <c r="AN159" s="70" t="s">
        <v>62</v>
      </c>
      <c r="AO159" s="70" t="s">
        <v>62</v>
      </c>
      <c r="AP159" s="70" t="s">
        <v>62</v>
      </c>
      <c r="AQ159" s="70" t="s">
        <v>68</v>
      </c>
      <c r="AR159" s="70" t="s">
        <v>62</v>
      </c>
      <c r="AS159" s="70" t="s">
        <v>62</v>
      </c>
      <c r="AT159" s="70" t="s">
        <v>62</v>
      </c>
      <c r="AU159" s="70" t="s">
        <v>68</v>
      </c>
      <c r="AV159" s="67"/>
      <c r="AW159" s="68" t="s">
        <v>22</v>
      </c>
    </row>
    <row r="160" spans="1:49" ht="58.5" hidden="1">
      <c r="A160" s="70">
        <v>86</v>
      </c>
      <c r="B160" s="97">
        <v>90</v>
      </c>
      <c r="C160" s="82" t="s">
        <v>62</v>
      </c>
      <c r="D160" s="82" t="s">
        <v>62</v>
      </c>
      <c r="E160" s="82" t="s">
        <v>62</v>
      </c>
      <c r="F160" s="82" t="s">
        <v>62</v>
      </c>
      <c r="G160" s="110">
        <v>6</v>
      </c>
      <c r="H160" s="88" t="s">
        <v>160</v>
      </c>
      <c r="I160" s="83">
        <v>600</v>
      </c>
      <c r="J160" s="88" t="s">
        <v>161</v>
      </c>
      <c r="K160" s="83" t="s">
        <v>80</v>
      </c>
      <c r="L160" s="83" t="s">
        <v>84</v>
      </c>
      <c r="M160" s="83" t="s">
        <v>58</v>
      </c>
      <c r="N160" s="82" t="s">
        <v>62</v>
      </c>
      <c r="O160" s="93" t="s">
        <v>60</v>
      </c>
      <c r="P160" s="93" t="s">
        <v>60</v>
      </c>
      <c r="Q160" s="93" t="s">
        <v>60</v>
      </c>
      <c r="R160" s="94" t="s">
        <v>60</v>
      </c>
      <c r="S160" s="91"/>
      <c r="T160" s="94" t="s">
        <v>60</v>
      </c>
      <c r="U160" s="94" t="s">
        <v>60</v>
      </c>
      <c r="V160" s="94" t="s">
        <v>60</v>
      </c>
      <c r="W160" s="93"/>
      <c r="X160" s="91"/>
      <c r="Y160" s="91"/>
      <c r="Z160" s="103" t="s">
        <v>61</v>
      </c>
      <c r="AA160" s="103" t="s">
        <v>61</v>
      </c>
      <c r="AB160" s="91"/>
      <c r="AC160" s="95" t="s">
        <v>62</v>
      </c>
      <c r="AD160" s="95" t="s">
        <v>62</v>
      </c>
      <c r="AE160" s="95" t="s">
        <v>62</v>
      </c>
      <c r="AF160" s="95" t="s">
        <v>62</v>
      </c>
      <c r="AG160" s="96" t="s">
        <v>0</v>
      </c>
      <c r="AH160" s="70" t="s">
        <v>0</v>
      </c>
      <c r="AI160" s="70" t="s">
        <v>163</v>
      </c>
      <c r="AJ160" s="70" t="s">
        <v>164</v>
      </c>
      <c r="AK160" s="70" t="s">
        <v>165</v>
      </c>
      <c r="AL160" s="70"/>
      <c r="AM160" s="70" t="s">
        <v>62</v>
      </c>
      <c r="AN160" s="70" t="s">
        <v>62</v>
      </c>
      <c r="AO160" s="70" t="s">
        <v>62</v>
      </c>
      <c r="AP160" s="70" t="s">
        <v>62</v>
      </c>
      <c r="AQ160" s="70" t="s">
        <v>62</v>
      </c>
      <c r="AR160" s="70" t="s">
        <v>62</v>
      </c>
      <c r="AS160" s="70" t="s">
        <v>62</v>
      </c>
      <c r="AT160" s="70" t="s">
        <v>62</v>
      </c>
      <c r="AU160" s="70" t="s">
        <v>68</v>
      </c>
      <c r="AV160" s="67"/>
      <c r="AW160" s="68" t="s">
        <v>22</v>
      </c>
    </row>
    <row r="161" spans="1:49" ht="58.5" hidden="1">
      <c r="A161" s="1354">
        <v>87</v>
      </c>
      <c r="B161" s="1357">
        <v>91</v>
      </c>
      <c r="C161" s="82" t="s">
        <v>62</v>
      </c>
      <c r="D161" s="82" t="s">
        <v>62</v>
      </c>
      <c r="E161" s="82" t="s">
        <v>62</v>
      </c>
      <c r="F161" s="82" t="s">
        <v>62</v>
      </c>
      <c r="G161" s="110">
        <v>6</v>
      </c>
      <c r="H161" s="88" t="s">
        <v>160</v>
      </c>
      <c r="I161" s="83">
        <v>600</v>
      </c>
      <c r="J161" s="88" t="s">
        <v>161</v>
      </c>
      <c r="K161" s="112" t="s">
        <v>174</v>
      </c>
      <c r="L161" s="83" t="s">
        <v>84</v>
      </c>
      <c r="M161" s="83" t="s">
        <v>58</v>
      </c>
      <c r="N161" s="82" t="s">
        <v>62</v>
      </c>
      <c r="O161" s="93" t="s">
        <v>60</v>
      </c>
      <c r="P161" s="93" t="s">
        <v>60</v>
      </c>
      <c r="Q161" s="93" t="s">
        <v>60</v>
      </c>
      <c r="R161" s="94" t="s">
        <v>60</v>
      </c>
      <c r="S161" s="91"/>
      <c r="T161" s="94" t="s">
        <v>60</v>
      </c>
      <c r="U161" s="91"/>
      <c r="V161" s="91"/>
      <c r="W161" s="93"/>
      <c r="X161" s="103" t="s">
        <v>61</v>
      </c>
      <c r="Y161" s="91"/>
      <c r="Z161" s="103" t="s">
        <v>61</v>
      </c>
      <c r="AA161" s="103" t="s">
        <v>61</v>
      </c>
      <c r="AB161" s="91"/>
      <c r="AC161" s="95" t="s">
        <v>62</v>
      </c>
      <c r="AD161" s="95" t="s">
        <v>62</v>
      </c>
      <c r="AE161" s="95" t="s">
        <v>62</v>
      </c>
      <c r="AF161" s="95" t="s">
        <v>62</v>
      </c>
      <c r="AG161" s="70" t="s">
        <v>0</v>
      </c>
      <c r="AH161" s="70" t="s">
        <v>0</v>
      </c>
      <c r="AI161" s="70" t="s">
        <v>163</v>
      </c>
      <c r="AJ161" s="70" t="s">
        <v>164</v>
      </c>
      <c r="AK161" s="70" t="s">
        <v>165</v>
      </c>
      <c r="AL161" s="70" t="s">
        <v>148</v>
      </c>
      <c r="AM161" s="70" t="s">
        <v>65</v>
      </c>
      <c r="AN161" s="70" t="s">
        <v>66</v>
      </c>
      <c r="AO161" s="70" t="s">
        <v>116</v>
      </c>
      <c r="AP161" s="70" t="s">
        <v>67</v>
      </c>
      <c r="AQ161" s="70" t="s">
        <v>68</v>
      </c>
      <c r="AR161" s="70" t="s">
        <v>69</v>
      </c>
      <c r="AS161" s="70" t="s">
        <v>68</v>
      </c>
      <c r="AT161" s="70" t="s">
        <v>168</v>
      </c>
      <c r="AU161" s="70" t="s">
        <v>68</v>
      </c>
      <c r="AV161" s="67"/>
      <c r="AW161" s="68" t="s">
        <v>22</v>
      </c>
    </row>
    <row r="162" spans="1:49" ht="58.5" hidden="1">
      <c r="A162" s="1356"/>
      <c r="B162" s="1358"/>
      <c r="C162" s="82" t="s">
        <v>62</v>
      </c>
      <c r="D162" s="82" t="s">
        <v>62</v>
      </c>
      <c r="E162" s="82" t="s">
        <v>62</v>
      </c>
      <c r="F162" s="82" t="s">
        <v>62</v>
      </c>
      <c r="G162" s="110">
        <v>6</v>
      </c>
      <c r="H162" s="88" t="s">
        <v>160</v>
      </c>
      <c r="I162" s="83">
        <v>600</v>
      </c>
      <c r="J162" s="88" t="s">
        <v>161</v>
      </c>
      <c r="K162" s="112" t="s">
        <v>174</v>
      </c>
      <c r="L162" s="83" t="s">
        <v>84</v>
      </c>
      <c r="M162" s="83" t="s">
        <v>58</v>
      </c>
      <c r="N162" s="82" t="s">
        <v>62</v>
      </c>
      <c r="O162" s="93" t="s">
        <v>60</v>
      </c>
      <c r="P162" s="93" t="s">
        <v>60</v>
      </c>
      <c r="Q162" s="93" t="s">
        <v>60</v>
      </c>
      <c r="R162" s="94" t="s">
        <v>60</v>
      </c>
      <c r="S162" s="91"/>
      <c r="T162" s="94" t="s">
        <v>60</v>
      </c>
      <c r="U162" s="91"/>
      <c r="V162" s="91"/>
      <c r="W162" s="93"/>
      <c r="X162" s="103" t="s">
        <v>61</v>
      </c>
      <c r="Y162" s="91"/>
      <c r="Z162" s="103" t="s">
        <v>61</v>
      </c>
      <c r="AA162" s="103" t="s">
        <v>61</v>
      </c>
      <c r="AB162" s="91"/>
      <c r="AC162" s="95" t="s">
        <v>62</v>
      </c>
      <c r="AD162" s="95" t="s">
        <v>62</v>
      </c>
      <c r="AE162" s="95" t="s">
        <v>62</v>
      </c>
      <c r="AF162" s="95" t="s">
        <v>62</v>
      </c>
      <c r="AG162" s="70" t="s">
        <v>71</v>
      </c>
      <c r="AH162" s="96" t="s">
        <v>62</v>
      </c>
      <c r="AI162" s="70" t="s">
        <v>163</v>
      </c>
      <c r="AJ162" s="70" t="s">
        <v>164</v>
      </c>
      <c r="AK162" s="70" t="s">
        <v>165</v>
      </c>
      <c r="AL162" s="70" t="s">
        <v>148</v>
      </c>
      <c r="AM162" s="70" t="s">
        <v>71</v>
      </c>
      <c r="AN162" s="70" t="s">
        <v>71</v>
      </c>
      <c r="AO162" s="70" t="s">
        <v>71</v>
      </c>
      <c r="AP162" s="70" t="s">
        <v>71</v>
      </c>
      <c r="AQ162" s="70" t="s">
        <v>68</v>
      </c>
      <c r="AR162" s="70" t="s">
        <v>72</v>
      </c>
      <c r="AS162" s="70" t="s">
        <v>68</v>
      </c>
      <c r="AT162" s="70" t="s">
        <v>168</v>
      </c>
      <c r="AU162" s="70" t="s">
        <v>68</v>
      </c>
      <c r="AV162" s="67"/>
      <c r="AW162" s="68" t="s">
        <v>22</v>
      </c>
    </row>
    <row r="163" spans="1:49" ht="39">
      <c r="A163" s="1354">
        <v>88</v>
      </c>
      <c r="B163" s="1357">
        <v>92</v>
      </c>
      <c r="C163" s="91">
        <v>40</v>
      </c>
      <c r="D163" s="106" t="s">
        <v>101</v>
      </c>
      <c r="E163" s="105">
        <v>41</v>
      </c>
      <c r="F163" s="92" t="s">
        <v>110</v>
      </c>
      <c r="G163" s="182">
        <v>6</v>
      </c>
      <c r="H163" s="183" t="s">
        <v>160</v>
      </c>
      <c r="I163" s="80" t="s">
        <v>175</v>
      </c>
      <c r="J163" s="87" t="s">
        <v>176</v>
      </c>
      <c r="K163" s="178" t="s">
        <v>73</v>
      </c>
      <c r="L163" s="208" t="s">
        <v>162</v>
      </c>
      <c r="M163" s="179" t="s">
        <v>58</v>
      </c>
      <c r="N163" s="179" t="s">
        <v>76</v>
      </c>
      <c r="O163" s="93" t="s">
        <v>60</v>
      </c>
      <c r="P163" s="93" t="s">
        <v>60</v>
      </c>
      <c r="Q163" s="93" t="s">
        <v>60</v>
      </c>
      <c r="R163" s="94" t="s">
        <v>60</v>
      </c>
      <c r="S163" s="91"/>
      <c r="T163" s="91"/>
      <c r="U163" s="91"/>
      <c r="V163" s="91"/>
      <c r="W163" s="91"/>
      <c r="X163" s="91"/>
      <c r="Y163" s="91"/>
      <c r="Z163" s="103" t="s">
        <v>60</v>
      </c>
      <c r="AA163" s="103" t="s">
        <v>60</v>
      </c>
      <c r="AB163" s="103" t="s">
        <v>60</v>
      </c>
      <c r="AC163" s="95" t="s">
        <v>62</v>
      </c>
      <c r="AD163" s="70" t="s">
        <v>57</v>
      </c>
      <c r="AE163" s="95" t="s">
        <v>62</v>
      </c>
      <c r="AF163" s="70" t="s">
        <v>57</v>
      </c>
      <c r="AG163" s="70" t="s">
        <v>0</v>
      </c>
      <c r="AH163" s="70" t="s">
        <v>0</v>
      </c>
      <c r="AI163" s="70" t="s">
        <v>177</v>
      </c>
      <c r="AJ163" s="70" t="s">
        <v>164</v>
      </c>
      <c r="AK163" s="70" t="s">
        <v>165</v>
      </c>
      <c r="AL163" s="70"/>
      <c r="AM163" s="70" t="s">
        <v>104</v>
      </c>
      <c r="AN163" s="70" t="s">
        <v>104</v>
      </c>
      <c r="AO163" s="70" t="s">
        <v>166</v>
      </c>
      <c r="AP163" s="70" t="s">
        <v>158</v>
      </c>
      <c r="AQ163" s="70" t="s">
        <v>62</v>
      </c>
      <c r="AR163" s="70" t="s">
        <v>167</v>
      </c>
      <c r="AS163" s="70" t="s">
        <v>68</v>
      </c>
      <c r="AT163" s="70" t="s">
        <v>168</v>
      </c>
      <c r="AU163" s="70" t="s">
        <v>68</v>
      </c>
      <c r="AV163" s="67"/>
      <c r="AW163" s="68" t="s">
        <v>22</v>
      </c>
    </row>
    <row r="164" spans="1:49" ht="39">
      <c r="A164" s="1355"/>
      <c r="B164" s="1359"/>
      <c r="C164" s="91">
        <v>40</v>
      </c>
      <c r="D164" s="106" t="s">
        <v>101</v>
      </c>
      <c r="E164" s="105">
        <v>41</v>
      </c>
      <c r="F164" s="92" t="s">
        <v>110</v>
      </c>
      <c r="G164" s="182">
        <v>6</v>
      </c>
      <c r="H164" s="183" t="s">
        <v>160</v>
      </c>
      <c r="I164" s="80" t="s">
        <v>175</v>
      </c>
      <c r="J164" s="87" t="s">
        <v>176</v>
      </c>
      <c r="K164" s="178" t="s">
        <v>73</v>
      </c>
      <c r="L164" s="208" t="s">
        <v>162</v>
      </c>
      <c r="M164" s="179" t="s">
        <v>58</v>
      </c>
      <c r="N164" s="179" t="s">
        <v>76</v>
      </c>
      <c r="O164" s="93" t="s">
        <v>60</v>
      </c>
      <c r="P164" s="93" t="s">
        <v>60</v>
      </c>
      <c r="Q164" s="93" t="s">
        <v>60</v>
      </c>
      <c r="R164" s="94" t="s">
        <v>60</v>
      </c>
      <c r="S164" s="91"/>
      <c r="T164" s="91"/>
      <c r="U164" s="91"/>
      <c r="V164" s="91"/>
      <c r="W164" s="91"/>
      <c r="X164" s="91"/>
      <c r="Y164" s="91"/>
      <c r="Z164" s="103" t="s">
        <v>60</v>
      </c>
      <c r="AA164" s="103" t="s">
        <v>60</v>
      </c>
      <c r="AB164" s="103" t="s">
        <v>60</v>
      </c>
      <c r="AC164" s="95" t="s">
        <v>62</v>
      </c>
      <c r="AD164" s="70" t="s">
        <v>57</v>
      </c>
      <c r="AE164" s="95" t="s">
        <v>62</v>
      </c>
      <c r="AF164" s="70" t="s">
        <v>57</v>
      </c>
      <c r="AG164" s="70" t="s">
        <v>1</v>
      </c>
      <c r="AH164" s="96" t="s">
        <v>62</v>
      </c>
      <c r="AI164" s="70" t="s">
        <v>177</v>
      </c>
      <c r="AJ164" s="70" t="s">
        <v>164</v>
      </c>
      <c r="AK164" s="70" t="s">
        <v>165</v>
      </c>
      <c r="AL164" s="70"/>
      <c r="AM164" s="70" t="s">
        <v>104</v>
      </c>
      <c r="AN164" s="70" t="s">
        <v>104</v>
      </c>
      <c r="AO164" s="70" t="s">
        <v>166</v>
      </c>
      <c r="AP164" s="70" t="s">
        <v>158</v>
      </c>
      <c r="AQ164" s="70" t="s">
        <v>62</v>
      </c>
      <c r="AR164" s="70" t="s">
        <v>167</v>
      </c>
      <c r="AS164" s="70" t="s">
        <v>68</v>
      </c>
      <c r="AT164" s="70" t="s">
        <v>168</v>
      </c>
      <c r="AU164" s="70" t="s">
        <v>68</v>
      </c>
      <c r="AV164" s="67"/>
      <c r="AW164" s="68" t="s">
        <v>22</v>
      </c>
    </row>
    <row r="165" spans="1:49" ht="39">
      <c r="A165" s="1356"/>
      <c r="B165" s="1358"/>
      <c r="C165" s="91">
        <v>40</v>
      </c>
      <c r="D165" s="106" t="s">
        <v>101</v>
      </c>
      <c r="E165" s="105">
        <v>41</v>
      </c>
      <c r="F165" s="92" t="s">
        <v>110</v>
      </c>
      <c r="G165" s="182">
        <v>6</v>
      </c>
      <c r="H165" s="183" t="s">
        <v>160</v>
      </c>
      <c r="I165" s="80" t="s">
        <v>175</v>
      </c>
      <c r="J165" s="87" t="s">
        <v>176</v>
      </c>
      <c r="K165" s="178" t="s">
        <v>73</v>
      </c>
      <c r="L165" s="208" t="s">
        <v>162</v>
      </c>
      <c r="M165" s="179" t="s">
        <v>58</v>
      </c>
      <c r="N165" s="179" t="s">
        <v>76</v>
      </c>
      <c r="O165" s="93" t="s">
        <v>60</v>
      </c>
      <c r="P165" s="93" t="s">
        <v>60</v>
      </c>
      <c r="Q165" s="93" t="s">
        <v>60</v>
      </c>
      <c r="R165" s="94" t="s">
        <v>60</v>
      </c>
      <c r="S165" s="91"/>
      <c r="T165" s="91"/>
      <c r="U165" s="91"/>
      <c r="V165" s="91"/>
      <c r="W165" s="91"/>
      <c r="X165" s="91"/>
      <c r="Y165" s="91"/>
      <c r="Z165" s="103" t="s">
        <v>60</v>
      </c>
      <c r="AA165" s="103" t="s">
        <v>60</v>
      </c>
      <c r="AB165" s="103" t="s">
        <v>60</v>
      </c>
      <c r="AC165" s="95" t="s">
        <v>62</v>
      </c>
      <c r="AD165" s="70" t="s">
        <v>57</v>
      </c>
      <c r="AE165" s="95" t="s">
        <v>62</v>
      </c>
      <c r="AF165" s="70" t="s">
        <v>57</v>
      </c>
      <c r="AG165" s="70" t="s">
        <v>71</v>
      </c>
      <c r="AH165" s="96" t="s">
        <v>62</v>
      </c>
      <c r="AI165" s="70" t="s">
        <v>177</v>
      </c>
      <c r="AJ165" s="70" t="s">
        <v>164</v>
      </c>
      <c r="AK165" s="70" t="s">
        <v>165</v>
      </c>
      <c r="AL165" s="70"/>
      <c r="AM165" s="70" t="s">
        <v>71</v>
      </c>
      <c r="AN165" s="70" t="s">
        <v>71</v>
      </c>
      <c r="AO165" s="70" t="s">
        <v>71</v>
      </c>
      <c r="AP165" s="70" t="s">
        <v>71</v>
      </c>
      <c r="AQ165" s="70" t="s">
        <v>62</v>
      </c>
      <c r="AR165" s="70" t="s">
        <v>167</v>
      </c>
      <c r="AS165" s="70" t="s">
        <v>68</v>
      </c>
      <c r="AT165" s="70" t="s">
        <v>168</v>
      </c>
      <c r="AU165" s="70" t="s">
        <v>68</v>
      </c>
      <c r="AV165" s="67"/>
      <c r="AW165" s="68" t="s">
        <v>22</v>
      </c>
    </row>
    <row r="166" spans="1:49" ht="39" hidden="1">
      <c r="A166" s="1354">
        <v>89</v>
      </c>
      <c r="B166" s="1357">
        <v>93</v>
      </c>
      <c r="C166" s="82" t="s">
        <v>62</v>
      </c>
      <c r="D166" s="82" t="s">
        <v>62</v>
      </c>
      <c r="E166" s="82" t="s">
        <v>62</v>
      </c>
      <c r="F166" s="82" t="s">
        <v>62</v>
      </c>
      <c r="G166" s="110">
        <v>6</v>
      </c>
      <c r="H166" s="88" t="s">
        <v>160</v>
      </c>
      <c r="I166" s="83" t="s">
        <v>175</v>
      </c>
      <c r="J166" s="88" t="s">
        <v>176</v>
      </c>
      <c r="K166" s="71" t="s">
        <v>73</v>
      </c>
      <c r="L166" s="83" t="s">
        <v>162</v>
      </c>
      <c r="M166" s="83" t="s">
        <v>58</v>
      </c>
      <c r="N166" s="83" t="s">
        <v>76</v>
      </c>
      <c r="O166" s="93" t="s">
        <v>60</v>
      </c>
      <c r="P166" s="93" t="s">
        <v>60</v>
      </c>
      <c r="Q166" s="93" t="s">
        <v>60</v>
      </c>
      <c r="R166" s="94" t="s">
        <v>60</v>
      </c>
      <c r="S166" s="91"/>
      <c r="T166" s="91"/>
      <c r="U166" s="91"/>
      <c r="V166" s="91"/>
      <c r="W166" s="91"/>
      <c r="X166" s="91"/>
      <c r="Y166" s="91"/>
      <c r="Z166" s="103" t="s">
        <v>60</v>
      </c>
      <c r="AA166" s="103" t="s">
        <v>60</v>
      </c>
      <c r="AB166" s="103" t="s">
        <v>60</v>
      </c>
      <c r="AC166" s="95" t="s">
        <v>62</v>
      </c>
      <c r="AD166" s="70" t="s">
        <v>57</v>
      </c>
      <c r="AE166" s="95" t="s">
        <v>62</v>
      </c>
      <c r="AF166" s="70" t="s">
        <v>57</v>
      </c>
      <c r="AG166" s="70" t="s">
        <v>0</v>
      </c>
      <c r="AH166" s="70" t="s">
        <v>0</v>
      </c>
      <c r="AI166" s="70" t="s">
        <v>177</v>
      </c>
      <c r="AJ166" s="70" t="s">
        <v>164</v>
      </c>
      <c r="AK166" s="70" t="s">
        <v>165</v>
      </c>
      <c r="AL166" s="70"/>
      <c r="AM166" s="70" t="s">
        <v>104</v>
      </c>
      <c r="AN166" s="70" t="s">
        <v>104</v>
      </c>
      <c r="AO166" s="70" t="s">
        <v>166</v>
      </c>
      <c r="AP166" s="70" t="s">
        <v>158</v>
      </c>
      <c r="AQ166" s="70" t="s">
        <v>62</v>
      </c>
      <c r="AR166" s="70" t="s">
        <v>167</v>
      </c>
      <c r="AS166" s="70" t="s">
        <v>68</v>
      </c>
      <c r="AT166" s="70" t="s">
        <v>168</v>
      </c>
      <c r="AU166" s="70" t="s">
        <v>68</v>
      </c>
      <c r="AV166" s="67"/>
      <c r="AW166" s="68" t="s">
        <v>22</v>
      </c>
    </row>
    <row r="167" spans="1:49" ht="39" hidden="1">
      <c r="A167" s="1355"/>
      <c r="B167" s="1359"/>
      <c r="C167" s="82" t="s">
        <v>62</v>
      </c>
      <c r="D167" s="82" t="s">
        <v>62</v>
      </c>
      <c r="E167" s="82" t="s">
        <v>62</v>
      </c>
      <c r="F167" s="82" t="s">
        <v>62</v>
      </c>
      <c r="G167" s="110">
        <v>6</v>
      </c>
      <c r="H167" s="88" t="s">
        <v>160</v>
      </c>
      <c r="I167" s="83" t="s">
        <v>175</v>
      </c>
      <c r="J167" s="88" t="s">
        <v>176</v>
      </c>
      <c r="K167" s="71" t="s">
        <v>73</v>
      </c>
      <c r="L167" s="83" t="s">
        <v>162</v>
      </c>
      <c r="M167" s="83" t="s">
        <v>58</v>
      </c>
      <c r="N167" s="83" t="s">
        <v>76</v>
      </c>
      <c r="O167" s="93" t="s">
        <v>60</v>
      </c>
      <c r="P167" s="93" t="s">
        <v>60</v>
      </c>
      <c r="Q167" s="93" t="s">
        <v>60</v>
      </c>
      <c r="R167" s="94" t="s">
        <v>60</v>
      </c>
      <c r="S167" s="91"/>
      <c r="T167" s="91"/>
      <c r="U167" s="91"/>
      <c r="V167" s="91"/>
      <c r="W167" s="91"/>
      <c r="X167" s="91"/>
      <c r="Y167" s="91"/>
      <c r="Z167" s="103" t="s">
        <v>60</v>
      </c>
      <c r="AA167" s="103" t="s">
        <v>60</v>
      </c>
      <c r="AB167" s="103" t="s">
        <v>60</v>
      </c>
      <c r="AC167" s="95" t="s">
        <v>62</v>
      </c>
      <c r="AD167" s="70" t="s">
        <v>57</v>
      </c>
      <c r="AE167" s="95" t="s">
        <v>62</v>
      </c>
      <c r="AF167" s="70" t="s">
        <v>57</v>
      </c>
      <c r="AG167" s="70" t="s">
        <v>1</v>
      </c>
      <c r="AH167" s="96" t="s">
        <v>62</v>
      </c>
      <c r="AI167" s="70" t="s">
        <v>177</v>
      </c>
      <c r="AJ167" s="70" t="s">
        <v>164</v>
      </c>
      <c r="AK167" s="70" t="s">
        <v>165</v>
      </c>
      <c r="AL167" s="70"/>
      <c r="AM167" s="70" t="s">
        <v>104</v>
      </c>
      <c r="AN167" s="70" t="s">
        <v>104</v>
      </c>
      <c r="AO167" s="70" t="s">
        <v>166</v>
      </c>
      <c r="AP167" s="70" t="s">
        <v>158</v>
      </c>
      <c r="AQ167" s="70" t="s">
        <v>62</v>
      </c>
      <c r="AR167" s="70" t="s">
        <v>167</v>
      </c>
      <c r="AS167" s="70" t="s">
        <v>68</v>
      </c>
      <c r="AT167" s="70" t="s">
        <v>168</v>
      </c>
      <c r="AU167" s="70" t="s">
        <v>68</v>
      </c>
      <c r="AV167" s="67"/>
      <c r="AW167" s="68" t="s">
        <v>22</v>
      </c>
    </row>
    <row r="168" spans="1:49" ht="39" hidden="1">
      <c r="A168" s="1356"/>
      <c r="B168" s="1358"/>
      <c r="C168" s="82" t="s">
        <v>62</v>
      </c>
      <c r="D168" s="82" t="s">
        <v>62</v>
      </c>
      <c r="E168" s="82" t="s">
        <v>62</v>
      </c>
      <c r="F168" s="82" t="s">
        <v>62</v>
      </c>
      <c r="G168" s="110">
        <v>6</v>
      </c>
      <c r="H168" s="88" t="s">
        <v>160</v>
      </c>
      <c r="I168" s="83" t="s">
        <v>175</v>
      </c>
      <c r="J168" s="88" t="s">
        <v>176</v>
      </c>
      <c r="K168" s="71" t="s">
        <v>73</v>
      </c>
      <c r="L168" s="83" t="s">
        <v>162</v>
      </c>
      <c r="M168" s="83" t="s">
        <v>58</v>
      </c>
      <c r="N168" s="83" t="s">
        <v>76</v>
      </c>
      <c r="O168" s="93" t="s">
        <v>60</v>
      </c>
      <c r="P168" s="93" t="s">
        <v>60</v>
      </c>
      <c r="Q168" s="93" t="s">
        <v>60</v>
      </c>
      <c r="R168" s="94" t="s">
        <v>60</v>
      </c>
      <c r="S168" s="91"/>
      <c r="T168" s="91"/>
      <c r="U168" s="91"/>
      <c r="V168" s="91"/>
      <c r="W168" s="91"/>
      <c r="X168" s="91"/>
      <c r="Y168" s="91"/>
      <c r="Z168" s="103" t="s">
        <v>60</v>
      </c>
      <c r="AA168" s="103" t="s">
        <v>60</v>
      </c>
      <c r="AB168" s="103" t="s">
        <v>60</v>
      </c>
      <c r="AC168" s="95" t="s">
        <v>62</v>
      </c>
      <c r="AD168" s="70" t="s">
        <v>57</v>
      </c>
      <c r="AE168" s="95" t="s">
        <v>62</v>
      </c>
      <c r="AF168" s="70" t="s">
        <v>57</v>
      </c>
      <c r="AG168" s="70" t="s">
        <v>71</v>
      </c>
      <c r="AH168" s="96" t="s">
        <v>62</v>
      </c>
      <c r="AI168" s="70" t="s">
        <v>177</v>
      </c>
      <c r="AJ168" s="70" t="s">
        <v>164</v>
      </c>
      <c r="AK168" s="70" t="s">
        <v>165</v>
      </c>
      <c r="AL168" s="70"/>
      <c r="AM168" s="70" t="s">
        <v>71</v>
      </c>
      <c r="AN168" s="70" t="s">
        <v>71</v>
      </c>
      <c r="AO168" s="70" t="s">
        <v>71</v>
      </c>
      <c r="AP168" s="70" t="s">
        <v>71</v>
      </c>
      <c r="AQ168" s="70" t="s">
        <v>62</v>
      </c>
      <c r="AR168" s="70" t="s">
        <v>167</v>
      </c>
      <c r="AS168" s="70" t="s">
        <v>68</v>
      </c>
      <c r="AT168" s="70" t="s">
        <v>168</v>
      </c>
      <c r="AU168" s="70" t="s">
        <v>68</v>
      </c>
      <c r="AV168" s="67"/>
      <c r="AW168" s="68" t="s">
        <v>22</v>
      </c>
    </row>
    <row r="169" spans="1:49" ht="39">
      <c r="A169" s="1354">
        <v>90</v>
      </c>
      <c r="B169" s="1357">
        <v>94</v>
      </c>
      <c r="C169" s="91">
        <v>40</v>
      </c>
      <c r="D169" s="106" t="s">
        <v>101</v>
      </c>
      <c r="E169" s="105">
        <v>41</v>
      </c>
      <c r="F169" s="92" t="s">
        <v>110</v>
      </c>
      <c r="G169" s="205">
        <v>6</v>
      </c>
      <c r="H169" s="206" t="s">
        <v>160</v>
      </c>
      <c r="I169" s="80" t="s">
        <v>175</v>
      </c>
      <c r="J169" s="87" t="s">
        <v>178</v>
      </c>
      <c r="K169" s="203" t="s">
        <v>169</v>
      </c>
      <c r="L169" s="207" t="s">
        <v>57</v>
      </c>
      <c r="M169" s="204" t="s">
        <v>58</v>
      </c>
      <c r="N169" s="203" t="s">
        <v>170</v>
      </c>
      <c r="O169" s="93" t="s">
        <v>60</v>
      </c>
      <c r="P169" s="93" t="s">
        <v>60</v>
      </c>
      <c r="Q169" s="93" t="s">
        <v>60</v>
      </c>
      <c r="R169" s="94" t="s">
        <v>60</v>
      </c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70" t="s">
        <v>57</v>
      </c>
      <c r="AD169" s="70" t="s">
        <v>57</v>
      </c>
      <c r="AE169" s="70" t="s">
        <v>57</v>
      </c>
      <c r="AF169" s="95" t="s">
        <v>62</v>
      </c>
      <c r="AG169" s="70" t="s">
        <v>0</v>
      </c>
      <c r="AH169" s="70" t="s">
        <v>0</v>
      </c>
      <c r="AI169" s="70" t="s">
        <v>177</v>
      </c>
      <c r="AJ169" s="70" t="s">
        <v>164</v>
      </c>
      <c r="AK169" s="70" t="s">
        <v>165</v>
      </c>
      <c r="AL169" s="70"/>
      <c r="AM169" s="70" t="s">
        <v>104</v>
      </c>
      <c r="AN169" s="70" t="s">
        <v>104</v>
      </c>
      <c r="AO169" s="70" t="s">
        <v>171</v>
      </c>
      <c r="AP169" s="70" t="s">
        <v>67</v>
      </c>
      <c r="AQ169" s="70" t="s">
        <v>62</v>
      </c>
      <c r="AR169" s="70" t="s">
        <v>172</v>
      </c>
      <c r="AS169" s="70" t="s">
        <v>68</v>
      </c>
      <c r="AT169" s="70" t="s">
        <v>168</v>
      </c>
      <c r="AU169" s="70" t="s">
        <v>68</v>
      </c>
      <c r="AV169" s="67"/>
      <c r="AW169" s="68" t="s">
        <v>22</v>
      </c>
    </row>
    <row r="170" spans="1:49" ht="39">
      <c r="A170" s="1355"/>
      <c r="B170" s="1359"/>
      <c r="C170" s="91">
        <v>40</v>
      </c>
      <c r="D170" s="106" t="s">
        <v>101</v>
      </c>
      <c r="E170" s="105">
        <v>41</v>
      </c>
      <c r="F170" s="92" t="s">
        <v>110</v>
      </c>
      <c r="G170" s="205">
        <v>6</v>
      </c>
      <c r="H170" s="206" t="s">
        <v>160</v>
      </c>
      <c r="I170" s="80" t="s">
        <v>175</v>
      </c>
      <c r="J170" s="87" t="s">
        <v>178</v>
      </c>
      <c r="K170" s="203" t="s">
        <v>169</v>
      </c>
      <c r="L170" s="207" t="s">
        <v>57</v>
      </c>
      <c r="M170" s="204" t="s">
        <v>58</v>
      </c>
      <c r="N170" s="203" t="s">
        <v>170</v>
      </c>
      <c r="O170" s="93" t="s">
        <v>60</v>
      </c>
      <c r="P170" s="93" t="s">
        <v>60</v>
      </c>
      <c r="Q170" s="93" t="s">
        <v>60</v>
      </c>
      <c r="R170" s="94" t="s">
        <v>60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70" t="s">
        <v>57</v>
      </c>
      <c r="AD170" s="70" t="s">
        <v>57</v>
      </c>
      <c r="AE170" s="70" t="s">
        <v>57</v>
      </c>
      <c r="AF170" s="95" t="s">
        <v>62</v>
      </c>
      <c r="AG170" s="70" t="s">
        <v>1</v>
      </c>
      <c r="AH170" s="96" t="s">
        <v>62</v>
      </c>
      <c r="AI170" s="70" t="s">
        <v>177</v>
      </c>
      <c r="AJ170" s="70" t="s">
        <v>164</v>
      </c>
      <c r="AK170" s="70" t="s">
        <v>165</v>
      </c>
      <c r="AL170" s="70"/>
      <c r="AM170" s="70" t="s">
        <v>104</v>
      </c>
      <c r="AN170" s="70" t="s">
        <v>104</v>
      </c>
      <c r="AO170" s="70" t="s">
        <v>171</v>
      </c>
      <c r="AP170" s="70" t="s">
        <v>67</v>
      </c>
      <c r="AQ170" s="70" t="s">
        <v>62</v>
      </c>
      <c r="AR170" s="70" t="s">
        <v>172</v>
      </c>
      <c r="AS170" s="70" t="s">
        <v>68</v>
      </c>
      <c r="AT170" s="70" t="s">
        <v>168</v>
      </c>
      <c r="AU170" s="70" t="s">
        <v>68</v>
      </c>
      <c r="AV170" s="67"/>
      <c r="AW170" s="68" t="s">
        <v>22</v>
      </c>
    </row>
    <row r="171" spans="1:49" ht="39">
      <c r="A171" s="1356"/>
      <c r="B171" s="1358"/>
      <c r="C171" s="91">
        <v>40</v>
      </c>
      <c r="D171" s="106" t="s">
        <v>101</v>
      </c>
      <c r="E171" s="105">
        <v>41</v>
      </c>
      <c r="F171" s="92" t="s">
        <v>110</v>
      </c>
      <c r="G171" s="205">
        <v>6</v>
      </c>
      <c r="H171" s="206" t="s">
        <v>160</v>
      </c>
      <c r="I171" s="80" t="s">
        <v>175</v>
      </c>
      <c r="J171" s="87" t="s">
        <v>178</v>
      </c>
      <c r="K171" s="203" t="s">
        <v>169</v>
      </c>
      <c r="L171" s="207" t="s">
        <v>57</v>
      </c>
      <c r="M171" s="204" t="s">
        <v>58</v>
      </c>
      <c r="N171" s="203" t="s">
        <v>170</v>
      </c>
      <c r="O171" s="93" t="s">
        <v>60</v>
      </c>
      <c r="P171" s="93" t="s">
        <v>60</v>
      </c>
      <c r="Q171" s="93" t="s">
        <v>60</v>
      </c>
      <c r="R171" s="94" t="s">
        <v>60</v>
      </c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70" t="s">
        <v>57</v>
      </c>
      <c r="AD171" s="70" t="s">
        <v>57</v>
      </c>
      <c r="AE171" s="70" t="s">
        <v>57</v>
      </c>
      <c r="AF171" s="95" t="s">
        <v>62</v>
      </c>
      <c r="AG171" s="70" t="s">
        <v>71</v>
      </c>
      <c r="AH171" s="96" t="s">
        <v>62</v>
      </c>
      <c r="AI171" s="70" t="s">
        <v>177</v>
      </c>
      <c r="AJ171" s="70" t="s">
        <v>164</v>
      </c>
      <c r="AK171" s="70" t="s">
        <v>165</v>
      </c>
      <c r="AL171" s="70"/>
      <c r="AM171" s="70" t="s">
        <v>104</v>
      </c>
      <c r="AN171" s="70" t="s">
        <v>104</v>
      </c>
      <c r="AO171" s="70" t="s">
        <v>171</v>
      </c>
      <c r="AP171" s="70" t="s">
        <v>67</v>
      </c>
      <c r="AQ171" s="70" t="s">
        <v>62</v>
      </c>
      <c r="AR171" s="70" t="s">
        <v>172</v>
      </c>
      <c r="AS171" s="70" t="s">
        <v>68</v>
      </c>
      <c r="AT171" s="70" t="s">
        <v>168</v>
      </c>
      <c r="AU171" s="70" t="s">
        <v>68</v>
      </c>
      <c r="AV171" s="67"/>
      <c r="AW171" s="68" t="s">
        <v>22</v>
      </c>
    </row>
    <row r="172" spans="1:49" ht="39">
      <c r="A172" s="70">
        <v>91</v>
      </c>
      <c r="B172" s="97">
        <v>95</v>
      </c>
      <c r="C172" s="91">
        <v>40</v>
      </c>
      <c r="D172" s="106" t="s">
        <v>101</v>
      </c>
      <c r="E172" s="105">
        <v>41</v>
      </c>
      <c r="F172" s="92" t="s">
        <v>110</v>
      </c>
      <c r="G172" s="182">
        <v>6</v>
      </c>
      <c r="H172" s="183" t="s">
        <v>160</v>
      </c>
      <c r="I172" s="80" t="s">
        <v>179</v>
      </c>
      <c r="J172" s="87" t="s">
        <v>180</v>
      </c>
      <c r="K172" s="178" t="s">
        <v>73</v>
      </c>
      <c r="L172" s="208" t="s">
        <v>162</v>
      </c>
      <c r="M172" s="179" t="s">
        <v>58</v>
      </c>
      <c r="N172" s="179" t="s">
        <v>76</v>
      </c>
      <c r="O172" s="93" t="s">
        <v>60</v>
      </c>
      <c r="P172" s="93" t="s">
        <v>60</v>
      </c>
      <c r="Q172" s="93" t="s">
        <v>60</v>
      </c>
      <c r="R172" s="94" t="s">
        <v>60</v>
      </c>
      <c r="S172" s="91"/>
      <c r="T172" s="91"/>
      <c r="U172" s="91"/>
      <c r="V172" s="91"/>
      <c r="W172" s="91"/>
      <c r="X172" s="91"/>
      <c r="Y172" s="91"/>
      <c r="Z172" s="103" t="s">
        <v>60</v>
      </c>
      <c r="AA172" s="103" t="s">
        <v>60</v>
      </c>
      <c r="AB172" s="103" t="s">
        <v>60</v>
      </c>
      <c r="AC172" s="95" t="s">
        <v>62</v>
      </c>
      <c r="AD172" s="70" t="s">
        <v>57</v>
      </c>
      <c r="AE172" s="95" t="s">
        <v>62</v>
      </c>
      <c r="AF172" s="70" t="s">
        <v>57</v>
      </c>
      <c r="AG172" s="70" t="s">
        <v>0</v>
      </c>
      <c r="AH172" s="70" t="s">
        <v>0</v>
      </c>
      <c r="AI172" s="70" t="s">
        <v>177</v>
      </c>
      <c r="AJ172" s="70" t="s">
        <v>164</v>
      </c>
      <c r="AK172" s="70" t="s">
        <v>165</v>
      </c>
      <c r="AL172" s="70"/>
      <c r="AM172" s="70" t="s">
        <v>104</v>
      </c>
      <c r="AN172" s="70" t="s">
        <v>104</v>
      </c>
      <c r="AO172" s="70" t="s">
        <v>166</v>
      </c>
      <c r="AP172" s="70" t="s">
        <v>158</v>
      </c>
      <c r="AQ172" s="70" t="s">
        <v>62</v>
      </c>
      <c r="AR172" s="70" t="s">
        <v>167</v>
      </c>
      <c r="AS172" s="70" t="s">
        <v>68</v>
      </c>
      <c r="AT172" s="70" t="s">
        <v>168</v>
      </c>
      <c r="AU172" s="70" t="s">
        <v>68</v>
      </c>
      <c r="AV172" s="67"/>
      <c r="AW172" s="68" t="s">
        <v>22</v>
      </c>
    </row>
    <row r="173" spans="1:49" ht="39" hidden="1">
      <c r="A173" s="70">
        <v>92</v>
      </c>
      <c r="B173" s="97">
        <v>96</v>
      </c>
      <c r="C173" s="82" t="s">
        <v>62</v>
      </c>
      <c r="D173" s="82" t="s">
        <v>62</v>
      </c>
      <c r="E173" s="82" t="s">
        <v>62</v>
      </c>
      <c r="F173" s="82" t="s">
        <v>62</v>
      </c>
      <c r="G173" s="110">
        <v>6</v>
      </c>
      <c r="H173" s="88" t="s">
        <v>160</v>
      </c>
      <c r="I173" s="83" t="s">
        <v>179</v>
      </c>
      <c r="J173" s="88" t="s">
        <v>180</v>
      </c>
      <c r="K173" s="71" t="s">
        <v>73</v>
      </c>
      <c r="L173" s="83" t="s">
        <v>162</v>
      </c>
      <c r="M173" s="83" t="s">
        <v>58</v>
      </c>
      <c r="N173" s="83" t="s">
        <v>76</v>
      </c>
      <c r="O173" s="93" t="s">
        <v>60</v>
      </c>
      <c r="P173" s="93" t="s">
        <v>60</v>
      </c>
      <c r="Q173" s="93" t="s">
        <v>60</v>
      </c>
      <c r="R173" s="94" t="s">
        <v>60</v>
      </c>
      <c r="S173" s="91"/>
      <c r="T173" s="91"/>
      <c r="U173" s="91"/>
      <c r="V173" s="91"/>
      <c r="W173" s="91"/>
      <c r="X173" s="91"/>
      <c r="Y173" s="91"/>
      <c r="Z173" s="103" t="s">
        <v>60</v>
      </c>
      <c r="AA173" s="103" t="s">
        <v>60</v>
      </c>
      <c r="AB173" s="103" t="s">
        <v>60</v>
      </c>
      <c r="AC173" s="95" t="s">
        <v>62</v>
      </c>
      <c r="AD173" s="70" t="s">
        <v>57</v>
      </c>
      <c r="AE173" s="95" t="s">
        <v>62</v>
      </c>
      <c r="AF173" s="70" t="s">
        <v>57</v>
      </c>
      <c r="AG173" s="70" t="s">
        <v>0</v>
      </c>
      <c r="AH173" s="70" t="s">
        <v>0</v>
      </c>
      <c r="AI173" s="70" t="s">
        <v>177</v>
      </c>
      <c r="AJ173" s="70" t="s">
        <v>164</v>
      </c>
      <c r="AK173" s="70" t="s">
        <v>165</v>
      </c>
      <c r="AL173" s="70"/>
      <c r="AM173" s="70" t="s">
        <v>104</v>
      </c>
      <c r="AN173" s="70" t="s">
        <v>104</v>
      </c>
      <c r="AO173" s="70" t="s">
        <v>166</v>
      </c>
      <c r="AP173" s="70" t="s">
        <v>158</v>
      </c>
      <c r="AQ173" s="70" t="s">
        <v>62</v>
      </c>
      <c r="AR173" s="70" t="s">
        <v>167</v>
      </c>
      <c r="AS173" s="70" t="s">
        <v>68</v>
      </c>
      <c r="AT173" s="70" t="s">
        <v>168</v>
      </c>
      <c r="AU173" s="70" t="s">
        <v>68</v>
      </c>
      <c r="AV173" s="67"/>
      <c r="AW173" s="68" t="s">
        <v>22</v>
      </c>
    </row>
    <row r="174" spans="1:49" ht="39">
      <c r="A174" s="70">
        <v>93</v>
      </c>
      <c r="B174" s="97">
        <v>97</v>
      </c>
      <c r="C174" s="91">
        <v>40</v>
      </c>
      <c r="D174" s="106" t="s">
        <v>101</v>
      </c>
      <c r="E174" s="105">
        <v>41</v>
      </c>
      <c r="F174" s="92" t="s">
        <v>110</v>
      </c>
      <c r="G174" s="205">
        <v>6</v>
      </c>
      <c r="H174" s="206" t="s">
        <v>160</v>
      </c>
      <c r="I174" s="80" t="s">
        <v>179</v>
      </c>
      <c r="J174" s="87" t="s">
        <v>180</v>
      </c>
      <c r="K174" s="203" t="s">
        <v>169</v>
      </c>
      <c r="L174" s="207" t="s">
        <v>57</v>
      </c>
      <c r="M174" s="204" t="s">
        <v>58</v>
      </c>
      <c r="N174" s="203" t="s">
        <v>170</v>
      </c>
      <c r="O174" s="93" t="s">
        <v>60</v>
      </c>
      <c r="P174" s="93" t="s">
        <v>60</v>
      </c>
      <c r="Q174" s="93" t="s">
        <v>60</v>
      </c>
      <c r="R174" s="94" t="s">
        <v>60</v>
      </c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70" t="s">
        <v>57</v>
      </c>
      <c r="AD174" s="70" t="s">
        <v>57</v>
      </c>
      <c r="AE174" s="70" t="s">
        <v>57</v>
      </c>
      <c r="AF174" s="95" t="s">
        <v>62</v>
      </c>
      <c r="AG174" s="70" t="s">
        <v>0</v>
      </c>
      <c r="AH174" s="70" t="s">
        <v>0</v>
      </c>
      <c r="AI174" s="70" t="s">
        <v>177</v>
      </c>
      <c r="AJ174" s="70" t="s">
        <v>164</v>
      </c>
      <c r="AK174" s="70" t="s">
        <v>165</v>
      </c>
      <c r="AL174" s="70"/>
      <c r="AM174" s="70" t="s">
        <v>104</v>
      </c>
      <c r="AN174" s="70" t="s">
        <v>104</v>
      </c>
      <c r="AO174" s="70" t="s">
        <v>171</v>
      </c>
      <c r="AP174" s="70" t="s">
        <v>67</v>
      </c>
      <c r="AQ174" s="70" t="s">
        <v>62</v>
      </c>
      <c r="AR174" s="70" t="s">
        <v>172</v>
      </c>
      <c r="AS174" s="70" t="s">
        <v>68</v>
      </c>
      <c r="AT174" s="70" t="s">
        <v>168</v>
      </c>
      <c r="AU174" s="70" t="s">
        <v>68</v>
      </c>
      <c r="AV174" s="67"/>
      <c r="AW174" s="68" t="s">
        <v>22</v>
      </c>
    </row>
    <row r="175" spans="1:49" ht="39">
      <c r="A175" s="1354">
        <v>94</v>
      </c>
      <c r="B175" s="1357">
        <v>98</v>
      </c>
      <c r="C175" s="91">
        <v>40</v>
      </c>
      <c r="D175" s="106" t="s">
        <v>101</v>
      </c>
      <c r="E175" s="105">
        <v>33</v>
      </c>
      <c r="F175" s="92" t="s">
        <v>102</v>
      </c>
      <c r="G175" s="182">
        <v>6</v>
      </c>
      <c r="H175" s="183" t="s">
        <v>160</v>
      </c>
      <c r="I175" s="80" t="s">
        <v>181</v>
      </c>
      <c r="J175" s="87" t="s">
        <v>102</v>
      </c>
      <c r="K175" s="178" t="s">
        <v>73</v>
      </c>
      <c r="L175" s="208" t="s">
        <v>162</v>
      </c>
      <c r="M175" s="179" t="s">
        <v>58</v>
      </c>
      <c r="N175" s="179" t="s">
        <v>76</v>
      </c>
      <c r="O175" s="93" t="s">
        <v>60</v>
      </c>
      <c r="P175" s="93" t="s">
        <v>60</v>
      </c>
      <c r="Q175" s="93" t="s">
        <v>60</v>
      </c>
      <c r="R175" s="94" t="s">
        <v>60</v>
      </c>
      <c r="S175" s="91"/>
      <c r="T175" s="91"/>
      <c r="U175" s="91"/>
      <c r="V175" s="91"/>
      <c r="W175" s="91"/>
      <c r="X175" s="91"/>
      <c r="Y175" s="91"/>
      <c r="Z175" s="103" t="s">
        <v>60</v>
      </c>
      <c r="AA175" s="103" t="s">
        <v>60</v>
      </c>
      <c r="AB175" s="103" t="s">
        <v>60</v>
      </c>
      <c r="AC175" s="95" t="s">
        <v>62</v>
      </c>
      <c r="AD175" s="70" t="s">
        <v>57</v>
      </c>
      <c r="AE175" s="95" t="s">
        <v>62</v>
      </c>
      <c r="AF175" s="70" t="s">
        <v>57</v>
      </c>
      <c r="AG175" s="70" t="s">
        <v>0</v>
      </c>
      <c r="AH175" s="70" t="s">
        <v>0</v>
      </c>
      <c r="AI175" s="70" t="s">
        <v>177</v>
      </c>
      <c r="AJ175" s="70" t="s">
        <v>164</v>
      </c>
      <c r="AK175" s="70" t="s">
        <v>165</v>
      </c>
      <c r="AL175" s="70"/>
      <c r="AM175" s="70" t="s">
        <v>104</v>
      </c>
      <c r="AN175" s="70" t="s">
        <v>104</v>
      </c>
      <c r="AO175" s="70" t="s">
        <v>65</v>
      </c>
      <c r="AP175" s="70" t="s">
        <v>158</v>
      </c>
      <c r="AQ175" s="70" t="s">
        <v>68</v>
      </c>
      <c r="AR175" s="70" t="s">
        <v>167</v>
      </c>
      <c r="AS175" s="70" t="s">
        <v>68</v>
      </c>
      <c r="AT175" s="70" t="s">
        <v>182</v>
      </c>
      <c r="AU175" s="70" t="s">
        <v>68</v>
      </c>
      <c r="AV175" s="67"/>
      <c r="AW175" s="68" t="s">
        <v>22</v>
      </c>
    </row>
    <row r="176" spans="1:49" ht="39">
      <c r="A176" s="1356"/>
      <c r="B176" s="1358"/>
      <c r="C176" s="91">
        <v>40</v>
      </c>
      <c r="D176" s="106" t="s">
        <v>101</v>
      </c>
      <c r="E176" s="105">
        <v>33</v>
      </c>
      <c r="F176" s="92" t="s">
        <v>102</v>
      </c>
      <c r="G176" s="182">
        <v>6</v>
      </c>
      <c r="H176" s="183" t="s">
        <v>160</v>
      </c>
      <c r="I176" s="80" t="s">
        <v>181</v>
      </c>
      <c r="J176" s="87" t="s">
        <v>102</v>
      </c>
      <c r="K176" s="178" t="s">
        <v>73</v>
      </c>
      <c r="L176" s="208" t="s">
        <v>162</v>
      </c>
      <c r="M176" s="179" t="s">
        <v>58</v>
      </c>
      <c r="N176" s="179" t="s">
        <v>76</v>
      </c>
      <c r="O176" s="93" t="s">
        <v>60</v>
      </c>
      <c r="P176" s="93" t="s">
        <v>60</v>
      </c>
      <c r="Q176" s="93" t="s">
        <v>60</v>
      </c>
      <c r="R176" s="94" t="s">
        <v>60</v>
      </c>
      <c r="S176" s="91"/>
      <c r="T176" s="91"/>
      <c r="U176" s="91"/>
      <c r="V176" s="91"/>
      <c r="W176" s="91"/>
      <c r="X176" s="91"/>
      <c r="Y176" s="91"/>
      <c r="Z176" s="103" t="s">
        <v>60</v>
      </c>
      <c r="AA176" s="103" t="s">
        <v>60</v>
      </c>
      <c r="AB176" s="103" t="s">
        <v>60</v>
      </c>
      <c r="AC176" s="95" t="s">
        <v>62</v>
      </c>
      <c r="AD176" s="70" t="s">
        <v>57</v>
      </c>
      <c r="AE176" s="95" t="s">
        <v>62</v>
      </c>
      <c r="AF176" s="70" t="s">
        <v>57</v>
      </c>
      <c r="AG176" s="70" t="s">
        <v>71</v>
      </c>
      <c r="AH176" s="96" t="s">
        <v>62</v>
      </c>
      <c r="AI176" s="70" t="s">
        <v>177</v>
      </c>
      <c r="AJ176" s="70" t="s">
        <v>164</v>
      </c>
      <c r="AK176" s="70" t="s">
        <v>165</v>
      </c>
      <c r="AL176" s="70"/>
      <c r="AM176" s="70" t="s">
        <v>71</v>
      </c>
      <c r="AN176" s="70" t="s">
        <v>71</v>
      </c>
      <c r="AO176" s="70" t="s">
        <v>65</v>
      </c>
      <c r="AP176" s="70" t="s">
        <v>71</v>
      </c>
      <c r="AQ176" s="71" t="s">
        <v>105</v>
      </c>
      <c r="AR176" s="70" t="s">
        <v>108</v>
      </c>
      <c r="AS176" s="70" t="s">
        <v>183</v>
      </c>
      <c r="AT176" s="70" t="s">
        <v>182</v>
      </c>
      <c r="AU176" s="70" t="s">
        <v>68</v>
      </c>
      <c r="AV176" s="67"/>
      <c r="AW176" s="68" t="s">
        <v>22</v>
      </c>
    </row>
    <row r="177" spans="1:49" ht="39" hidden="1">
      <c r="A177" s="1354">
        <v>95</v>
      </c>
      <c r="B177" s="1357">
        <v>99</v>
      </c>
      <c r="C177" s="82" t="s">
        <v>62</v>
      </c>
      <c r="D177" s="82" t="s">
        <v>62</v>
      </c>
      <c r="E177" s="82" t="s">
        <v>62</v>
      </c>
      <c r="F177" s="82" t="s">
        <v>62</v>
      </c>
      <c r="G177" s="110">
        <v>6</v>
      </c>
      <c r="H177" s="88" t="s">
        <v>160</v>
      </c>
      <c r="I177" s="83" t="s">
        <v>181</v>
      </c>
      <c r="J177" s="88" t="s">
        <v>102</v>
      </c>
      <c r="K177" s="71" t="s">
        <v>73</v>
      </c>
      <c r="L177" s="83" t="s">
        <v>162</v>
      </c>
      <c r="M177" s="83" t="s">
        <v>58</v>
      </c>
      <c r="N177" s="83" t="s">
        <v>76</v>
      </c>
      <c r="O177" s="93" t="s">
        <v>60</v>
      </c>
      <c r="P177" s="93" t="s">
        <v>60</v>
      </c>
      <c r="Q177" s="93" t="s">
        <v>60</v>
      </c>
      <c r="R177" s="94" t="s">
        <v>60</v>
      </c>
      <c r="S177" s="91"/>
      <c r="T177" s="91"/>
      <c r="U177" s="91"/>
      <c r="V177" s="91"/>
      <c r="W177" s="91"/>
      <c r="X177" s="91"/>
      <c r="Y177" s="91"/>
      <c r="Z177" s="103" t="s">
        <v>60</v>
      </c>
      <c r="AA177" s="103" t="s">
        <v>60</v>
      </c>
      <c r="AB177" s="103" t="s">
        <v>60</v>
      </c>
      <c r="AC177" s="95" t="s">
        <v>62</v>
      </c>
      <c r="AD177" s="70" t="s">
        <v>57</v>
      </c>
      <c r="AE177" s="95" t="s">
        <v>62</v>
      </c>
      <c r="AF177" s="70" t="s">
        <v>57</v>
      </c>
      <c r="AG177" s="70" t="s">
        <v>0</v>
      </c>
      <c r="AH177" s="70" t="s">
        <v>0</v>
      </c>
      <c r="AI177" s="70" t="s">
        <v>177</v>
      </c>
      <c r="AJ177" s="70" t="s">
        <v>164</v>
      </c>
      <c r="AK177" s="70" t="s">
        <v>165</v>
      </c>
      <c r="AL177" s="70"/>
      <c r="AM177" s="70" t="s">
        <v>104</v>
      </c>
      <c r="AN177" s="70" t="s">
        <v>104</v>
      </c>
      <c r="AO177" s="70" t="s">
        <v>65</v>
      </c>
      <c r="AP177" s="70" t="s">
        <v>158</v>
      </c>
      <c r="AQ177" s="70" t="s">
        <v>68</v>
      </c>
      <c r="AR177" s="70" t="s">
        <v>172</v>
      </c>
      <c r="AS177" s="70" t="s">
        <v>68</v>
      </c>
      <c r="AT177" s="70" t="s">
        <v>182</v>
      </c>
      <c r="AU177" s="70" t="s">
        <v>68</v>
      </c>
      <c r="AV177" s="67"/>
      <c r="AW177" s="68" t="s">
        <v>22</v>
      </c>
    </row>
    <row r="178" spans="1:49" ht="39" hidden="1">
      <c r="A178" s="1356"/>
      <c r="B178" s="1358"/>
      <c r="C178" s="82" t="s">
        <v>62</v>
      </c>
      <c r="D178" s="82" t="s">
        <v>62</v>
      </c>
      <c r="E178" s="82" t="s">
        <v>62</v>
      </c>
      <c r="F178" s="82" t="s">
        <v>62</v>
      </c>
      <c r="G178" s="110">
        <v>6</v>
      </c>
      <c r="H178" s="88" t="s">
        <v>160</v>
      </c>
      <c r="I178" s="83" t="s">
        <v>181</v>
      </c>
      <c r="J178" s="88" t="s">
        <v>102</v>
      </c>
      <c r="K178" s="71" t="s">
        <v>73</v>
      </c>
      <c r="L178" s="83" t="s">
        <v>162</v>
      </c>
      <c r="M178" s="83" t="s">
        <v>58</v>
      </c>
      <c r="N178" s="83" t="s">
        <v>76</v>
      </c>
      <c r="O178" s="93" t="s">
        <v>60</v>
      </c>
      <c r="P178" s="93" t="s">
        <v>60</v>
      </c>
      <c r="Q178" s="93" t="s">
        <v>60</v>
      </c>
      <c r="R178" s="94" t="s">
        <v>60</v>
      </c>
      <c r="S178" s="91"/>
      <c r="T178" s="91"/>
      <c r="U178" s="91"/>
      <c r="V178" s="91"/>
      <c r="W178" s="91"/>
      <c r="X178" s="91"/>
      <c r="Y178" s="91"/>
      <c r="Z178" s="103" t="s">
        <v>60</v>
      </c>
      <c r="AA178" s="103" t="s">
        <v>60</v>
      </c>
      <c r="AB178" s="103" t="s">
        <v>60</v>
      </c>
      <c r="AC178" s="95" t="s">
        <v>62</v>
      </c>
      <c r="AD178" s="70" t="s">
        <v>57</v>
      </c>
      <c r="AE178" s="95" t="s">
        <v>62</v>
      </c>
      <c r="AF178" s="70" t="s">
        <v>57</v>
      </c>
      <c r="AG178" s="70" t="s">
        <v>71</v>
      </c>
      <c r="AH178" s="96" t="s">
        <v>62</v>
      </c>
      <c r="AI178" s="70" t="s">
        <v>177</v>
      </c>
      <c r="AJ178" s="70" t="s">
        <v>164</v>
      </c>
      <c r="AK178" s="70" t="s">
        <v>165</v>
      </c>
      <c r="AL178" s="70"/>
      <c r="AM178" s="70" t="s">
        <v>71</v>
      </c>
      <c r="AN178" s="70" t="s">
        <v>71</v>
      </c>
      <c r="AO178" s="70" t="s">
        <v>65</v>
      </c>
      <c r="AP178" s="70" t="s">
        <v>71</v>
      </c>
      <c r="AQ178" s="71" t="s">
        <v>105</v>
      </c>
      <c r="AR178" s="70" t="s">
        <v>108</v>
      </c>
      <c r="AS178" s="70" t="s">
        <v>183</v>
      </c>
      <c r="AT178" s="70" t="s">
        <v>182</v>
      </c>
      <c r="AU178" s="70" t="s">
        <v>68</v>
      </c>
      <c r="AV178" s="67"/>
      <c r="AW178" s="68" t="s">
        <v>22</v>
      </c>
    </row>
    <row r="179" spans="1:49" ht="39">
      <c r="A179" s="1354">
        <v>96</v>
      </c>
      <c r="B179" s="1357">
        <v>100</v>
      </c>
      <c r="C179" s="91">
        <v>40</v>
      </c>
      <c r="D179" s="106" t="s">
        <v>101</v>
      </c>
      <c r="E179" s="105">
        <v>33</v>
      </c>
      <c r="F179" s="92" t="s">
        <v>102</v>
      </c>
      <c r="G179" s="205">
        <v>6</v>
      </c>
      <c r="H179" s="206" t="s">
        <v>160</v>
      </c>
      <c r="I179" s="80" t="s">
        <v>181</v>
      </c>
      <c r="J179" s="87" t="s">
        <v>102</v>
      </c>
      <c r="K179" s="203" t="s">
        <v>169</v>
      </c>
      <c r="L179" s="207" t="s">
        <v>57</v>
      </c>
      <c r="M179" s="204" t="s">
        <v>58</v>
      </c>
      <c r="N179" s="203" t="s">
        <v>170</v>
      </c>
      <c r="O179" s="93" t="s">
        <v>60</v>
      </c>
      <c r="P179" s="93" t="s">
        <v>60</v>
      </c>
      <c r="Q179" s="93" t="s">
        <v>60</v>
      </c>
      <c r="R179" s="94" t="s">
        <v>60</v>
      </c>
      <c r="S179" s="91"/>
      <c r="T179" s="91"/>
      <c r="U179" s="91"/>
      <c r="V179" s="91"/>
      <c r="W179" s="91"/>
      <c r="X179" s="91"/>
      <c r="Y179" s="91"/>
      <c r="Z179" s="91"/>
      <c r="AA179" s="91"/>
      <c r="AB179" s="91"/>
      <c r="AC179" s="70" t="s">
        <v>57</v>
      </c>
      <c r="AD179" s="70" t="s">
        <v>57</v>
      </c>
      <c r="AE179" s="70" t="s">
        <v>57</v>
      </c>
      <c r="AF179" s="95" t="s">
        <v>62</v>
      </c>
      <c r="AG179" s="70" t="s">
        <v>0</v>
      </c>
      <c r="AH179" s="70" t="s">
        <v>0</v>
      </c>
      <c r="AI179" s="70" t="s">
        <v>177</v>
      </c>
      <c r="AJ179" s="70" t="s">
        <v>164</v>
      </c>
      <c r="AK179" s="70" t="s">
        <v>165</v>
      </c>
      <c r="AL179" s="70"/>
      <c r="AM179" s="70" t="s">
        <v>104</v>
      </c>
      <c r="AN179" s="70" t="s">
        <v>104</v>
      </c>
      <c r="AO179" s="70" t="s">
        <v>65</v>
      </c>
      <c r="AP179" s="70" t="s">
        <v>67</v>
      </c>
      <c r="AQ179" s="70" t="s">
        <v>68</v>
      </c>
      <c r="AR179" s="70" t="s">
        <v>172</v>
      </c>
      <c r="AS179" s="70" t="s">
        <v>68</v>
      </c>
      <c r="AT179" s="70" t="s">
        <v>182</v>
      </c>
      <c r="AU179" s="70" t="s">
        <v>68</v>
      </c>
      <c r="AV179" s="67"/>
      <c r="AW179" s="68" t="s">
        <v>22</v>
      </c>
    </row>
    <row r="180" spans="1:49" ht="39">
      <c r="A180" s="1355"/>
      <c r="B180" s="1359"/>
      <c r="C180" s="91">
        <v>40</v>
      </c>
      <c r="D180" s="106" t="s">
        <v>101</v>
      </c>
      <c r="E180" s="105">
        <v>33</v>
      </c>
      <c r="F180" s="92" t="s">
        <v>102</v>
      </c>
      <c r="G180" s="205">
        <v>6</v>
      </c>
      <c r="H180" s="206" t="s">
        <v>160</v>
      </c>
      <c r="I180" s="80" t="s">
        <v>181</v>
      </c>
      <c r="J180" s="87" t="s">
        <v>102</v>
      </c>
      <c r="K180" s="203" t="s">
        <v>169</v>
      </c>
      <c r="L180" s="207" t="s">
        <v>57</v>
      </c>
      <c r="M180" s="204" t="s">
        <v>58</v>
      </c>
      <c r="N180" s="203" t="s">
        <v>170</v>
      </c>
      <c r="O180" s="93" t="s">
        <v>60</v>
      </c>
      <c r="P180" s="93" t="s">
        <v>60</v>
      </c>
      <c r="Q180" s="93" t="s">
        <v>60</v>
      </c>
      <c r="R180" s="94" t="s">
        <v>60</v>
      </c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70" t="s">
        <v>57</v>
      </c>
      <c r="AD180" s="70" t="s">
        <v>57</v>
      </c>
      <c r="AE180" s="70" t="s">
        <v>57</v>
      </c>
      <c r="AF180" s="95" t="s">
        <v>62</v>
      </c>
      <c r="AG180" s="70" t="s">
        <v>1</v>
      </c>
      <c r="AH180" s="96" t="s">
        <v>62</v>
      </c>
      <c r="AI180" s="70" t="s">
        <v>177</v>
      </c>
      <c r="AJ180" s="70" t="s">
        <v>164</v>
      </c>
      <c r="AK180" s="70" t="s">
        <v>165</v>
      </c>
      <c r="AL180" s="70"/>
      <c r="AM180" s="70" t="s">
        <v>104</v>
      </c>
      <c r="AN180" s="70" t="s">
        <v>104</v>
      </c>
      <c r="AO180" s="70" t="s">
        <v>65</v>
      </c>
      <c r="AP180" s="70" t="s">
        <v>67</v>
      </c>
      <c r="AQ180" s="70" t="s">
        <v>68</v>
      </c>
      <c r="AR180" s="70" t="s">
        <v>172</v>
      </c>
      <c r="AS180" s="70" t="s">
        <v>68</v>
      </c>
      <c r="AT180" s="70" t="s">
        <v>182</v>
      </c>
      <c r="AU180" s="70" t="s">
        <v>68</v>
      </c>
      <c r="AV180" s="67"/>
      <c r="AW180" s="68" t="s">
        <v>22</v>
      </c>
    </row>
    <row r="181" spans="1:49" ht="39">
      <c r="A181" s="1356"/>
      <c r="B181" s="1358"/>
      <c r="C181" s="91">
        <v>40</v>
      </c>
      <c r="D181" s="106" t="s">
        <v>101</v>
      </c>
      <c r="E181" s="105">
        <v>33</v>
      </c>
      <c r="F181" s="92" t="s">
        <v>102</v>
      </c>
      <c r="G181" s="205">
        <v>6</v>
      </c>
      <c r="H181" s="206" t="s">
        <v>160</v>
      </c>
      <c r="I181" s="80" t="s">
        <v>181</v>
      </c>
      <c r="J181" s="87" t="s">
        <v>102</v>
      </c>
      <c r="K181" s="203" t="s">
        <v>169</v>
      </c>
      <c r="L181" s="207" t="s">
        <v>57</v>
      </c>
      <c r="M181" s="204" t="s">
        <v>58</v>
      </c>
      <c r="N181" s="203" t="s">
        <v>170</v>
      </c>
      <c r="O181" s="93" t="s">
        <v>60</v>
      </c>
      <c r="P181" s="93" t="s">
        <v>60</v>
      </c>
      <c r="Q181" s="93" t="s">
        <v>60</v>
      </c>
      <c r="R181" s="94" t="s">
        <v>60</v>
      </c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70" t="s">
        <v>57</v>
      </c>
      <c r="AD181" s="70" t="s">
        <v>57</v>
      </c>
      <c r="AE181" s="70" t="s">
        <v>57</v>
      </c>
      <c r="AF181" s="95" t="s">
        <v>62</v>
      </c>
      <c r="AG181" s="70" t="s">
        <v>71</v>
      </c>
      <c r="AH181" s="96" t="s">
        <v>62</v>
      </c>
      <c r="AI181" s="70" t="s">
        <v>177</v>
      </c>
      <c r="AJ181" s="70" t="s">
        <v>164</v>
      </c>
      <c r="AK181" s="70" t="s">
        <v>165</v>
      </c>
      <c r="AL181" s="70"/>
      <c r="AM181" s="70" t="s">
        <v>104</v>
      </c>
      <c r="AN181" s="70" t="s">
        <v>104</v>
      </c>
      <c r="AO181" s="70" t="s">
        <v>65</v>
      </c>
      <c r="AP181" s="70" t="s">
        <v>67</v>
      </c>
      <c r="AQ181" s="70" t="s">
        <v>68</v>
      </c>
      <c r="AR181" s="70" t="s">
        <v>172</v>
      </c>
      <c r="AS181" s="70" t="s">
        <v>68</v>
      </c>
      <c r="AT181" s="70" t="s">
        <v>182</v>
      </c>
      <c r="AU181" s="70" t="s">
        <v>68</v>
      </c>
      <c r="AV181" s="67"/>
      <c r="AW181" s="68" t="s">
        <v>22</v>
      </c>
    </row>
    <row r="182" spans="1:49" ht="39">
      <c r="A182" s="1354">
        <v>97</v>
      </c>
      <c r="B182" s="70">
        <v>101</v>
      </c>
      <c r="C182" s="91">
        <v>30</v>
      </c>
      <c r="D182" s="70" t="s">
        <v>118</v>
      </c>
      <c r="E182" s="113">
        <v>63</v>
      </c>
      <c r="F182" s="113" t="s">
        <v>184</v>
      </c>
      <c r="G182" s="109">
        <v>9</v>
      </c>
      <c r="H182" s="87" t="s">
        <v>185</v>
      </c>
      <c r="I182" s="84" t="s">
        <v>186</v>
      </c>
      <c r="J182" s="87" t="s">
        <v>187</v>
      </c>
      <c r="K182" s="95" t="s">
        <v>62</v>
      </c>
      <c r="L182" s="86" t="s">
        <v>74</v>
      </c>
      <c r="M182" s="85" t="s">
        <v>75</v>
      </c>
      <c r="N182" s="86" t="s">
        <v>188</v>
      </c>
      <c r="O182" s="93" t="s">
        <v>60</v>
      </c>
      <c r="P182" s="93" t="s">
        <v>60</v>
      </c>
      <c r="Q182" s="93" t="s">
        <v>60</v>
      </c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  <c r="AC182" s="70" t="s">
        <v>57</v>
      </c>
      <c r="AD182" s="70" t="s">
        <v>57</v>
      </c>
      <c r="AE182" s="70" t="s">
        <v>57</v>
      </c>
      <c r="AF182" s="95" t="s">
        <v>62</v>
      </c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67"/>
      <c r="AW182" s="68" t="s">
        <v>22</v>
      </c>
    </row>
    <row r="183" spans="1:49" ht="39">
      <c r="A183" s="1355"/>
      <c r="B183" s="70">
        <v>102</v>
      </c>
      <c r="C183" s="91">
        <v>30</v>
      </c>
      <c r="D183" s="70" t="s">
        <v>118</v>
      </c>
      <c r="E183" s="113">
        <v>81</v>
      </c>
      <c r="F183" s="113" t="s">
        <v>189</v>
      </c>
      <c r="G183" s="109">
        <v>9</v>
      </c>
      <c r="H183" s="87" t="s">
        <v>185</v>
      </c>
      <c r="I183" s="84" t="s">
        <v>190</v>
      </c>
      <c r="J183" s="87" t="s">
        <v>191</v>
      </c>
      <c r="K183" s="95" t="s">
        <v>62</v>
      </c>
      <c r="L183" s="86" t="s">
        <v>74</v>
      </c>
      <c r="M183" s="85" t="s">
        <v>75</v>
      </c>
      <c r="N183" s="86" t="s">
        <v>188</v>
      </c>
      <c r="O183" s="93" t="s">
        <v>60</v>
      </c>
      <c r="P183" s="93" t="s">
        <v>60</v>
      </c>
      <c r="Q183" s="93" t="s">
        <v>60</v>
      </c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  <c r="AC183" s="70" t="s">
        <v>57</v>
      </c>
      <c r="AD183" s="70" t="s">
        <v>57</v>
      </c>
      <c r="AE183" s="70" t="s">
        <v>57</v>
      </c>
      <c r="AF183" s="95" t="s">
        <v>62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67"/>
      <c r="AW183" s="68" t="s">
        <v>22</v>
      </c>
    </row>
    <row r="184" spans="1:49" ht="39">
      <c r="A184" s="1356"/>
      <c r="B184" s="70">
        <v>103</v>
      </c>
      <c r="C184" s="91">
        <v>30</v>
      </c>
      <c r="D184" s="70" t="s">
        <v>118</v>
      </c>
      <c r="E184" s="113">
        <v>91</v>
      </c>
      <c r="F184" s="113" t="s">
        <v>192</v>
      </c>
      <c r="G184" s="109">
        <v>9</v>
      </c>
      <c r="H184" s="87" t="s">
        <v>185</v>
      </c>
      <c r="I184" s="84" t="s">
        <v>193</v>
      </c>
      <c r="J184" s="87" t="s">
        <v>192</v>
      </c>
      <c r="K184" s="95" t="s">
        <v>62</v>
      </c>
      <c r="L184" s="86" t="s">
        <v>74</v>
      </c>
      <c r="M184" s="85" t="s">
        <v>75</v>
      </c>
      <c r="N184" s="86" t="s">
        <v>188</v>
      </c>
      <c r="O184" s="93" t="s">
        <v>60</v>
      </c>
      <c r="P184" s="93" t="s">
        <v>60</v>
      </c>
      <c r="Q184" s="93" t="s">
        <v>60</v>
      </c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70" t="s">
        <v>57</v>
      </c>
      <c r="AD184" s="70" t="s">
        <v>57</v>
      </c>
      <c r="AE184" s="70" t="s">
        <v>57</v>
      </c>
      <c r="AF184" s="95" t="s">
        <v>62</v>
      </c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67"/>
      <c r="AW184" s="68" t="s">
        <v>22</v>
      </c>
    </row>
    <row r="185" spans="1:49" ht="39">
      <c r="A185" s="1354">
        <v>98</v>
      </c>
      <c r="B185" s="70">
        <v>104</v>
      </c>
      <c r="C185" s="91">
        <v>30</v>
      </c>
      <c r="D185" s="70" t="s">
        <v>118</v>
      </c>
      <c r="E185" s="113">
        <v>92</v>
      </c>
      <c r="F185" s="113" t="s">
        <v>194</v>
      </c>
      <c r="G185" s="109">
        <v>9</v>
      </c>
      <c r="H185" s="87" t="s">
        <v>185</v>
      </c>
      <c r="I185" s="84" t="s">
        <v>195</v>
      </c>
      <c r="J185" s="87" t="s">
        <v>194</v>
      </c>
      <c r="K185" s="95" t="s">
        <v>62</v>
      </c>
      <c r="L185" s="86" t="s">
        <v>74</v>
      </c>
      <c r="M185" s="85" t="s">
        <v>75</v>
      </c>
      <c r="N185" s="86" t="s">
        <v>188</v>
      </c>
      <c r="O185" s="93" t="s">
        <v>60</v>
      </c>
      <c r="P185" s="93" t="s">
        <v>60</v>
      </c>
      <c r="Q185" s="93" t="s">
        <v>60</v>
      </c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70" t="s">
        <v>57</v>
      </c>
      <c r="AD185" s="70" t="s">
        <v>57</v>
      </c>
      <c r="AE185" s="70" t="s">
        <v>57</v>
      </c>
      <c r="AF185" s="95" t="s">
        <v>62</v>
      </c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W185" s="68" t="s">
        <v>22</v>
      </c>
    </row>
    <row r="186" spans="1:49" ht="39" hidden="1">
      <c r="A186" s="1355"/>
      <c r="B186" s="70">
        <v>105</v>
      </c>
      <c r="C186" s="82" t="s">
        <v>62</v>
      </c>
      <c r="D186" s="82" t="s">
        <v>62</v>
      </c>
      <c r="E186" s="82" t="s">
        <v>62</v>
      </c>
      <c r="F186" s="82" t="s">
        <v>62</v>
      </c>
      <c r="G186" s="110">
        <v>9</v>
      </c>
      <c r="H186" s="88" t="s">
        <v>185</v>
      </c>
      <c r="I186" s="83">
        <v>904</v>
      </c>
      <c r="J186" s="88" t="s">
        <v>196</v>
      </c>
      <c r="K186" s="112" t="s">
        <v>62</v>
      </c>
      <c r="L186" s="86" t="s">
        <v>74</v>
      </c>
      <c r="M186" s="85" t="s">
        <v>75</v>
      </c>
      <c r="N186" s="82" t="s">
        <v>62</v>
      </c>
      <c r="O186" s="93" t="s">
        <v>60</v>
      </c>
      <c r="P186" s="93" t="s">
        <v>60</v>
      </c>
      <c r="Q186" s="93" t="s">
        <v>60</v>
      </c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  <c r="AC186" s="70" t="s">
        <v>57</v>
      </c>
      <c r="AD186" s="70" t="s">
        <v>57</v>
      </c>
      <c r="AE186" s="70" t="s">
        <v>57</v>
      </c>
      <c r="AF186" s="95" t="s">
        <v>62</v>
      </c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W186" s="68" t="s">
        <v>22</v>
      </c>
    </row>
    <row r="187" spans="1:49" ht="39" hidden="1">
      <c r="A187" s="1356"/>
      <c r="B187" s="70">
        <v>106</v>
      </c>
      <c r="C187" s="82" t="s">
        <v>62</v>
      </c>
      <c r="D187" s="82" t="s">
        <v>62</v>
      </c>
      <c r="E187" s="82" t="s">
        <v>62</v>
      </c>
      <c r="F187" s="82" t="s">
        <v>62</v>
      </c>
      <c r="G187" s="110">
        <v>9</v>
      </c>
      <c r="H187" s="88" t="s">
        <v>185</v>
      </c>
      <c r="I187" s="83">
        <v>905</v>
      </c>
      <c r="J187" s="88" t="s">
        <v>197</v>
      </c>
      <c r="K187" s="112" t="s">
        <v>62</v>
      </c>
      <c r="L187" s="86" t="s">
        <v>74</v>
      </c>
      <c r="M187" s="85" t="s">
        <v>75</v>
      </c>
      <c r="N187" s="82" t="s">
        <v>62</v>
      </c>
      <c r="O187" s="93" t="s">
        <v>60</v>
      </c>
      <c r="P187" s="93" t="s">
        <v>60</v>
      </c>
      <c r="Q187" s="93" t="s">
        <v>60</v>
      </c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  <c r="AC187" s="70" t="s">
        <v>57</v>
      </c>
      <c r="AD187" s="70" t="s">
        <v>57</v>
      </c>
      <c r="AE187" s="70" t="s">
        <v>57</v>
      </c>
      <c r="AF187" s="95" t="s">
        <v>62</v>
      </c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W187" s="68" t="s">
        <v>22</v>
      </c>
    </row>
    <row r="188" spans="1:49" ht="39" hidden="1">
      <c r="A188" s="1354">
        <v>99</v>
      </c>
      <c r="B188" s="70">
        <v>107</v>
      </c>
      <c r="C188" s="82" t="s">
        <v>62</v>
      </c>
      <c r="D188" s="82" t="s">
        <v>62</v>
      </c>
      <c r="E188" s="82" t="s">
        <v>62</v>
      </c>
      <c r="F188" s="82" t="s">
        <v>62</v>
      </c>
      <c r="G188" s="110">
        <v>9</v>
      </c>
      <c r="H188" s="88" t="s">
        <v>185</v>
      </c>
      <c r="I188" s="83">
        <v>906</v>
      </c>
      <c r="J188" s="88" t="s">
        <v>198</v>
      </c>
      <c r="K188" s="112" t="s">
        <v>62</v>
      </c>
      <c r="L188" s="86" t="s">
        <v>74</v>
      </c>
      <c r="M188" s="85" t="s">
        <v>75</v>
      </c>
      <c r="N188" s="82" t="s">
        <v>62</v>
      </c>
      <c r="O188" s="93" t="s">
        <v>60</v>
      </c>
      <c r="P188" s="93" t="s">
        <v>60</v>
      </c>
      <c r="Q188" s="93" t="s">
        <v>60</v>
      </c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  <c r="AC188" s="70" t="s">
        <v>57</v>
      </c>
      <c r="AD188" s="70" t="s">
        <v>57</v>
      </c>
      <c r="AE188" s="70" t="s">
        <v>57</v>
      </c>
      <c r="AF188" s="95" t="s">
        <v>62</v>
      </c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W188" s="68" t="s">
        <v>22</v>
      </c>
    </row>
    <row r="189" spans="1:49" ht="39" hidden="1">
      <c r="A189" s="1355"/>
      <c r="B189" s="70">
        <v>108</v>
      </c>
      <c r="C189" s="82" t="s">
        <v>62</v>
      </c>
      <c r="D189" s="82" t="s">
        <v>62</v>
      </c>
      <c r="E189" s="82" t="s">
        <v>62</v>
      </c>
      <c r="F189" s="82" t="s">
        <v>62</v>
      </c>
      <c r="G189" s="110">
        <v>9</v>
      </c>
      <c r="H189" s="88" t="s">
        <v>185</v>
      </c>
      <c r="I189" s="83">
        <v>907</v>
      </c>
      <c r="J189" s="88" t="s">
        <v>199</v>
      </c>
      <c r="K189" s="112" t="s">
        <v>62</v>
      </c>
      <c r="L189" s="86" t="s">
        <v>74</v>
      </c>
      <c r="M189" s="85" t="s">
        <v>75</v>
      </c>
      <c r="N189" s="82" t="s">
        <v>62</v>
      </c>
      <c r="O189" s="93" t="s">
        <v>60</v>
      </c>
      <c r="P189" s="93" t="s">
        <v>60</v>
      </c>
      <c r="Q189" s="93" t="s">
        <v>60</v>
      </c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70" t="s">
        <v>57</v>
      </c>
      <c r="AD189" s="70" t="s">
        <v>57</v>
      </c>
      <c r="AE189" s="70" t="s">
        <v>57</v>
      </c>
      <c r="AF189" s="95" t="s">
        <v>62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W189" s="68" t="s">
        <v>22</v>
      </c>
    </row>
    <row r="190" spans="1:49" ht="39" hidden="1">
      <c r="A190" s="1356"/>
      <c r="B190" s="70">
        <v>109</v>
      </c>
      <c r="C190" s="82" t="s">
        <v>62</v>
      </c>
      <c r="D190" s="82" t="s">
        <v>62</v>
      </c>
      <c r="E190" s="82" t="s">
        <v>62</v>
      </c>
      <c r="F190" s="82" t="s">
        <v>62</v>
      </c>
      <c r="G190" s="110">
        <v>9</v>
      </c>
      <c r="H190" s="88" t="s">
        <v>185</v>
      </c>
      <c r="I190" s="83" t="s">
        <v>200</v>
      </c>
      <c r="J190" s="88" t="s">
        <v>201</v>
      </c>
      <c r="K190" s="112" t="s">
        <v>62</v>
      </c>
      <c r="L190" s="86" t="s">
        <v>74</v>
      </c>
      <c r="M190" s="85" t="s">
        <v>75</v>
      </c>
      <c r="N190" s="82" t="s">
        <v>62</v>
      </c>
      <c r="O190" s="93" t="s">
        <v>60</v>
      </c>
      <c r="P190" s="93" t="s">
        <v>60</v>
      </c>
      <c r="Q190" s="93" t="s">
        <v>60</v>
      </c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  <c r="AC190" s="70" t="s">
        <v>57</v>
      </c>
      <c r="AD190" s="70" t="s">
        <v>57</v>
      </c>
      <c r="AE190" s="70" t="s">
        <v>57</v>
      </c>
      <c r="AF190" s="95" t="s">
        <v>62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W190" s="68" t="s">
        <v>22</v>
      </c>
    </row>
    <row r="191" spans="1:49">
      <c r="B191" s="67"/>
      <c r="C191" s="114"/>
      <c r="D191" s="67"/>
      <c r="E191" s="67"/>
      <c r="F191" s="67"/>
      <c r="G191" s="114"/>
      <c r="H191" s="67"/>
      <c r="I191" s="67"/>
      <c r="J191" s="67"/>
      <c r="K191" s="67"/>
      <c r="L191" s="67"/>
      <c r="M191" s="67"/>
      <c r="N191" s="67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</row>
    <row r="192" spans="1:49">
      <c r="B192" s="67"/>
      <c r="C192" s="114"/>
      <c r="D192" s="67"/>
      <c r="E192" s="67"/>
      <c r="F192" s="67"/>
      <c r="G192" s="114"/>
      <c r="H192" s="67"/>
      <c r="I192" s="67"/>
      <c r="J192" s="67"/>
      <c r="K192" s="67"/>
      <c r="L192" s="67"/>
      <c r="M192" s="67"/>
      <c r="N192" s="67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</row>
    <row r="193" spans="2:47">
      <c r="B193" s="67"/>
      <c r="C193" s="114"/>
      <c r="D193" s="67"/>
      <c r="E193" s="67"/>
      <c r="F193" s="67"/>
      <c r="G193" s="114"/>
      <c r="H193" s="67"/>
      <c r="I193" s="67"/>
      <c r="J193" s="67"/>
      <c r="K193" s="67"/>
      <c r="L193" s="67"/>
      <c r="M193" s="67"/>
      <c r="N193" s="67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</row>
  </sheetData>
  <autoFilter ref="A2:AW190" xr:uid="{00000000-0001-0000-0000-000000000000}">
    <filterColumn colId="2">
      <filters>
        <filter val="10"/>
        <filter val="11"/>
        <filter val="20"/>
        <filter val="21"/>
        <filter val="30"/>
        <filter val="40"/>
      </filters>
    </filterColumn>
  </autoFilter>
  <mergeCells count="143">
    <mergeCell ref="F1:F2"/>
    <mergeCell ref="AF1:AF2"/>
    <mergeCell ref="A3:A4"/>
    <mergeCell ref="B3:B4"/>
    <mergeCell ref="A5:A6"/>
    <mergeCell ref="B5:B6"/>
    <mergeCell ref="A8:A9"/>
    <mergeCell ref="B8:B9"/>
    <mergeCell ref="M1:M2"/>
    <mergeCell ref="N1:N2"/>
    <mergeCell ref="O1:AB1"/>
    <mergeCell ref="AC1:AC2"/>
    <mergeCell ref="AD1:AD2"/>
    <mergeCell ref="AE1:AE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A18:A19"/>
    <mergeCell ref="B18:B19"/>
    <mergeCell ref="A20:A21"/>
    <mergeCell ref="B20:B21"/>
    <mergeCell ref="A23:A24"/>
    <mergeCell ref="B23:B24"/>
    <mergeCell ref="A10:A11"/>
    <mergeCell ref="B10:B11"/>
    <mergeCell ref="A13:A14"/>
    <mergeCell ref="B13:B14"/>
    <mergeCell ref="A15:A16"/>
    <mergeCell ref="B15:B16"/>
    <mergeCell ref="A33:A34"/>
    <mergeCell ref="B33:B34"/>
    <mergeCell ref="A35:A36"/>
    <mergeCell ref="B35:B36"/>
    <mergeCell ref="A38:A39"/>
    <mergeCell ref="B38:B39"/>
    <mergeCell ref="A25:A26"/>
    <mergeCell ref="B25:B26"/>
    <mergeCell ref="A28:A29"/>
    <mergeCell ref="B28:B29"/>
    <mergeCell ref="A30:A31"/>
    <mergeCell ref="B30:B31"/>
    <mergeCell ref="A48:A49"/>
    <mergeCell ref="B48:B49"/>
    <mergeCell ref="A50:A51"/>
    <mergeCell ref="B50:B51"/>
    <mergeCell ref="A52:A53"/>
    <mergeCell ref="B52:B53"/>
    <mergeCell ref="A40:A41"/>
    <mergeCell ref="B40:B41"/>
    <mergeCell ref="A43:A44"/>
    <mergeCell ref="B43:B44"/>
    <mergeCell ref="A45:A46"/>
    <mergeCell ref="B45:B46"/>
    <mergeCell ref="A61:A62"/>
    <mergeCell ref="B61:B62"/>
    <mergeCell ref="A63:A64"/>
    <mergeCell ref="B63:B64"/>
    <mergeCell ref="A65:A67"/>
    <mergeCell ref="B65:B67"/>
    <mergeCell ref="A55:A56"/>
    <mergeCell ref="B55:B56"/>
    <mergeCell ref="A57:A58"/>
    <mergeCell ref="B57:B58"/>
    <mergeCell ref="A59:A60"/>
    <mergeCell ref="B59:B60"/>
    <mergeCell ref="A77:A79"/>
    <mergeCell ref="B77:B79"/>
    <mergeCell ref="A80:A81"/>
    <mergeCell ref="B80:B81"/>
    <mergeCell ref="A83:A85"/>
    <mergeCell ref="B83:B85"/>
    <mergeCell ref="A68:A69"/>
    <mergeCell ref="B68:B69"/>
    <mergeCell ref="A71:A73"/>
    <mergeCell ref="B71:B73"/>
    <mergeCell ref="A74:A75"/>
    <mergeCell ref="B74:B75"/>
    <mergeCell ref="A98:A99"/>
    <mergeCell ref="B98:B99"/>
    <mergeCell ref="A101:A103"/>
    <mergeCell ref="B101:B103"/>
    <mergeCell ref="A104:A105"/>
    <mergeCell ref="B104:B105"/>
    <mergeCell ref="A86:A87"/>
    <mergeCell ref="B86:B87"/>
    <mergeCell ref="A89:A91"/>
    <mergeCell ref="B89:B91"/>
    <mergeCell ref="A92:A93"/>
    <mergeCell ref="A95:A97"/>
    <mergeCell ref="B95:B97"/>
    <mergeCell ref="A116:A117"/>
    <mergeCell ref="B116:B117"/>
    <mergeCell ref="A119:A121"/>
    <mergeCell ref="B119:B121"/>
    <mergeCell ref="A122:A123"/>
    <mergeCell ref="B122:B123"/>
    <mergeCell ref="A107:A109"/>
    <mergeCell ref="B107:B109"/>
    <mergeCell ref="A110:A111"/>
    <mergeCell ref="B110:B111"/>
    <mergeCell ref="A113:A115"/>
    <mergeCell ref="B113:B115"/>
    <mergeCell ref="A140:A142"/>
    <mergeCell ref="B140:B142"/>
    <mergeCell ref="A145:A147"/>
    <mergeCell ref="B145:B147"/>
    <mergeCell ref="A151:A153"/>
    <mergeCell ref="B151:B153"/>
    <mergeCell ref="A125:A127"/>
    <mergeCell ref="B125:B127"/>
    <mergeCell ref="A130:A132"/>
    <mergeCell ref="B130:B132"/>
    <mergeCell ref="A135:A137"/>
    <mergeCell ref="B135:B137"/>
    <mergeCell ref="A163:A165"/>
    <mergeCell ref="B163:B165"/>
    <mergeCell ref="A166:A168"/>
    <mergeCell ref="B166:B168"/>
    <mergeCell ref="A169:A171"/>
    <mergeCell ref="B169:B171"/>
    <mergeCell ref="A154:A156"/>
    <mergeCell ref="B154:B156"/>
    <mergeCell ref="A157:A159"/>
    <mergeCell ref="B157:B159"/>
    <mergeCell ref="A161:A162"/>
    <mergeCell ref="B161:B162"/>
    <mergeCell ref="A182:A184"/>
    <mergeCell ref="A185:A187"/>
    <mergeCell ref="A188:A190"/>
    <mergeCell ref="A175:A176"/>
    <mergeCell ref="B175:B176"/>
    <mergeCell ref="A177:A178"/>
    <mergeCell ref="B177:B178"/>
    <mergeCell ref="A179:A181"/>
    <mergeCell ref="B179:B181"/>
  </mergeCells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18</vt:i4>
      </vt:variant>
    </vt:vector>
  </HeadingPairs>
  <TitlesOfParts>
    <vt:vector size="37" baseType="lpstr">
      <vt:lpstr>暫定対応</vt:lpstr>
      <vt:lpstr>受注パタンの纏め</vt:lpstr>
      <vt:lpstr>原紙</vt:lpstr>
      <vt:lpstr>汎用マスタ</vt:lpstr>
      <vt:lpstr>補足説明資料_受注画面制御</vt:lpstr>
      <vt:lpstr>1_加工受注</vt:lpstr>
      <vt:lpstr>2_シート受注</vt:lpstr>
      <vt:lpstr>3_商品購買</vt:lpstr>
      <vt:lpstr>3_商品購買（版型）</vt:lpstr>
      <vt:lpstr>4_商品購買（有償支給）</vt:lpstr>
      <vt:lpstr>4_商品購買（諸口）</vt:lpstr>
      <vt:lpstr>5_原紙（原紙売り）</vt:lpstr>
      <vt:lpstr>5_原紙（輪切り）</vt:lpstr>
      <vt:lpstr>｜➡参考</vt:lpstr>
      <vt:lpstr>受注⇒MCの集约</vt:lpstr>
      <vt:lpstr>画面制御（試し）</vt:lpstr>
      <vt:lpstr>纏め（試し）</vt:lpstr>
      <vt:lpstr>受注業務パタン</vt:lpstr>
      <vt:lpstr>受注⇒MC</vt:lpstr>
      <vt:lpstr>'1_加工受注'!Print_Area</vt:lpstr>
      <vt:lpstr>'2_シート受注'!Print_Area</vt:lpstr>
      <vt:lpstr>'3_商品購買'!Print_Area</vt:lpstr>
      <vt:lpstr>'3_商品購買（版型）'!Print_Area</vt:lpstr>
      <vt:lpstr>'4_商品購買（諸口）'!Print_Area</vt:lpstr>
      <vt:lpstr>'4_商品購買（有償支給）'!Print_Area</vt:lpstr>
      <vt:lpstr>'5_原紙（原紙売り）'!Print_Area</vt:lpstr>
      <vt:lpstr>'5_原紙（輪切り）'!Print_Area</vt:lpstr>
      <vt:lpstr>補足説明資料_受注画面制御!Print_Area</vt:lpstr>
      <vt:lpstr>'1_加工受注'!Print_Titles</vt:lpstr>
      <vt:lpstr>'2_シート受注'!Print_Titles</vt:lpstr>
      <vt:lpstr>'3_商品購買'!Print_Titles</vt:lpstr>
      <vt:lpstr>'3_商品購買（版型）'!Print_Titles</vt:lpstr>
      <vt:lpstr>'4_商品購買（諸口）'!Print_Titles</vt:lpstr>
      <vt:lpstr>'4_商品購買（有償支給）'!Print_Titles</vt:lpstr>
      <vt:lpstr>'5_原紙（原紙売り）'!Print_Titles</vt:lpstr>
      <vt:lpstr>'5_原紙（輪切り）'!Print_Titles</vt:lpstr>
      <vt:lpstr>補足説明資料_受注画面制御!Print_Titles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朱軍</dc:creator>
  <cp:lastModifiedBy>朱軍</cp:lastModifiedBy>
  <dcterms:created xsi:type="dcterms:W3CDTF">2015-06-05T18:19:34Z</dcterms:created>
  <dcterms:modified xsi:type="dcterms:W3CDTF">2023-08-08T09:45:35Z</dcterms:modified>
</cp:coreProperties>
</file>