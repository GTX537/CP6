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Z1\MDSOL_CP\#svn\300.詳細設計書_【無錫】\"/>
    </mc:Choice>
  </mc:AlternateContent>
  <xr:revisionPtr revIDLastSave="0" documentId="13_ncr:1_{533957D3-F7E0-4B8B-8B87-EA0D2FDF9ED9}" xr6:coauthVersionLast="47" xr6:coauthVersionMax="47" xr10:uidLastSave="{00000000-0000-0000-0000-000000000000}"/>
  <bookViews>
    <workbookView xWindow="-120" yWindow="-120" windowWidth="29040" windowHeight="15225" tabRatio="552" activeTab="1" xr2:uid="{00000000-000D-0000-FFFF-FFFF00000000}"/>
  </bookViews>
  <sheets>
    <sheet name="対象機能 (TBK)" sheetId="1" r:id="rId1"/>
    <sheet name="対応" sheetId="2" r:id="rId2"/>
    <sheet name="No.3" sheetId="3" r:id="rId3"/>
    <sheet name="No.10" sheetId="4" r:id="rId4"/>
    <sheet name="No.20" sheetId="5" r:id="rId5"/>
    <sheet name="No.23" sheetId="6" r:id="rId6"/>
    <sheet name="No.26" sheetId="7" r:id="rId7"/>
  </sheets>
  <externalReferences>
    <externalReference r:id="rId8"/>
  </externalReferences>
  <definedNames>
    <definedName name="_xlnm._FilterDatabase" localSheetId="1" hidden="1">対応!$A$1:$K$43</definedName>
    <definedName name="Revision">[1]表紙!$AP$5</definedName>
    <definedName name="Version">[1]表紙!$AJ$5</definedName>
    <definedName name="文書番号">[1]表紙!$AD$5</definedName>
    <definedName name="文書名">[1]表紙!$M$13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朱軍</author>
  </authors>
  <commentList>
    <comment ref="F2" authorId="0" shapeId="0" xr:uid="{A898B89D-4AF2-437C-BBD0-523EE301A0B1}">
      <text>
        <r>
          <rPr>
            <sz val="9"/>
            <color indexed="81"/>
            <rFont val="Meiryo UI"/>
            <family val="3"/>
            <charset val="128"/>
          </rPr>
          <t>(1) 与信チェック機能の見直し
    No.3 シート記載の与信チェックに変更する。
(2) (1)で変更された与信チェック機能を
　　 見積計算入力でも同様にチェックを行うため、与信チェック処理を引用呼び出しする。</t>
        </r>
      </text>
    </comment>
    <comment ref="F5" authorId="0" shapeId="0" xr:uid="{4D362597-04D3-490B-94D9-34572459E11A}">
      <text>
        <r>
          <rPr>
            <sz val="9"/>
            <color indexed="81"/>
            <rFont val="Meiryo UI"/>
            <family val="3"/>
            <charset val="128"/>
          </rPr>
          <t>web製品マスタの工程ポップアップの消耗品左側に消耗品発注先を追加
消耗品発注先は発注先より選択（※未指定可）
工程情報画面の消耗品名に消耗品名＋（発注先）の形式で表示を行う
選択はプルダウンにて行い、候補となる消耗品発注先は汎用マスタ（新規追加）で絞り込む</t>
        </r>
      </text>
    </comment>
    <comment ref="F33" authorId="0" shapeId="0" xr:uid="{6FFF3E99-9F3D-4B8D-8652-B23A146EE06A}">
      <text>
        <r>
          <rPr>
            <sz val="9"/>
            <color indexed="81"/>
            <rFont val="Meiryo UI"/>
            <family val="3"/>
            <charset val="128"/>
          </rPr>
          <t xml:space="preserve">WEB製品加工工程マスタの現在の主キーを
製品CD、作業CD
↓
製品CD、工程CD、作業CD
に変更する。
</t>
        </r>
      </text>
    </comment>
    <comment ref="F37" authorId="0" shapeId="0" xr:uid="{EB46DEE5-46B1-4EB4-B597-5F78D71D56DF}">
      <text>
        <r>
          <rPr>
            <sz val="9"/>
            <color indexed="81"/>
            <rFont val="Meiryo UI"/>
            <family val="3"/>
            <charset val="128"/>
          </rPr>
          <t>web製品加工材料マスタの現在の主キーを
製品コード(PRO_CD),工程ＣＤ(OPER_CD),材料CD(MTR_CD)
↓
製品コード(PRO_CD),工程ＣＤ(OPER_CD),材料CD(MTR_CD),並び順(SORT_NO)
に変更する
BOMの表示順で表、中、裏を判別している。
1:表
2:中
3:裏
製品マスタ連携の処理見直し</t>
        </r>
      </text>
    </comment>
  </commentList>
</comments>
</file>

<file path=xl/sharedStrings.xml><?xml version="1.0" encoding="utf-8"?>
<sst xmlns="http://schemas.openxmlformats.org/spreadsheetml/2006/main" count="342" uniqueCount="196">
  <si>
    <t>No</t>
    <phoneticPr fontId="3"/>
  </si>
  <si>
    <t>キー</t>
  </si>
  <si>
    <t>対象機能ID</t>
    <rPh sb="0" eb="2">
      <t>タイショウ</t>
    </rPh>
    <rPh sb="2" eb="4">
      <t>キノウ</t>
    </rPh>
    <phoneticPr fontId="3"/>
  </si>
  <si>
    <t>対象機能名</t>
    <rPh sb="0" eb="2">
      <t>タイショウ</t>
    </rPh>
    <rPh sb="2" eb="4">
      <t>キノウ</t>
    </rPh>
    <rPh sb="4" eb="5">
      <t>メイ</t>
    </rPh>
    <phoneticPr fontId="3"/>
  </si>
  <si>
    <t>種別</t>
  </si>
  <si>
    <t>件名</t>
  </si>
  <si>
    <t>変更内容</t>
    <rPh sb="0" eb="4">
      <t>ヘンコウナイヨウ</t>
    </rPh>
    <phoneticPr fontId="3"/>
  </si>
  <si>
    <t>RCS-1092</t>
  </si>
  <si>
    <t>【MSBBPA050】
【MSBBPA070】</t>
  </si>
  <si>
    <t>Web製品マスタ
Web受注入力</t>
  </si>
  <si>
    <t>仕様連絡書</t>
  </si>
  <si>
    <t>【仕様連絡書】web見積入力・web受注入力　与信チェック追加</t>
  </si>
  <si>
    <t>(1) 与信チェック機能の見直し
    No.3 シート記載の与信チェックに変更する。
(2) (1)で変更された与信チェック機能を
　　 見積計算入力でも同様にチェックを行うため、与信チェック処理を引用呼び出しする。</t>
  </si>
  <si>
    <t>RCS-1111</t>
  </si>
  <si>
    <t>【仕様連絡書】WEB製品マスタ 消耗品発注先の追加</t>
  </si>
  <si>
    <t>web製品マスタの工程ポップアップの消耗品左側に消耗品発注先を追加
消耗品発注先は発注先より選択（※未指定可）
工程情報画面の消耗品名に消耗品名＋（発注先）の形式で表示を行う
選択はプルダウンにて行い、候補となる消耗品発注先は汎用マスタ（新規追加）で絞り込む</t>
  </si>
  <si>
    <t>RCS-1193</t>
  </si>
  <si>
    <t>【MSBBPA090】</t>
  </si>
  <si>
    <t>Web受注一覧登録単価訂正</t>
  </si>
  <si>
    <t>【仕様連絡書】受注一覧登録（単価訂正）</t>
  </si>
  <si>
    <t>① WEB受注登録画面項目追加  
    貼合割増単価、印刷割増単価の2項目追加
② 汎用マスタ（印刷割増）を新規追加
③ 印刷割増単価の自動設定
    汎用マスタ（印刷割増）を検索し、検索結果を画面に表示する</t>
  </si>
  <si>
    <t>RCS-1312</t>
  </si>
  <si>
    <t>【MSBBPA050】</t>
  </si>
  <si>
    <t>Web製品マスタ</t>
  </si>
  <si>
    <t>【仕様連絡書】原紙コード体系</t>
  </si>
  <si>
    <t>品目CD（原紙CD)の採番ルール変更
原紙の品目CDは桁数を統一し、印刷CD、エンボスCD未設定の場合は半角ゼロ埋めする。
常に５桁＋４桁＋２桁＝１１桁で登録する。
例）
生原紙　　XXXXX000000
印刷原紙　XXXXXYYYY00
エンボス原紙　XXXXX0000ZZ</t>
  </si>
  <si>
    <t>RCS-1344</t>
  </si>
  <si>
    <t>【仕様連絡書】CP配送区分：WG間依頼</t>
  </si>
  <si>
    <t>WEB製品マスタの工程登録の項目「CP配送区分」を自動設定している処理を見直します。（WG間移送とそれ以外の移送を 「移送」に統一する）</t>
  </si>
  <si>
    <t>RCS-1465</t>
  </si>
  <si>
    <t>【MSBBPA110】</t>
  </si>
  <si>
    <t>Web取引先マスタ</t>
  </si>
  <si>
    <t>【仕様連絡書】取引先M：納品先　納入時間制限（FROM～TO）　2桁→4桁</t>
  </si>
  <si>
    <t>web取引先マスタの納入時間制限（FROM～TO）の桁数を2桁から4桁（99:99形式）に変更する。
表示、入力制限として4桁は時間書式の「 時（24時間表記で前ゼロ埋め2桁）:分（前ゼロ埋め2桁）  →HH24:MM （例：08:30、21:05)」とする。</t>
  </si>
  <si>
    <t>RCS-1470</t>
  </si>
  <si>
    <t>【仕様連絡書】WEB製品マスタ　ラベル品名の項目追加</t>
  </si>
  <si>
    <t>WEB製品マスタ登録の工程popupに項目をラベル品名１、ラベル品名２、ラベル品名３を追加し登録可能とする。いづれも桁数は20桁（全半角20文字まで）とする。</t>
  </si>
  <si>
    <t>RCS-1383</t>
  </si>
  <si>
    <t>【MSBBPA050】
【MSBBPA070】
【MSBBBA010】</t>
  </si>
  <si>
    <t>WEB製品マスタ
WEB受注（シート受注）
製品マスタ連携</t>
  </si>
  <si>
    <t>【仕様連絡書】原紙マスタ　項目追加：親原紙CD</t>
  </si>
  <si>
    <t>製品マスタ連携（加工原紙）において、使用する生原紙の親原紙CDを取得して、原紙マスタに登録する処理を追加する</t>
  </si>
  <si>
    <t>岐阜連携</t>
  </si>
  <si>
    <t>【新規】</t>
  </si>
  <si>
    <t>岐阜売上データ送信IF</t>
  </si>
  <si>
    <t>システム設計持ち越し</t>
  </si>
  <si>
    <t>①mcframeで売上実績登録処理された売上実績データから、指定WG（岐阜事業所）の売上データを抽出し、指定フォルダにファイル出力する。
②IF対象のWG（mcframe WG）を管理する汎用マスタを追加し、IF対象データの抽出条件は以下とする。
・WG=汎用マスタ指定のWG
・出力済みFLG（システムで管理）＝未出力
③IFレイアウトは「CSV 文字コード：S-JIS、ヘッダ行あり」とし、出力対象項目は売上ヘッダ、売上明細、受注ヘッダ、受注明細（受注は売上データより検索）で管理されているmcframe標準項目、CP独自項目とする。
④本処理はバッチ処理にて行い、JP1による定時起動とする。</t>
  </si>
  <si>
    <t>請求締処理
請求明細選択
請求一覧照会
請求明細照会
売掛消込登録
入金予定一覧照会
入金予定調整登録
売掛残高一覧照会
売掛元帳照会
売掛金年齢一覧照会
未消込売掛明細一覧照会</t>
  </si>
  <si>
    <t>岐阜債権、債務データ検索除外</t>
  </si>
  <si>
    <t>① 各画面の検索条件で、指定WG（岐阜事業所）の売上実績、仕入実績、入金予定、支払予定、支払実績、入金実績を検索対象から除外する。
②IF対象のWG（mcframe WG）を管理する汎用マスタを追加し、汎用マスタに登録されているWGのデータは検索除外する。</t>
  </si>
  <si>
    <t>RCS-1358</t>
  </si>
  <si>
    <t>Web製品マスタ
Web受注入力
製品マスタ連携</t>
  </si>
  <si>
    <t>【仕様連絡書】WEB製品加工工程マスタ　KEYに工程CDが抜けている</t>
  </si>
  <si>
    <t>RCS-1467</t>
  </si>
  <si>
    <t>【仕様連絡書】WEB製品加工材料マスタ　KEYに並び順が抜けている</t>
  </si>
  <si>
    <t xml:space="preserve">web製品加工材料マスタの現在の主キーを
製品コード(PRO_CD),工程ＣＤ(OPER_CD),材料CD(MTR_CD)
↓
製品コード(PRO_CD),工程ＣＤ(OPER_CD),材料CD(MTR_CD),並び順(SORT_NO)
に変更する
BOMの表示順で表、中、裏を判別している。
1:表
2:中
3:裏
製品マスタ連携の処理見直し
</t>
  </si>
  <si>
    <t>RCS-1502</t>
  </si>
  <si>
    <t>【MSBBPA050】
【MSBBBA010】</t>
  </si>
  <si>
    <t>Web製品マスタ
製品マスタ連携</t>
  </si>
  <si>
    <t>原紙マスタ、事業所別原紙巾マスタ、原紙単価マスタのKey変更</t>
  </si>
  <si>
    <t>(1) MAM_BASE_PPR_ALL:原紙マスタ
    →枝番1,2,3の主キー削除する。主キーは以下とする。
　     1:品目ＣＤ(原紙ＣＤ　＋　印刷ＣＤ ＋ エンボスＣＤ)
       2:会社ＣＤ
(2) MAM_WG_BPP_WID_ALL	事業所別原紙巾マスタ
    →枝番1,2,3の主キー削除する。主キーは以下とする。
       1:ワーキンググループＣＤ
       2:品目ＣＤ(原紙ＣＤ　＋　印刷ＣＤ ＋ エンボスＣＤ)
       3:会社ＣＤ
       4:巾
       5:適用開始日
(3) MAM_BPP_UPRI_ALL 原紙単価マスタ
    →枝番1,2,3の主キー削除する。主キーは以下とする。
      1:ワーキンググループＣＤ
      2:品目ＣＤ(原紙ＣＤ　＋　印刷ＣＤ ＋ エンボスＣＤ)
      3:発注先ＣＤ
      4:適用開始日
      5:会社ＣＤ
      6:原紙単価単位
(4) 主キー変更に伴い、製品マスタ連携時の原紙マスタの登録、検索処理の見直し</t>
  </si>
  <si>
    <t>RCS-1322</t>
  </si>
  <si>
    <t>【MSBBBA010】</t>
  </si>
  <si>
    <t>製品マスタ連携</t>
  </si>
  <si>
    <t>Q&amp;A</t>
  </si>
  <si>
    <t>製品マスタ連携の品目格納先マスタ登録処理の見直し</t>
  </si>
  <si>
    <t>ユーザが入力した製品マスタの入庫先を元に、場所間移動指示マスタ、製造引当制御マスタの設定値を参照し、
品目格納先マスタに設定する格納先場所を設定する。（移動指示要否で格納先場所を振り分ける）</t>
  </si>
  <si>
    <t>対象機能ID</t>
  </si>
  <si>
    <t>対象機能名</t>
  </si>
  <si>
    <t>【MSBBPA070】</t>
  </si>
  <si>
    <t>Web受注入力</t>
  </si>
  <si>
    <t>WEB製品マスタ</t>
  </si>
  <si>
    <t>WEB受注（シート受注）</t>
  </si>
  <si>
    <t>【MBGP0010】</t>
  </si>
  <si>
    <t>【MSBGP0020】</t>
  </si>
  <si>
    <t>【MSBGP0030】</t>
  </si>
  <si>
    <t>【MSBGP0040】</t>
  </si>
  <si>
    <t>【MSBGP0210】</t>
  </si>
  <si>
    <t>【MSBGP0070】</t>
  </si>
  <si>
    <t>【MSBGP0080】</t>
  </si>
  <si>
    <t>【MSBGP0090】</t>
  </si>
  <si>
    <t>【MSBGP0100】</t>
  </si>
  <si>
    <t>【MSBGP0120】</t>
  </si>
  <si>
    <t>請求締処理</t>
  </si>
  <si>
    <t>請求明細選択</t>
  </si>
  <si>
    <t>請求一覧照会</t>
  </si>
  <si>
    <t>請求明細照会</t>
  </si>
  <si>
    <t>売掛消込登録</t>
  </si>
  <si>
    <t>入金予定一覧照会</t>
  </si>
  <si>
    <t>入金予定調整登録</t>
  </si>
  <si>
    <t>売掛残高一覧照会</t>
  </si>
  <si>
    <t>売掛元帳照会</t>
  </si>
  <si>
    <t>売掛金年齢一覧照会</t>
  </si>
  <si>
    <t>未消込売掛明細一覧照会</t>
  </si>
  <si>
    <t>WEB製品マスタ登録の工程popupに項目をラベル品名１、ラベル品名２、ラベル品名３を追加し登録可能とする。いづれも桁数は20桁（全半角20文字まで）とする。</t>
    <phoneticPr fontId="2"/>
  </si>
  <si>
    <t>①mcframeで売上実績登録処理された売上実績データから、指定WG（岐阜事業所）の売上データを抽出し、指定フォルダにファイル出力する。
②IF対象のWG（mcframe WG）を管理する汎用マスタを追加し、IF対象データの抽出条件は以下とする。
・WG=汎用マスタ指定のWG
・出力済みFLG（システムで管理）＝未出力
③IFレイアウトは「CSV 文字コード：S-JIS、ヘッダ行あり」とし、出力対象項目は売上ヘッダ、売上明細、受注ヘッダ、受注明細（受注は売上データより検索）で管理されているmcframe標準項目、CP独自項目とする。
④本処理はバッチ処理にて行い、JP1による定時起動とする。</t>
    <phoneticPr fontId="2"/>
  </si>
  <si>
    <t>WEB製品加工工程マスタの現在の主キーを
製品CD、作業CD
↓
製品CD、工程CD、作業CD
に変更する。</t>
    <phoneticPr fontId="2"/>
  </si>
  <si>
    <t>ユーザが入力した製品マスタの入庫先を元に、場所間移動指示マスタ、製造引当制御マスタの設定値を参照し、
品目格納先マスタに設定する格納先場所を設定する。（移動指示要否で格納先場所を振り分ける）</t>
    <phoneticPr fontId="2"/>
  </si>
  <si>
    <t xml:space="preserve">web製品加工材料マスタの現在の主キーを
製品コード(PRO_CD),工程ＣＤ(OPER_CD),材料CD(MTR_CD)
↓
製品コード(PRO_CD),工程ＣＤ(OPER_CD),材料CD(MTR_CD),並び順(SORT_NO)
に変更する
BOMの表示順で表、中、裏を判別している。
1:表
2:中
3:裏
製品マスタ連携の処理見直し
</t>
    <phoneticPr fontId="2"/>
  </si>
  <si>
    <t>(1) 与信チェック機能の見直し
    No.3 シート記載の与信チェックに変更する。
(2) (1)で変更された与信チェック機能を
　　 見積計算入力でも同様にチェックを行うため、与信チェック処理を引用呼び出しする。</t>
    <phoneticPr fontId="2"/>
  </si>
  <si>
    <t>web製品マスタの工程ポップアップの消耗品左側に消耗品発注先を追加
消耗品発注先は発注先より選択（※未指定可）
工程情報画面の消耗品名に消耗品名＋（発注先）の形式で表示を行う
選択はプルダウンにて行い、候補となる消耗品発注先は汎用マスタ（新規追加）で絞り込む</t>
    <phoneticPr fontId="2"/>
  </si>
  <si>
    <t>① WEB受注登録画面項目追加  
    貼合割増単価、印刷割増単価の2項目追加
② 汎用マスタ（印刷割増）を新規追加
③ 印刷割増単価の自動設定
    汎用マスタ（印刷割増）を検索し、検索結果を画面に表示する</t>
    <phoneticPr fontId="2"/>
  </si>
  <si>
    <t>品目CD（原紙CD)の採番ルール変更
原紙の品目CDは桁数を統一し、印刷CD、エンボスCD未設定の場合は半角ゼロ埋めする。
常に５桁＋４桁＋２桁＝１１桁で登録する。
例）
生原紙　　XXXXX000000
印刷原紙　XXXXXYYYY00
エンボス原紙　XXXXX0000ZZ</t>
    <phoneticPr fontId="2"/>
  </si>
  <si>
    <t>【MSBBPA010】</t>
    <phoneticPr fontId="2"/>
  </si>
  <si>
    <t>Web見積計算書入力</t>
    <rPh sb="3" eb="5">
      <t>ミツモリ</t>
    </rPh>
    <rPh sb="5" eb="8">
      <t>ケイサンショ</t>
    </rPh>
    <rPh sb="8" eb="10">
      <t>ニュウリョク</t>
    </rPh>
    <phoneticPr fontId="2"/>
  </si>
  <si>
    <t>WEB製品マスタの工程登録の項目「CP配送区分」を自動設定している処理を見直します。（WG間移送とそれ以外の移送を 「移送」に統一する）</t>
    <phoneticPr fontId="2"/>
  </si>
  <si>
    <t>製品マスタ連携（加工原紙）において、使用する生原紙の親原紙CDを取得して、原紙マスタに登録する処理を追加する</t>
    <phoneticPr fontId="2"/>
  </si>
  <si>
    <t>【MSBGP0210】</t>
    <phoneticPr fontId="2"/>
  </si>
  <si>
    <t>売掛消込登録</t>
    <rPh sb="0" eb="2">
      <t>ウリカケ</t>
    </rPh>
    <rPh sb="2" eb="4">
      <t>ショウコ</t>
    </rPh>
    <rPh sb="4" eb="6">
      <t>トウロク</t>
    </rPh>
    <phoneticPr fontId="2"/>
  </si>
  <si>
    <t>【MSBGP0220】</t>
    <phoneticPr fontId="2"/>
  </si>
  <si>
    <t>売掛明細消込登録</t>
    <rPh sb="0" eb="2">
      <t>ウリカケ</t>
    </rPh>
    <rPh sb="2" eb="4">
      <t>メイサイ</t>
    </rPh>
    <rPh sb="4" eb="6">
      <t>ショウコ</t>
    </rPh>
    <rPh sb="6" eb="8">
      <t>トウロク</t>
    </rPh>
    <phoneticPr fontId="2"/>
  </si>
  <si>
    <t>【MBGP0010】
【MSBGP0020】
【MSBGP0030】
【MSBGP0040】
【MSBGP0210】
【MSBGP0070】
【MSBGP0080】
【MSBGP0090】
【MSBGP0100】
【MSBGP0110】
【MSBGP0120】
【MSBGP0070】
【MSBGP0090】
【MSBGP0120】
【MSBGP0210】
【MSBGP0220】</t>
    <phoneticPr fontId="2"/>
  </si>
  <si>
    <t>(1) MAM_BASE_PPR_ALL:原紙マスタ
    →枝番1,2,3の主キー削除する。主キーは以下とする。
　     1:品目ＣＤ(原紙ＣＤ　＋　印刷ＣＤ ＋ エンボスＣＤ)
       2:会社ＣＤ
(2) MAM_WG_BPP_WID_ALL	事業所別原紙巾マスタ
    →枝番1,2,3の主キー削除する。主キーは以下とする。
       1:ワーキンググループＣＤ
       2:品目ＣＤ(原紙ＣＤ　＋　印刷ＣＤ ＋ エンボスＣＤ)
       3:会社ＣＤ
       4:巾
       5:適用開始日
(3) MAM_BPP_UPRI_ALL 原紙単価マスタ
    →枝番1,2,3の主キー削除する。主キーは以下とする。
      1:ワーキンググループＣＤ
      2:品目ＣＤ(原紙ＣＤ　＋　印刷ＣＤ ＋ エンボスＣＤ)
      3:発注先ＣＤ
      4:適用開始日
      5:会社ＣＤ
      6:原紙単価単位
(4) 主キー変更に伴い、製品マスタ連携時の原紙マスタの登録、検索処理の見直し</t>
    <phoneticPr fontId="2"/>
  </si>
  <si>
    <t>なに？</t>
    <phoneticPr fontId="2"/>
  </si>
  <si>
    <t>与信残高取得処理をC#化</t>
    <rPh sb="0" eb="2">
      <t>ヨシン</t>
    </rPh>
    <rPh sb="2" eb="4">
      <t>ザンダカ</t>
    </rPh>
    <rPh sb="4" eb="6">
      <t>シュトク</t>
    </rPh>
    <rPh sb="6" eb="8">
      <t>ショリ</t>
    </rPh>
    <rPh sb="11" eb="12">
      <t>カ</t>
    </rPh>
    <phoneticPr fontId="2"/>
  </si>
  <si>
    <t>web取引先マスタの納入時間制限（FROM～TO）の桁数を2桁から4桁（99:99形式）に変更する。
表示、入力制限として4桁は時間書式の「 時（24時間表記で前ゼロ埋め2桁）:分（前ゼロ埋め2桁）  →HH24:MM （例：08:30、21:05)」とする。</t>
    <phoneticPr fontId="2"/>
  </si>
  <si>
    <t>RCS-1383</t>
    <phoneticPr fontId="2"/>
  </si>
  <si>
    <t>【仕様連絡書】WEB製品加工材料マスタ　KEYに並び順が抜けている</t>
    <phoneticPr fontId="2"/>
  </si>
  <si>
    <t>【MSBGP0110】</t>
    <phoneticPr fontId="2"/>
  </si>
  <si>
    <t>対応</t>
    <rPh sb="0" eb="2">
      <t>タイオウ</t>
    </rPh>
    <phoneticPr fontId="2"/>
  </si>
  <si>
    <t>未受注</t>
    <rPh sb="0" eb="3">
      <t>ミジュチュウ</t>
    </rPh>
    <phoneticPr fontId="2"/>
  </si>
  <si>
    <t>未受注</t>
    <phoneticPr fontId="2"/>
  </si>
  <si>
    <t>対応済</t>
    <rPh sb="0" eb="2">
      <t>タイオウ</t>
    </rPh>
    <rPh sb="2" eb="3">
      <t>ズ</t>
    </rPh>
    <phoneticPr fontId="2"/>
  </si>
  <si>
    <t>対応着手</t>
    <rPh sb="2" eb="4">
      <t>チャクシュ</t>
    </rPh>
    <phoneticPr fontId="2"/>
  </si>
  <si>
    <t>①</t>
    <phoneticPr fontId="2"/>
  </si>
  <si>
    <t>①</t>
    <phoneticPr fontId="3"/>
  </si>
  <si>
    <t>汎用マスタの追加</t>
    <rPh sb="0" eb="2">
      <t>ハンヨウ</t>
    </rPh>
    <rPh sb="6" eb="8">
      <t>ツイカ</t>
    </rPh>
    <phoneticPr fontId="3"/>
  </si>
  <si>
    <t>与信チェックマスタ（仮称）を追加する。管理内容は以下</t>
    <rPh sb="10" eb="12">
      <t>カショウ</t>
    </rPh>
    <rPh sb="14" eb="16">
      <t>ツイカ</t>
    </rPh>
    <rPh sb="19" eb="21">
      <t>カンリ</t>
    </rPh>
    <rPh sb="21" eb="23">
      <t>ナイヨウ</t>
    </rPh>
    <rPh sb="24" eb="26">
      <t>イカ</t>
    </rPh>
    <phoneticPr fontId="3"/>
  </si>
  <si>
    <t>Value(文字）</t>
    <rPh sb="6" eb="8">
      <t>モジ</t>
    </rPh>
    <phoneticPr fontId="3"/>
  </si>
  <si>
    <t>Value（数値）</t>
    <rPh sb="6" eb="8">
      <t>スウチ</t>
    </rPh>
    <phoneticPr fontId="3"/>
  </si>
  <si>
    <t>入力単位</t>
    <rPh sb="0" eb="2">
      <t>ニュウリョク</t>
    </rPh>
    <rPh sb="2" eb="4">
      <t>タンイ</t>
    </rPh>
    <phoneticPr fontId="3"/>
  </si>
  <si>
    <t>入力値例</t>
    <rPh sb="0" eb="3">
      <t>ニュウリョクチ</t>
    </rPh>
    <rPh sb="3" eb="4">
      <t>レイ</t>
    </rPh>
    <phoneticPr fontId="3"/>
  </si>
  <si>
    <t>最終取引経過日数</t>
    <phoneticPr fontId="3"/>
  </si>
  <si>
    <t>日</t>
    <rPh sb="0" eb="1">
      <t>ヒ</t>
    </rPh>
    <phoneticPr fontId="3"/>
  </si>
  <si>
    <t>禁止超過率</t>
    <phoneticPr fontId="3"/>
  </si>
  <si>
    <t>%</t>
    <phoneticPr fontId="3"/>
  </si>
  <si>
    <t>チェック対象債権区分</t>
    <rPh sb="4" eb="6">
      <t>タイショウ</t>
    </rPh>
    <rPh sb="6" eb="8">
      <t>サイケン</t>
    </rPh>
    <rPh sb="8" eb="10">
      <t>クブン</t>
    </rPh>
    <phoneticPr fontId="3"/>
  </si>
  <si>
    <t>-</t>
    <phoneticPr fontId="3"/>
  </si>
  <si>
    <t>②与信チェック処理の見直し</t>
    <rPh sb="1" eb="3">
      <t>ヨシン</t>
    </rPh>
    <rPh sb="7" eb="9">
      <t>ショリ</t>
    </rPh>
    <rPh sb="10" eb="12">
      <t>ミナオ</t>
    </rPh>
    <phoneticPr fontId="3"/>
  </si>
  <si>
    <t>チェック名</t>
    <rPh sb="4" eb="5">
      <t>メイ</t>
    </rPh>
    <phoneticPr fontId="3"/>
  </si>
  <si>
    <t>チェック処理内容</t>
    <rPh sb="4" eb="6">
      <t>ショリ</t>
    </rPh>
    <rPh sb="6" eb="8">
      <t>ナイヨウ</t>
    </rPh>
    <phoneticPr fontId="3"/>
  </si>
  <si>
    <t>データ取得元（マスタ）</t>
    <rPh sb="3" eb="6">
      <t>シュトクモト</t>
    </rPh>
    <phoneticPr fontId="3"/>
  </si>
  <si>
    <t>エラー/ワーニング</t>
    <phoneticPr fontId="3"/>
  </si>
  <si>
    <t>表示メッセージ（案）</t>
    <rPh sb="0" eb="2">
      <t>ヒョウジ</t>
    </rPh>
    <rPh sb="8" eb="9">
      <t>アン</t>
    </rPh>
    <phoneticPr fontId="3"/>
  </si>
  <si>
    <t>備考</t>
    <rPh sb="0" eb="2">
      <t>ビコウ</t>
    </rPh>
    <phoneticPr fontId="3"/>
  </si>
  <si>
    <t>与信限度額超過</t>
    <rPh sb="0" eb="5">
      <t>ヨシンゲンドガク</t>
    </rPh>
    <rPh sb="5" eb="7">
      <t>チョウカ</t>
    </rPh>
    <phoneticPr fontId="3"/>
  </si>
  <si>
    <t>得意先の与信管理先から与信残高を取得する。（mcf受注入力の与信残高取得処理を実行）
与信残高が既に超過している場合メッセージを表示する。</t>
    <phoneticPr fontId="3"/>
  </si>
  <si>
    <t>与信限度額マスタ
    与信限度額</t>
    <phoneticPr fontId="3"/>
  </si>
  <si>
    <t>現状処理。処理削除</t>
    <rPh sb="0" eb="2">
      <t>ゲンジョウ</t>
    </rPh>
    <rPh sb="2" eb="4">
      <t>ショリ</t>
    </rPh>
    <rPh sb="5" eb="7">
      <t>ショリ</t>
    </rPh>
    <rPh sb="7" eb="9">
      <t>サクジョ</t>
    </rPh>
    <phoneticPr fontId="3"/>
  </si>
  <si>
    <t>与信アラート率超過</t>
    <rPh sb="0" eb="2">
      <t>ヨシン</t>
    </rPh>
    <rPh sb="7" eb="9">
      <t>チョウカ</t>
    </rPh>
    <phoneticPr fontId="3"/>
  </si>
  <si>
    <t>得意先の与信管理先から与信残高を取得する。（mcf受注入力の与信残高取得処理を実行）
与信率が与信限度マスタ.アラート率を超過する場合メッセージを表示する。（Yes/No)
Yesが押下されると処理続行する。
Noが押下されると処理中止する。</t>
    <rPh sb="43" eb="45">
      <t>ヨシン</t>
    </rPh>
    <rPh sb="45" eb="46">
      <t>リツ</t>
    </rPh>
    <rPh sb="47" eb="51">
      <t>ヨシンゲンド</t>
    </rPh>
    <rPh sb="59" eb="60">
      <t>リツ</t>
    </rPh>
    <rPh sb="61" eb="63">
      <t>チョウカ</t>
    </rPh>
    <rPh sb="65" eb="67">
      <t>バアイ</t>
    </rPh>
    <rPh sb="91" eb="93">
      <t>オウカ</t>
    </rPh>
    <rPh sb="97" eb="99">
      <t>ショリ</t>
    </rPh>
    <rPh sb="99" eb="101">
      <t>ゾッコウ</t>
    </rPh>
    <rPh sb="108" eb="110">
      <t>オウカ</t>
    </rPh>
    <rPh sb="114" eb="116">
      <t>ショリ</t>
    </rPh>
    <rPh sb="116" eb="118">
      <t>チュウシ</t>
    </rPh>
    <phoneticPr fontId="3"/>
  </si>
  <si>
    <t>与信限度額マスタ
    アラート率</t>
    <rPh sb="17" eb="18">
      <t>リツ</t>
    </rPh>
    <phoneticPr fontId="3"/>
  </si>
  <si>
    <t>ワーニング（登録可）</t>
    <rPh sb="6" eb="8">
      <t>トウロク</t>
    </rPh>
    <rPh sb="8" eb="9">
      <t>カ</t>
    </rPh>
    <phoneticPr fontId="3"/>
  </si>
  <si>
    <t>【警告】受注/見積金額が与信アラート率を超過しています。与信限度額:xxx,xxx,xxx、与信残高:xxx,xxx,xxx、超過率xxx%</t>
    <rPh sb="1" eb="3">
      <t>ケイコク</t>
    </rPh>
    <rPh sb="4" eb="6">
      <t>ジュチュウ</t>
    </rPh>
    <rPh sb="7" eb="9">
      <t>ミツモリ</t>
    </rPh>
    <rPh sb="9" eb="11">
      <t>キンガク</t>
    </rPh>
    <rPh sb="12" eb="14">
      <t>ヨシン</t>
    </rPh>
    <rPh sb="20" eb="22">
      <t>チョウカ</t>
    </rPh>
    <rPh sb="28" eb="30">
      <t>ヨシン</t>
    </rPh>
    <phoneticPr fontId="3"/>
  </si>
  <si>
    <t>最終取引より特定日数超過</t>
    <rPh sb="0" eb="2">
      <t>サイシュウ</t>
    </rPh>
    <rPh sb="2" eb="4">
      <t>トリヒキ</t>
    </rPh>
    <rPh sb="6" eb="8">
      <t>トクテイ</t>
    </rPh>
    <rPh sb="8" eb="10">
      <t>ニッスウ</t>
    </rPh>
    <rPh sb="10" eb="12">
      <t>チョウカ</t>
    </rPh>
    <phoneticPr fontId="3"/>
  </si>
  <si>
    <t>得意先の過去売上実績データを検索し、売上日が一番新しい日付を検索する。
mcframe運用日付 - 取得した売上日 &gt; 与信チェックマスタ（新規汎用マスタ）.最終取引経過日数
の場合、メッセージを表示する。
（Yes/No)
Yesが押下されると処理続行する。
Noが押下されると処理中止する。</t>
    <rPh sb="0" eb="3">
      <t>トクイサキ</t>
    </rPh>
    <rPh sb="4" eb="6">
      <t>カコ</t>
    </rPh>
    <rPh sb="6" eb="8">
      <t>ウリアゲ</t>
    </rPh>
    <rPh sb="8" eb="10">
      <t>ジッセキ</t>
    </rPh>
    <rPh sb="14" eb="16">
      <t>ケンサク</t>
    </rPh>
    <rPh sb="18" eb="21">
      <t>ウリアゲビ</t>
    </rPh>
    <rPh sb="22" eb="24">
      <t>イチバン</t>
    </rPh>
    <rPh sb="24" eb="25">
      <t>アタラ</t>
    </rPh>
    <rPh sb="27" eb="29">
      <t>ヒヅケ</t>
    </rPh>
    <rPh sb="30" eb="32">
      <t>ケンサク</t>
    </rPh>
    <rPh sb="43" eb="45">
      <t>ウンヨウ</t>
    </rPh>
    <rPh sb="45" eb="47">
      <t>ヒヅケ</t>
    </rPh>
    <rPh sb="50" eb="52">
      <t>シュトク</t>
    </rPh>
    <rPh sb="54" eb="57">
      <t>ウリアゲビ</t>
    </rPh>
    <rPh sb="89" eb="91">
      <t>バアイ</t>
    </rPh>
    <rPh sb="98" eb="100">
      <t>ヒョウジ</t>
    </rPh>
    <phoneticPr fontId="3"/>
  </si>
  <si>
    <t>与信チェックマスタ（新規汎用マスタ）
　　最終取引経過日数（数値項目、単位：日）</t>
    <rPh sb="0" eb="2">
      <t>ヨシン</t>
    </rPh>
    <rPh sb="10" eb="12">
      <t>シンキ</t>
    </rPh>
    <rPh sb="12" eb="14">
      <t>ハンヨウ</t>
    </rPh>
    <rPh sb="21" eb="23">
      <t>サイシュウ</t>
    </rPh>
    <rPh sb="23" eb="25">
      <t>トリヒキ</t>
    </rPh>
    <rPh sb="25" eb="27">
      <t>ケイカ</t>
    </rPh>
    <rPh sb="27" eb="29">
      <t>ニッスウ</t>
    </rPh>
    <rPh sb="30" eb="32">
      <t>スウチ</t>
    </rPh>
    <rPh sb="32" eb="34">
      <t>コウモク</t>
    </rPh>
    <rPh sb="35" eb="37">
      <t>タンイ</t>
    </rPh>
    <rPh sb="38" eb="39">
      <t>ヒ</t>
    </rPh>
    <phoneticPr fontId="3"/>
  </si>
  <si>
    <t>【警告】最終売上日よりxxxx日を経過しています。</t>
    <rPh sb="1" eb="3">
      <t>ケイコク</t>
    </rPh>
    <rPh sb="4" eb="6">
      <t>サイシュウ</t>
    </rPh>
    <rPh sb="6" eb="9">
      <t>ウリアゲビ</t>
    </rPh>
    <rPh sb="15" eb="16">
      <t>ニチ</t>
    </rPh>
    <rPh sb="17" eb="19">
      <t>ケイカ</t>
    </rPh>
    <phoneticPr fontId="3"/>
  </si>
  <si>
    <t>債権区分警告</t>
    <rPh sb="0" eb="2">
      <t>サイケン</t>
    </rPh>
    <rPh sb="2" eb="4">
      <t>クブン</t>
    </rPh>
    <rPh sb="4" eb="6">
      <t>ケイコク</t>
    </rPh>
    <phoneticPr fontId="3"/>
  </si>
  <si>
    <t>受注/見積で指定されている得意先CDに対して、取引先マスタの債権区分 &lt;= 与信チェックマスタ（新規汎用マスタ）.チェック対象債権区分(数値項目）の場合、メッセージを表示する。
（Yes/No)
Yesが押下されると処理続行する。
Noが押下されると処理中止する。</t>
    <phoneticPr fontId="3"/>
  </si>
  <si>
    <t>与信チェックマスタ（新規汎用マスタ）
　　チェック対象債権区分</t>
    <rPh sb="0" eb="2">
      <t>ヨシン</t>
    </rPh>
    <rPh sb="10" eb="12">
      <t>シンキ</t>
    </rPh>
    <rPh sb="12" eb="14">
      <t>ハンヨウ</t>
    </rPh>
    <rPh sb="25" eb="27">
      <t>タイショウ</t>
    </rPh>
    <rPh sb="27" eb="29">
      <t>サイケン</t>
    </rPh>
    <rPh sb="29" eb="31">
      <t>クブン</t>
    </rPh>
    <phoneticPr fontId="3"/>
  </si>
  <si>
    <t>【警告】指定取引先の債権区分にxxが指定されています。</t>
    <rPh sb="1" eb="3">
      <t>ケイコク</t>
    </rPh>
    <rPh sb="4" eb="6">
      <t>シテイ</t>
    </rPh>
    <rPh sb="6" eb="8">
      <t>トリヒキ</t>
    </rPh>
    <rPh sb="8" eb="9">
      <t>サキ</t>
    </rPh>
    <rPh sb="10" eb="12">
      <t>サイケン</t>
    </rPh>
    <rPh sb="12" eb="14">
      <t>クブン</t>
    </rPh>
    <rPh sb="18" eb="20">
      <t>シテイ</t>
    </rPh>
    <phoneticPr fontId="3"/>
  </si>
  <si>
    <t>与信禁止率超過</t>
    <rPh sb="0" eb="2">
      <t>ヨシン</t>
    </rPh>
    <rPh sb="2" eb="4">
      <t>キンシ</t>
    </rPh>
    <rPh sb="4" eb="5">
      <t>リツ</t>
    </rPh>
    <rPh sb="5" eb="7">
      <t>チョウカ</t>
    </rPh>
    <phoneticPr fontId="3"/>
  </si>
  <si>
    <t>得意先の与信管理先から与信残高を取得する。（mcf受注入力の与信残高取得処理を実行）
与信率が与信チェックマスタ（新規汎用マスタ）.禁止超過率を超過する場合メッセージを表示する。(OKOnly)
OKが押下されると処理中止する。</t>
    <rPh sb="47" eb="49">
      <t>ヨシン</t>
    </rPh>
    <rPh sb="57" eb="59">
      <t>シンキ</t>
    </rPh>
    <rPh sb="59" eb="61">
      <t>ハンヨウ</t>
    </rPh>
    <rPh sb="66" eb="68">
      <t>キンシ</t>
    </rPh>
    <rPh sb="68" eb="70">
      <t>チョウカ</t>
    </rPh>
    <rPh sb="70" eb="71">
      <t>リツ</t>
    </rPh>
    <rPh sb="101" eb="103">
      <t>オウカ</t>
    </rPh>
    <rPh sb="107" eb="109">
      <t>ショリ</t>
    </rPh>
    <rPh sb="109" eb="111">
      <t>チュウシ</t>
    </rPh>
    <phoneticPr fontId="3"/>
  </si>
  <si>
    <t>与信チェックマスタ（新規汎用マスタ）
　　禁止超過率（数値項目、単位：%）</t>
    <rPh sb="0" eb="2">
      <t>ヨシン</t>
    </rPh>
    <rPh sb="10" eb="12">
      <t>シンキ</t>
    </rPh>
    <rPh sb="12" eb="14">
      <t>ハンヨウ</t>
    </rPh>
    <rPh sb="21" eb="23">
      <t>キンシ</t>
    </rPh>
    <rPh sb="23" eb="25">
      <t>チョウカ</t>
    </rPh>
    <rPh sb="25" eb="26">
      <t>リツ</t>
    </rPh>
    <rPh sb="27" eb="29">
      <t>スウチ</t>
    </rPh>
    <rPh sb="29" eb="31">
      <t>コウモク</t>
    </rPh>
    <rPh sb="32" eb="34">
      <t>タンイ</t>
    </rPh>
    <phoneticPr fontId="3"/>
  </si>
  <si>
    <t>エラー（登録不可）</t>
    <rPh sb="4" eb="6">
      <t>トウロク</t>
    </rPh>
    <rPh sb="6" eb="8">
      <t>フカ</t>
    </rPh>
    <phoneticPr fontId="3"/>
  </si>
  <si>
    <t>【エラー】受注/見積金額が受注禁止与信率を超過しています。与信限度額:xxx,xxx,xxx、与信残高:xxx,xxx,xxx、超過率xxx%</t>
    <rPh sb="5" eb="7">
      <t>ジュチュウ</t>
    </rPh>
    <rPh sb="8" eb="10">
      <t>ミツモリ</t>
    </rPh>
    <rPh sb="10" eb="12">
      <t>キンガク</t>
    </rPh>
    <rPh sb="13" eb="17">
      <t>ジュチュウキンシ</t>
    </rPh>
    <rPh sb="17" eb="20">
      <t>ヨシンリツ</t>
    </rPh>
    <rPh sb="21" eb="23">
      <t>チョウカ</t>
    </rPh>
    <rPh sb="29" eb="31">
      <t>ヨシン</t>
    </rPh>
    <phoneticPr fontId="3"/>
  </si>
  <si>
    <t>現状：From</t>
    <rPh sb="0" eb="2">
      <t>ゲンジョウ</t>
    </rPh>
    <phoneticPr fontId="3"/>
  </si>
  <si>
    <t>変更後：To</t>
    <rPh sb="0" eb="2">
      <t>ヘンコウ</t>
    </rPh>
    <rPh sb="2" eb="3">
      <t>アト</t>
    </rPh>
    <phoneticPr fontId="3"/>
  </si>
  <si>
    <t>【仕様連絡書　RCS-1467】加工材料マスタのキー追加　並び順について（製品マスタ連携仕様変更連絡）</t>
    <phoneticPr fontId="2"/>
  </si>
  <si>
    <t>★</t>
    <phoneticPr fontId="2"/>
  </si>
  <si>
    <t>概要</t>
    <rPh sb="0" eb="2">
      <t>ガイヨウ</t>
    </rPh>
    <phoneticPr fontId="2"/>
  </si>
  <si>
    <t>加工材料マスタの並び順を主キーとする。</t>
    <rPh sb="0" eb="2">
      <t>カコウ</t>
    </rPh>
    <rPh sb="2" eb="4">
      <t>ザイリョウ</t>
    </rPh>
    <rPh sb="8" eb="9">
      <t>ナラ</t>
    </rPh>
    <rPh sb="10" eb="11">
      <t>ジュン</t>
    </rPh>
    <rPh sb="12" eb="13">
      <t>シュ</t>
    </rPh>
    <phoneticPr fontId="2"/>
  </si>
  <si>
    <t>それに伴い、製品マスタ連携の連携仕様を変更する。</t>
    <rPh sb="3" eb="4">
      <t>トモナ</t>
    </rPh>
    <rPh sb="6" eb="8">
      <t>セイヒン</t>
    </rPh>
    <rPh sb="11" eb="13">
      <t>レンケイ</t>
    </rPh>
    <rPh sb="14" eb="16">
      <t>レンケイ</t>
    </rPh>
    <rPh sb="16" eb="18">
      <t>シヨウ</t>
    </rPh>
    <rPh sb="19" eb="21">
      <t>ヘンコウ</t>
    </rPh>
    <phoneticPr fontId="3"/>
  </si>
  <si>
    <t>変更点の概要</t>
    <rPh sb="0" eb="2">
      <t>ヘンコウ</t>
    </rPh>
    <rPh sb="2" eb="3">
      <t>テン</t>
    </rPh>
    <rPh sb="4" eb="6">
      <t>ガイヨウ</t>
    </rPh>
    <phoneticPr fontId="2"/>
  </si>
  <si>
    <t>mcf側</t>
    <rPh sb="3" eb="4">
      <t>ガワ</t>
    </rPh>
    <phoneticPr fontId="2"/>
  </si>
  <si>
    <t>WEB画面（材料設定）</t>
    <rPh sb="3" eb="5">
      <t>ガメン</t>
    </rPh>
    <rPh sb="6" eb="10">
      <t>ザイリョウセッテイ</t>
    </rPh>
    <phoneticPr fontId="2"/>
  </si>
  <si>
    <t>連携</t>
    <rPh sb="0" eb="2">
      <t>レンケイ</t>
    </rPh>
    <phoneticPr fontId="2"/>
  </si>
  <si>
    <t>BOMマスタ：表示順</t>
    <rPh sb="7" eb="9">
      <t>ヒョウジ</t>
    </rPh>
    <rPh sb="9" eb="10">
      <t>ジュン</t>
    </rPh>
    <phoneticPr fontId="2"/>
  </si>
  <si>
    <t>原紙A</t>
    <rPh sb="0" eb="2">
      <t>ゲンシ</t>
    </rPh>
    <phoneticPr fontId="2"/>
  </si>
  <si>
    <t>表</t>
    <rPh sb="0" eb="1">
      <t>オモテ</t>
    </rPh>
    <phoneticPr fontId="2"/>
  </si>
  <si>
    <t>⇒</t>
    <phoneticPr fontId="2"/>
  </si>
  <si>
    <t>中</t>
    <rPh sb="0" eb="1">
      <t>ナカ</t>
    </rPh>
    <phoneticPr fontId="2"/>
  </si>
  <si>
    <t>裏</t>
    <rPh sb="0" eb="1">
      <t>ウラ</t>
    </rPh>
    <phoneticPr fontId="2"/>
  </si>
  <si>
    <t>※BOMマスタへの連携時に</t>
    <rPh sb="9" eb="12">
      <t>レンケイジ</t>
    </rPh>
    <phoneticPr fontId="2"/>
  </si>
  <si>
    <t>表の場合は「表示順：1」</t>
    <rPh sb="6" eb="8">
      <t>ヒョウジ</t>
    </rPh>
    <phoneticPr fontId="2"/>
  </si>
  <si>
    <t>中の場合は「表示順：2」</t>
    <rPh sb="0" eb="1">
      <t>ナカ</t>
    </rPh>
    <rPh sb="6" eb="8">
      <t>ヒョウジ</t>
    </rPh>
    <phoneticPr fontId="2"/>
  </si>
  <si>
    <t>裏の場合は「表示順：3」</t>
    <rPh sb="0" eb="1">
      <t>ウラ</t>
    </rPh>
    <rPh sb="6" eb="8">
      <t>ヒョウジ</t>
    </rPh>
    <phoneticPr fontId="2"/>
  </si>
  <si>
    <t>でのデータ連携へ変更する。</t>
    <rPh sb="5" eb="7">
      <t>レンケイ</t>
    </rPh>
    <rPh sb="8" eb="10">
      <t>ヘンコウ</t>
    </rPh>
    <phoneticPr fontId="2"/>
  </si>
  <si>
    <t>変更内容としては以下内容となります。</t>
    <rPh sb="0" eb="2">
      <t>ヘンコウ</t>
    </rPh>
    <rPh sb="2" eb="4">
      <t>ナイヨウ</t>
    </rPh>
    <rPh sb="8" eb="10">
      <t>イカ</t>
    </rPh>
    <rPh sb="10" eb="12">
      <t>ナイヨウ</t>
    </rPh>
    <phoneticPr fontId="2"/>
  </si>
  <si>
    <t>DB定義の変更（製品加工材料マスタの並び順をキー項目へ変更）※同品目で並び順のみ違うものが発生するため追加必要</t>
    <rPh sb="2" eb="4">
      <t>テイギ</t>
    </rPh>
    <rPh sb="5" eb="7">
      <t>ヘンコウ</t>
    </rPh>
    <rPh sb="8" eb="14">
      <t>セイヒンカコウザイリョウ</t>
    </rPh>
    <rPh sb="18" eb="19">
      <t>ナラ</t>
    </rPh>
    <rPh sb="20" eb="21">
      <t>ジュン</t>
    </rPh>
    <rPh sb="24" eb="26">
      <t>コウモク</t>
    </rPh>
    <rPh sb="27" eb="29">
      <t>ヘンコウ</t>
    </rPh>
    <rPh sb="31" eb="34">
      <t>ドウヒンモク</t>
    </rPh>
    <rPh sb="35" eb="36">
      <t>ナラ</t>
    </rPh>
    <rPh sb="37" eb="38">
      <t>ジュン</t>
    </rPh>
    <rPh sb="40" eb="41">
      <t>チガ</t>
    </rPh>
    <rPh sb="45" eb="47">
      <t>ハッセイ</t>
    </rPh>
    <rPh sb="51" eb="53">
      <t>ツイカ</t>
    </rPh>
    <rPh sb="53" eb="55">
      <t>ヒツヨウ</t>
    </rPh>
    <phoneticPr fontId="2"/>
  </si>
  <si>
    <t>②</t>
    <phoneticPr fontId="2"/>
  </si>
  <si>
    <t>BOMマスタへの連携時に原紙の表、裏、中どれかを判定し、それぞれ</t>
    <rPh sb="8" eb="10">
      <t>レンケイ</t>
    </rPh>
    <rPh sb="10" eb="11">
      <t>ジ</t>
    </rPh>
    <rPh sb="12" eb="14">
      <t>ゲンシ</t>
    </rPh>
    <rPh sb="15" eb="16">
      <t>オモテ</t>
    </rPh>
    <rPh sb="17" eb="18">
      <t>ウラ</t>
    </rPh>
    <rPh sb="19" eb="20">
      <t>ナカ</t>
    </rPh>
    <rPh sb="24" eb="26">
      <t>ハンテイ</t>
    </rPh>
    <phoneticPr fontId="2"/>
  </si>
  <si>
    <t>表：1　中：2　裏：３の値をBOMマスタの表示順に連携するようプログラムを変更する。</t>
    <rPh sb="0" eb="1">
      <t>オモテ</t>
    </rPh>
    <rPh sb="4" eb="5">
      <t>ナカ</t>
    </rPh>
    <rPh sb="8" eb="9">
      <t>ウラ</t>
    </rPh>
    <rPh sb="12" eb="13">
      <t>アタイ</t>
    </rPh>
    <rPh sb="21" eb="24">
      <t>ヒョウジジュン</t>
    </rPh>
    <rPh sb="25" eb="27">
      <t>レンケイ</t>
    </rPh>
    <rPh sb="37" eb="39">
      <t>ヘンコウ</t>
    </rPh>
    <phoneticPr fontId="2"/>
  </si>
  <si>
    <t>詳細（イメージ図）</t>
    <rPh sb="0" eb="2">
      <t>ショウサイ</t>
    </rPh>
    <rPh sb="7" eb="8">
      <t>ズ</t>
    </rPh>
    <phoneticPr fontId="2"/>
  </si>
  <si>
    <t>懸念点（注意点）</t>
    <rPh sb="0" eb="2">
      <t>ケネン</t>
    </rPh>
    <rPh sb="2" eb="3">
      <t>テン</t>
    </rPh>
    <rPh sb="4" eb="6">
      <t>チュウイ</t>
    </rPh>
    <rPh sb="6" eb="7">
      <t>テン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</si>
</sst>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Yu Gothic"/>
      <family val="2"/>
      <scheme val="minor"/>
    </font>
    <font>
      <sz val="11"/>
      <color theme="1"/>
      <name val="Yu Gothic"/>
      <family val="2"/>
      <charset val="128"/>
      <scheme val="minor"/>
    </font>
    <font>
      <sz val="6"/>
      <name val="Yu Gothic"/>
      <family val="3"/>
      <charset val="128"/>
      <scheme val="minor"/>
    </font>
    <font>
      <sz val="6"/>
      <name val="Yu Gothic"/>
      <family val="2"/>
      <charset val="128"/>
      <scheme val="minor"/>
    </font>
    <font>
      <sz val="9"/>
      <color indexed="81"/>
      <name val="Meiryo UI"/>
      <family val="3"/>
      <charset val="128"/>
    </font>
    <font>
      <sz val="11"/>
      <color theme="1"/>
      <name val="Meiryo UI"/>
      <family val="3"/>
      <charset val="128"/>
    </font>
    <font>
      <sz val="8"/>
      <color rgb="FF0000FF"/>
      <name val="Meiryo UI"/>
      <family val="3"/>
      <charset val="128"/>
    </font>
    <font>
      <sz val="11"/>
      <color rgb="FF0000FF"/>
      <name val="Meiryo UI"/>
      <family val="3"/>
      <charset val="128"/>
    </font>
    <font>
      <sz val="11"/>
      <color rgb="FFFF0000"/>
      <name val="Meiryo UI"/>
      <family val="3"/>
      <charset val="128"/>
    </font>
    <font>
      <sz val="11"/>
      <color theme="1"/>
      <name val="Yu Gothic"/>
      <family val="2"/>
      <scheme val="minor"/>
    </font>
    <font>
      <strike/>
      <sz val="11"/>
      <color theme="1"/>
      <name val="Yu Gothic"/>
      <family val="2"/>
      <charset val="128"/>
      <scheme val="minor"/>
    </font>
    <font>
      <strike/>
      <sz val="11"/>
      <color theme="1"/>
      <name val="Yu Gothic"/>
      <family val="3"/>
      <charset val="128"/>
      <scheme val="minor"/>
    </font>
    <font>
      <sz val="11"/>
      <color theme="1"/>
      <name val="Yu Gothic"/>
      <family val="3"/>
      <charset val="128"/>
      <scheme val="minor"/>
    </font>
    <font>
      <b/>
      <sz val="20"/>
      <color theme="1"/>
      <name val="Meiryo UI"/>
      <family val="3"/>
      <charset val="128"/>
    </font>
  </fonts>
  <fills count="8">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0" borderId="0">
      <alignment vertical="center"/>
    </xf>
    <xf numFmtId="0" fontId="9" fillId="0" borderId="0"/>
  </cellStyleXfs>
  <cellXfs count="87">
    <xf numFmtId="0" fontId="0" fillId="0" borderId="0" xfId="0"/>
    <xf numFmtId="0" fontId="0" fillId="0" borderId="0" xfId="0" applyAlignment="1">
      <alignment horizontal="center" vertical="top" wrapText="1"/>
    </xf>
    <xf numFmtId="0" fontId="0" fillId="2" borderId="1" xfId="0" applyFill="1" applyBorder="1" applyAlignment="1">
      <alignment vertical="top"/>
    </xf>
    <xf numFmtId="0" fontId="0" fillId="2" borderId="1" xfId="0" applyFill="1" applyBorder="1" applyAlignment="1">
      <alignment vertical="top" wrapText="1"/>
    </xf>
    <xf numFmtId="0" fontId="0" fillId="0" borderId="0" xfId="0" applyAlignment="1">
      <alignment vertical="top"/>
    </xf>
    <xf numFmtId="0" fontId="0" fillId="3" borderId="2" xfId="0" applyFill="1" applyBorder="1" applyAlignment="1">
      <alignment horizontal="center" vertical="top" wrapText="1"/>
    </xf>
    <xf numFmtId="0" fontId="0" fillId="3" borderId="2" xfId="0" applyFill="1" applyBorder="1" applyAlignment="1">
      <alignment horizontal="right" vertical="top"/>
    </xf>
    <xf numFmtId="0" fontId="0" fillId="3" borderId="2" xfId="0" applyFill="1" applyBorder="1" applyAlignment="1">
      <alignment vertical="top" wrapText="1"/>
    </xf>
    <xf numFmtId="0" fontId="0" fillId="4" borderId="2" xfId="0" applyFill="1" applyBorder="1" applyAlignment="1">
      <alignment horizontal="center" vertical="top" wrapText="1"/>
    </xf>
    <xf numFmtId="0" fontId="0" fillId="4" borderId="2" xfId="0" applyFill="1" applyBorder="1" applyAlignment="1">
      <alignment horizontal="right" vertical="top"/>
    </xf>
    <xf numFmtId="0" fontId="0" fillId="4" borderId="2" xfId="0" applyFill="1" applyBorder="1" applyAlignment="1">
      <alignment vertical="top" wrapText="1"/>
    </xf>
    <xf numFmtId="0" fontId="0" fillId="0" borderId="0" xfId="0" applyAlignment="1">
      <alignment horizontal="center" vertical="top"/>
    </xf>
    <xf numFmtId="0" fontId="5" fillId="5" borderId="2" xfId="0" applyFont="1" applyFill="1" applyBorder="1" applyAlignment="1">
      <alignment horizontal="center" vertical="top" wrapText="1"/>
    </xf>
    <xf numFmtId="0" fontId="5" fillId="0" borderId="0" xfId="0" applyFont="1" applyAlignment="1">
      <alignment vertical="top"/>
    </xf>
    <xf numFmtId="0" fontId="5" fillId="5" borderId="2" xfId="0" applyFont="1" applyFill="1" applyBorder="1" applyAlignment="1">
      <alignment horizontal="center" vertical="top"/>
    </xf>
    <xf numFmtId="0" fontId="6" fillId="0" borderId="0" xfId="0" applyFont="1" applyAlignment="1">
      <alignment vertical="top"/>
    </xf>
    <xf numFmtId="0" fontId="6" fillId="0" borderId="0" xfId="0" applyFont="1" applyAlignment="1">
      <alignment horizontal="center" vertical="top"/>
    </xf>
    <xf numFmtId="0" fontId="5" fillId="0" borderId="0" xfId="0" applyFont="1" applyAlignment="1">
      <alignment horizontal="center" vertical="top"/>
    </xf>
    <xf numFmtId="0" fontId="5" fillId="3" borderId="1" xfId="0" applyFont="1" applyFill="1" applyBorder="1" applyAlignment="1">
      <alignment horizontal="center" vertical="top" wrapText="1"/>
    </xf>
    <xf numFmtId="0" fontId="5" fillId="6" borderId="2" xfId="0" applyFont="1" applyFill="1" applyBorder="1" applyAlignment="1">
      <alignment vertical="top"/>
    </xf>
    <xf numFmtId="0" fontId="5" fillId="3" borderId="4" xfId="0" applyFont="1" applyFill="1" applyBorder="1" applyAlignment="1">
      <alignment horizontal="center" vertical="top" wrapText="1"/>
    </xf>
    <xf numFmtId="0" fontId="5" fillId="0" borderId="2" xfId="0" applyFont="1" applyBorder="1" applyAlignment="1">
      <alignment vertical="top"/>
    </xf>
    <xf numFmtId="0" fontId="7" fillId="0" borderId="2" xfId="0" applyFont="1" applyBorder="1" applyAlignment="1">
      <alignment vertical="top"/>
    </xf>
    <xf numFmtId="0" fontId="5" fillId="3" borderId="2" xfId="0" applyFont="1" applyFill="1" applyBorder="1" applyAlignment="1">
      <alignment horizontal="center" vertical="top" wrapText="1"/>
    </xf>
    <xf numFmtId="0" fontId="5" fillId="0" borderId="3" xfId="0" applyFont="1" applyBorder="1" applyAlignment="1">
      <alignment horizontal="center" vertical="top"/>
    </xf>
    <xf numFmtId="0" fontId="5" fillId="3" borderId="2" xfId="0" applyFont="1" applyFill="1" applyBorder="1" applyAlignment="1">
      <alignment vertical="top" wrapText="1"/>
    </xf>
    <xf numFmtId="0" fontId="5" fillId="0" borderId="4" xfId="0" applyFont="1" applyBorder="1" applyAlignment="1">
      <alignment horizontal="center" vertical="top"/>
    </xf>
    <xf numFmtId="0" fontId="5" fillId="4" borderId="1"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4" borderId="4" xfId="0" applyFont="1" applyFill="1" applyBorder="1" applyAlignment="1">
      <alignment horizontal="center" vertical="top" wrapText="1"/>
    </xf>
    <xf numFmtId="0" fontId="5" fillId="4" borderId="2" xfId="0" applyFont="1" applyFill="1" applyBorder="1" applyAlignment="1">
      <alignment vertical="top" wrapText="1"/>
    </xf>
    <xf numFmtId="0" fontId="8" fillId="0" borderId="0" xfId="0" applyFont="1" applyAlignment="1">
      <alignment vertical="top"/>
    </xf>
    <xf numFmtId="0" fontId="1" fillId="0" borderId="0" xfId="1">
      <alignment vertical="center"/>
    </xf>
    <xf numFmtId="0" fontId="1" fillId="2" borderId="2" xfId="1" applyFill="1" applyBorder="1">
      <alignment vertical="center"/>
    </xf>
    <xf numFmtId="0" fontId="1" fillId="0" borderId="2" xfId="1" applyBorder="1">
      <alignment vertical="center"/>
    </xf>
    <xf numFmtId="0" fontId="1" fillId="0" borderId="2" xfId="1" quotePrefix="1" applyBorder="1">
      <alignment vertical="center"/>
    </xf>
    <xf numFmtId="0" fontId="10" fillId="7" borderId="2" xfId="1" applyFont="1" applyFill="1" applyBorder="1">
      <alignment vertical="center"/>
    </xf>
    <xf numFmtId="0" fontId="11" fillId="7" borderId="2" xfId="1" applyFont="1" applyFill="1" applyBorder="1" applyAlignment="1">
      <alignment vertical="center" wrapText="1"/>
    </xf>
    <xf numFmtId="0" fontId="11" fillId="7" borderId="2" xfId="1" applyFont="1" applyFill="1" applyBorder="1">
      <alignment vertical="center"/>
    </xf>
    <xf numFmtId="0" fontId="1" fillId="0" borderId="0" xfId="1" applyAlignment="1">
      <alignment vertical="center" wrapText="1"/>
    </xf>
    <xf numFmtId="0" fontId="1" fillId="0" borderId="2" xfId="1" applyBorder="1" applyAlignment="1">
      <alignment vertical="center" wrapText="1"/>
    </xf>
    <xf numFmtId="0" fontId="12" fillId="0" borderId="2" xfId="1" applyFont="1" applyBorder="1" applyAlignment="1">
      <alignment vertical="center" wrapText="1"/>
    </xf>
    <xf numFmtId="0" fontId="5" fillId="0" borderId="0" xfId="2" applyFont="1"/>
    <xf numFmtId="0" fontId="5" fillId="0" borderId="0" xfId="2" applyFont="1" applyAlignment="1">
      <alignment horizontal="center" vertical="center"/>
    </xf>
    <xf numFmtId="0" fontId="13" fillId="0" borderId="0" xfId="2" applyFont="1"/>
    <xf numFmtId="0" fontId="13" fillId="0" borderId="0" xfId="2" applyFont="1" applyAlignment="1">
      <alignment horizontal="center" vertical="center"/>
    </xf>
    <xf numFmtId="0" fontId="13" fillId="4" borderId="5" xfId="2" applyFont="1" applyFill="1" applyBorder="1"/>
    <xf numFmtId="0" fontId="13" fillId="4" borderId="6" xfId="2" applyFont="1" applyFill="1" applyBorder="1"/>
    <xf numFmtId="0" fontId="13" fillId="4" borderId="7" xfId="2" applyFont="1" applyFill="1" applyBorder="1"/>
    <xf numFmtId="0" fontId="5" fillId="3" borderId="8" xfId="2" applyFont="1" applyFill="1" applyBorder="1"/>
    <xf numFmtId="0" fontId="5" fillId="3" borderId="9" xfId="2" applyFont="1" applyFill="1" applyBorder="1"/>
    <xf numFmtId="0" fontId="5" fillId="0" borderId="9" xfId="2" applyFont="1" applyBorder="1"/>
    <xf numFmtId="0" fontId="5" fillId="0" borderId="10" xfId="2" applyFont="1" applyBorder="1"/>
    <xf numFmtId="0" fontId="5" fillId="3" borderId="11" xfId="2" applyFont="1" applyFill="1" applyBorder="1"/>
    <xf numFmtId="0" fontId="5" fillId="3" borderId="0" xfId="2" applyFont="1" applyFill="1"/>
    <xf numFmtId="0" fontId="5" fillId="0" borderId="12" xfId="2" applyFont="1" applyBorder="1"/>
    <xf numFmtId="0" fontId="5" fillId="3" borderId="13" xfId="2" applyFont="1" applyFill="1" applyBorder="1"/>
    <xf numFmtId="0" fontId="5" fillId="3" borderId="14" xfId="2" applyFont="1" applyFill="1" applyBorder="1"/>
    <xf numFmtId="0" fontId="5" fillId="0" borderId="14" xfId="2" applyFont="1" applyBorder="1"/>
    <xf numFmtId="0" fontId="5" fillId="0" borderId="15" xfId="2" applyFont="1" applyBorder="1"/>
    <xf numFmtId="0" fontId="5" fillId="2" borderId="16" xfId="2" applyFont="1" applyFill="1" applyBorder="1"/>
    <xf numFmtId="0" fontId="5" fillId="2" borderId="17" xfId="2" applyFont="1" applyFill="1" applyBorder="1"/>
    <xf numFmtId="0" fontId="5" fillId="2" borderId="2" xfId="2" applyFont="1" applyFill="1" applyBorder="1" applyAlignment="1">
      <alignment horizontal="center" vertical="center"/>
    </xf>
    <xf numFmtId="0" fontId="5" fillId="2" borderId="2" xfId="2" applyFont="1" applyFill="1" applyBorder="1"/>
    <xf numFmtId="0" fontId="5" fillId="3" borderId="2" xfId="2" applyFont="1" applyFill="1" applyBorder="1"/>
    <xf numFmtId="0" fontId="5" fillId="3" borderId="2" xfId="2" applyFont="1" applyFill="1" applyBorder="1" applyAlignment="1">
      <alignment horizontal="center" vertical="center"/>
    </xf>
    <xf numFmtId="0" fontId="5" fillId="3" borderId="0" xfId="2" applyFont="1" applyFill="1" applyAlignment="1">
      <alignment horizontal="center" vertical="center"/>
    </xf>
    <xf numFmtId="0" fontId="13" fillId="4" borderId="16" xfId="2" applyFont="1" applyFill="1" applyBorder="1"/>
    <xf numFmtId="0" fontId="13" fillId="4" borderId="18" xfId="2" applyFont="1" applyFill="1" applyBorder="1"/>
    <xf numFmtId="0" fontId="13" fillId="4" borderId="17" xfId="2" applyFont="1" applyFill="1" applyBorder="1"/>
    <xf numFmtId="0" fontId="0" fillId="3" borderId="1" xfId="0" applyFill="1" applyBorder="1" applyAlignment="1">
      <alignment horizontal="center" vertical="top" wrapText="1"/>
    </xf>
    <xf numFmtId="0" fontId="0" fillId="3" borderId="4" xfId="0" applyFill="1" applyBorder="1" applyAlignment="1">
      <alignment horizontal="center" vertical="top" wrapText="1"/>
    </xf>
    <xf numFmtId="0" fontId="0" fillId="4" borderId="1" xfId="0" applyFill="1" applyBorder="1" applyAlignment="1">
      <alignment horizontal="center" vertical="top" wrapText="1"/>
    </xf>
    <xf numFmtId="0" fontId="0" fillId="0" borderId="4" xfId="0" applyBorder="1" applyAlignment="1">
      <alignment horizontal="center" vertical="top"/>
    </xf>
    <xf numFmtId="0" fontId="7" fillId="0" borderId="0" xfId="0" applyFont="1" applyAlignment="1">
      <alignment vertical="top" wrapText="1"/>
    </xf>
    <xf numFmtId="0" fontId="6" fillId="0" borderId="0" xfId="0" applyFont="1" applyAlignment="1">
      <alignment vertical="top" wrapText="1"/>
    </xf>
    <xf numFmtId="0" fontId="5" fillId="4" borderId="2" xfId="0" applyFont="1" applyFill="1" applyBorder="1" applyAlignment="1">
      <alignment horizontal="center" vertical="top" wrapText="1"/>
    </xf>
    <xf numFmtId="0" fontId="5" fillId="3" borderId="1" xfId="0" applyFont="1" applyFill="1" applyBorder="1" applyAlignment="1">
      <alignment horizontal="center" vertical="top" wrapText="1"/>
    </xf>
    <xf numFmtId="0" fontId="5" fillId="3" borderId="4" xfId="0" applyFont="1" applyFill="1" applyBorder="1" applyAlignment="1">
      <alignment horizontal="center" vertical="top" wrapText="1"/>
    </xf>
    <xf numFmtId="0" fontId="5" fillId="3" borderId="2"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3" borderId="1"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0" borderId="4" xfId="0" applyFont="1" applyFill="1" applyBorder="1" applyAlignment="1">
      <alignment horizontal="center" vertical="top" wrapText="1"/>
    </xf>
  </cellXfs>
  <cellStyles count="3">
    <cellStyle name="標準" xfId="0" builtinId="0"/>
    <cellStyle name="標準 2" xfId="1" xr:uid="{D9E4AE5D-E4EA-44C1-AA7D-5E09A38BC7C0}"/>
    <cellStyle name="標準 3" xfId="2" xr:uid="{34E2FE7A-822B-4B24-8867-EA393FCAC0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139700</xdr:rowOff>
    </xdr:from>
    <xdr:to>
      <xdr:col>11</xdr:col>
      <xdr:colOff>260350</xdr:colOff>
      <xdr:row>10</xdr:row>
      <xdr:rowOff>225425</xdr:rowOff>
    </xdr:to>
    <xdr:pic>
      <xdr:nvPicPr>
        <xdr:cNvPr id="2" name="図 1">
          <a:extLst>
            <a:ext uri="{FF2B5EF4-FFF2-40B4-BE49-F238E27FC236}">
              <a16:creationId xmlns:a16="http://schemas.microsoft.com/office/drawing/2014/main" id="{41BC9BB5-B8F6-41DA-A084-DCF3FEC4D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654050"/>
          <a:ext cx="71183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11</xdr:col>
      <xdr:colOff>260350</xdr:colOff>
      <xdr:row>24</xdr:row>
      <xdr:rowOff>79375</xdr:rowOff>
    </xdr:to>
    <xdr:pic>
      <xdr:nvPicPr>
        <xdr:cNvPr id="3" name="図 2">
          <a:extLst>
            <a:ext uri="{FF2B5EF4-FFF2-40B4-BE49-F238E27FC236}">
              <a16:creationId xmlns:a16="http://schemas.microsoft.com/office/drawing/2014/main" id="{2643EA63-81A8-4912-8690-5DF7AFAB9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 y="2914650"/>
          <a:ext cx="7118350" cy="174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425450</xdr:colOff>
      <xdr:row>25</xdr:row>
      <xdr:rowOff>107950</xdr:rowOff>
    </xdr:from>
    <xdr:to>
      <xdr:col>3</xdr:col>
      <xdr:colOff>438150</xdr:colOff>
      <xdr:row>29</xdr:row>
      <xdr:rowOff>31750</xdr:rowOff>
    </xdr:to>
    <xdr:sp macro="" textlink="">
      <xdr:nvSpPr>
        <xdr:cNvPr id="4" name="吹き出し: 線 3">
          <a:extLst>
            <a:ext uri="{FF2B5EF4-FFF2-40B4-BE49-F238E27FC236}">
              <a16:creationId xmlns:a16="http://schemas.microsoft.com/office/drawing/2014/main" id="{C07E1787-749E-412B-9E20-9342AA7C12A4}"/>
            </a:ext>
          </a:extLst>
        </xdr:cNvPr>
        <xdr:cNvSpPr/>
      </xdr:nvSpPr>
      <xdr:spPr>
        <a:xfrm>
          <a:off x="1111250" y="4394200"/>
          <a:ext cx="1384300" cy="609600"/>
        </a:xfrm>
        <a:prstGeom prst="borderCallout1">
          <a:avLst>
            <a:gd name="adj1" fmla="val -67304"/>
            <a:gd name="adj2" fmla="val 73504"/>
            <a:gd name="adj3" fmla="val -4354"/>
            <a:gd name="adj4" fmla="val 2694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入力制限</a:t>
          </a:r>
          <a:endParaRPr kumimoji="1" lang="en-US" altLang="ja-JP" sz="1100"/>
        </a:p>
        <a:p>
          <a:pPr algn="l"/>
          <a:r>
            <a:rPr kumimoji="1" lang="en-US" altLang="ja-JP" sz="1100"/>
            <a:t>00:00</a:t>
          </a:r>
          <a:r>
            <a:rPr kumimoji="1" lang="ja-JP" altLang="en-US" sz="1100"/>
            <a:t>～</a:t>
          </a:r>
          <a:r>
            <a:rPr kumimoji="1" lang="en-US" altLang="ja-JP" sz="1100"/>
            <a:t>23:59</a:t>
          </a:r>
          <a:endParaRPr kumimoji="1" lang="ja-JP" altLang="en-US" sz="1100"/>
        </a:p>
      </xdr:txBody>
    </xdr:sp>
    <xdr:clientData/>
  </xdr:twoCellAnchor>
  <xdr:twoCellAnchor>
    <xdr:from>
      <xdr:col>3</xdr:col>
      <xdr:colOff>584200</xdr:colOff>
      <xdr:row>25</xdr:row>
      <xdr:rowOff>95250</xdr:rowOff>
    </xdr:from>
    <xdr:to>
      <xdr:col>7</xdr:col>
      <xdr:colOff>565150</xdr:colOff>
      <xdr:row>30</xdr:row>
      <xdr:rowOff>107950</xdr:rowOff>
    </xdr:to>
    <xdr:sp macro="" textlink="">
      <xdr:nvSpPr>
        <xdr:cNvPr id="5" name="吹き出し: 線 4">
          <a:extLst>
            <a:ext uri="{FF2B5EF4-FFF2-40B4-BE49-F238E27FC236}">
              <a16:creationId xmlns:a16="http://schemas.microsoft.com/office/drawing/2014/main" id="{A8F79D52-1ECA-4B6A-99B3-9E7088CF8983}"/>
            </a:ext>
          </a:extLst>
        </xdr:cNvPr>
        <xdr:cNvSpPr/>
      </xdr:nvSpPr>
      <xdr:spPr>
        <a:xfrm>
          <a:off x="2641600" y="4381500"/>
          <a:ext cx="2724150" cy="869950"/>
        </a:xfrm>
        <a:prstGeom prst="borderCallout1">
          <a:avLst>
            <a:gd name="adj1" fmla="val -44777"/>
            <a:gd name="adj2" fmla="val -5298"/>
            <a:gd name="adj3" fmla="val 191"/>
            <a:gd name="adj4" fmla="val 489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From-To</a:t>
          </a:r>
          <a:r>
            <a:rPr kumimoji="1" lang="ja-JP" altLang="en-US" sz="1100"/>
            <a:t>の前後関係のチェックは</a:t>
          </a:r>
          <a:endParaRPr kumimoji="1" lang="en-US" altLang="ja-JP" sz="1100"/>
        </a:p>
        <a:p>
          <a:pPr algn="l"/>
          <a:r>
            <a:rPr kumimoji="1" lang="ja-JP" altLang="en-US" sz="1100"/>
            <a:t>行わない。</a:t>
          </a:r>
          <a:endParaRPr kumimoji="1" lang="en-US" altLang="ja-JP" sz="1100"/>
        </a:p>
        <a:p>
          <a:pPr algn="l"/>
          <a:r>
            <a:rPr kumimoji="1" lang="ja-JP" altLang="en-US" sz="1100"/>
            <a:t>例）</a:t>
          </a:r>
          <a:r>
            <a:rPr kumimoji="1" lang="ja-JP" altLang="en-US" sz="1100" baseline="0"/>
            <a:t> </a:t>
          </a:r>
          <a:endParaRPr kumimoji="1" lang="en-US" altLang="ja-JP" sz="1100" baseline="0"/>
        </a:p>
        <a:p>
          <a:pPr algn="l"/>
          <a:r>
            <a:rPr kumimoji="1" lang="en-US" altLang="ja-JP" sz="1100" baseline="0"/>
            <a:t>From 20:00  To 01:30</a:t>
          </a:r>
          <a:r>
            <a:rPr kumimoji="1" lang="ja-JP" altLang="en-US" sz="1100" baseline="0"/>
            <a:t> を許可する。</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305196</xdr:colOff>
      <xdr:row>14</xdr:row>
      <xdr:rowOff>222547</xdr:rowOff>
    </xdr:to>
    <xdr:pic>
      <xdr:nvPicPr>
        <xdr:cNvPr id="2" name="図 1">
          <a:extLst>
            <a:ext uri="{FF2B5EF4-FFF2-40B4-BE49-F238E27FC236}">
              <a16:creationId xmlns:a16="http://schemas.microsoft.com/office/drawing/2014/main" id="{0AA5EE14-1159-4612-9949-D845391F02CC}"/>
            </a:ext>
          </a:extLst>
        </xdr:cNvPr>
        <xdr:cNvPicPr>
          <a:picLocks noChangeAspect="1"/>
        </xdr:cNvPicPr>
      </xdr:nvPicPr>
      <xdr:blipFill>
        <a:blip xmlns:r="http://schemas.openxmlformats.org/officeDocument/2006/relationships" r:embed="rId1"/>
        <a:stretch>
          <a:fillRect/>
        </a:stretch>
      </xdr:blipFill>
      <xdr:spPr>
        <a:xfrm>
          <a:off x="0" y="0"/>
          <a:ext cx="5105796" cy="3556297"/>
        </a:xfrm>
        <a:prstGeom prst="rect">
          <a:avLst/>
        </a:prstGeom>
      </xdr:spPr>
    </xdr:pic>
    <xdr:clientData/>
  </xdr:twoCellAnchor>
  <xdr:twoCellAnchor>
    <xdr:from>
      <xdr:col>3</xdr:col>
      <xdr:colOff>82550</xdr:colOff>
      <xdr:row>10</xdr:row>
      <xdr:rowOff>101600</xdr:rowOff>
    </xdr:from>
    <xdr:to>
      <xdr:col>8</xdr:col>
      <xdr:colOff>234950</xdr:colOff>
      <xdr:row>13</xdr:row>
      <xdr:rowOff>107950</xdr:rowOff>
    </xdr:to>
    <xdr:sp macro="" textlink="">
      <xdr:nvSpPr>
        <xdr:cNvPr id="3" name="正方形/長方形 2">
          <a:extLst>
            <a:ext uri="{FF2B5EF4-FFF2-40B4-BE49-F238E27FC236}">
              <a16:creationId xmlns:a16="http://schemas.microsoft.com/office/drawing/2014/main" id="{652EFDF5-68BC-43AD-B996-AAEF6B96A199}"/>
            </a:ext>
          </a:extLst>
        </xdr:cNvPr>
        <xdr:cNvSpPr/>
      </xdr:nvSpPr>
      <xdr:spPr>
        <a:xfrm>
          <a:off x="2139950" y="1816100"/>
          <a:ext cx="3581400" cy="520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rPr>
            <a:t>見積</a:t>
          </a:r>
          <a:r>
            <a:rPr kumimoji="1" lang="en-US" altLang="ja-JP" sz="1100">
              <a:solidFill>
                <a:srgbClr val="FF0000"/>
              </a:solidFill>
            </a:rPr>
            <a:t>No.23</a:t>
          </a:r>
          <a:endParaRPr kumimoji="1" lang="ja-JP" alt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59</xdr:row>
      <xdr:rowOff>0</xdr:rowOff>
    </xdr:from>
    <xdr:to>
      <xdr:col>17</xdr:col>
      <xdr:colOff>282627</xdr:colOff>
      <xdr:row>94</xdr:row>
      <xdr:rowOff>40821</xdr:rowOff>
    </xdr:to>
    <xdr:grpSp>
      <xdr:nvGrpSpPr>
        <xdr:cNvPr id="2" name="グループ化 1">
          <a:extLst>
            <a:ext uri="{FF2B5EF4-FFF2-40B4-BE49-F238E27FC236}">
              <a16:creationId xmlns:a16="http://schemas.microsoft.com/office/drawing/2014/main" id="{3530121F-A56C-4ACA-9055-DAFA8336306F}"/>
            </a:ext>
          </a:extLst>
        </xdr:cNvPr>
        <xdr:cNvGrpSpPr/>
      </xdr:nvGrpSpPr>
      <xdr:grpSpPr>
        <a:xfrm>
          <a:off x="790575" y="12325350"/>
          <a:ext cx="12579402" cy="7041696"/>
          <a:chOff x="721178" y="7878536"/>
          <a:chExt cx="11454091" cy="7184571"/>
        </a:xfrm>
      </xdr:grpSpPr>
      <xdr:pic>
        <xdr:nvPicPr>
          <xdr:cNvPr id="3" name="図 2">
            <a:extLst>
              <a:ext uri="{FF2B5EF4-FFF2-40B4-BE49-F238E27FC236}">
                <a16:creationId xmlns:a16="http://schemas.microsoft.com/office/drawing/2014/main" id="{107E4101-30EC-1947-9F9A-DF619FE8ED5B}"/>
              </a:ext>
            </a:extLst>
          </xdr:cNvPr>
          <xdr:cNvPicPr>
            <a:picLocks noChangeAspect="1"/>
          </xdr:cNvPicPr>
        </xdr:nvPicPr>
        <xdr:blipFill>
          <a:blip xmlns:r="http://schemas.openxmlformats.org/officeDocument/2006/relationships" r:embed="rId1"/>
          <a:stretch>
            <a:fillRect/>
          </a:stretch>
        </xdr:blipFill>
        <xdr:spPr>
          <a:xfrm>
            <a:off x="721178" y="7878536"/>
            <a:ext cx="11454091" cy="7184571"/>
          </a:xfrm>
          <a:prstGeom prst="rect">
            <a:avLst/>
          </a:prstGeom>
          <a:ln>
            <a:solidFill>
              <a:sysClr val="windowText" lastClr="000000"/>
            </a:solidFill>
          </a:ln>
        </xdr:spPr>
      </xdr:pic>
      <xdr:sp macro="" textlink="">
        <xdr:nvSpPr>
          <xdr:cNvPr id="4" name="正方形/長方形 3">
            <a:extLst>
              <a:ext uri="{FF2B5EF4-FFF2-40B4-BE49-F238E27FC236}">
                <a16:creationId xmlns:a16="http://schemas.microsoft.com/office/drawing/2014/main" id="{45B9A792-DA17-F66A-6E5D-18D61E945EA9}"/>
              </a:ext>
            </a:extLst>
          </xdr:cNvPr>
          <xdr:cNvSpPr/>
        </xdr:nvSpPr>
        <xdr:spPr>
          <a:xfrm>
            <a:off x="2122714" y="12123964"/>
            <a:ext cx="6368143" cy="8028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吹き出し: 角を丸めた四角形 4">
            <a:extLst>
              <a:ext uri="{FF2B5EF4-FFF2-40B4-BE49-F238E27FC236}">
                <a16:creationId xmlns:a16="http://schemas.microsoft.com/office/drawing/2014/main" id="{59280E51-2857-4B61-16EB-D91C9F2861C6}"/>
              </a:ext>
            </a:extLst>
          </xdr:cNvPr>
          <xdr:cNvSpPr/>
        </xdr:nvSpPr>
        <xdr:spPr>
          <a:xfrm>
            <a:off x="8817429" y="12028714"/>
            <a:ext cx="2503713" cy="966109"/>
          </a:xfrm>
          <a:prstGeom prst="wedgeRoundRectCallout">
            <a:avLst>
              <a:gd name="adj1" fmla="val -58495"/>
              <a:gd name="adj2" fmla="val 13782"/>
              <a:gd name="adj3" fmla="val 16667"/>
            </a:avLst>
          </a:prstGeom>
          <a:solidFill>
            <a:srgbClr val="FFFF00"/>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登録された材料（原紙等）が</a:t>
            </a:r>
            <a:endParaRPr kumimoji="1" lang="en-US" altLang="ja-JP" sz="1100" b="1">
              <a:solidFill>
                <a:sysClr val="windowText" lastClr="000000"/>
              </a:solidFill>
            </a:endParaRPr>
          </a:p>
          <a:p>
            <a:pPr algn="l"/>
            <a:r>
              <a:rPr kumimoji="1" lang="ja-JP" altLang="en-US" sz="1100" b="1">
                <a:solidFill>
                  <a:sysClr val="windowText" lastClr="000000"/>
                </a:solidFill>
              </a:rPr>
              <a:t>表、裏、中どの材料になるのかを</a:t>
            </a:r>
            <a:endParaRPr kumimoji="1" lang="en-US" altLang="ja-JP" sz="1100" b="1">
              <a:solidFill>
                <a:sysClr val="windowText" lastClr="000000"/>
              </a:solidFill>
            </a:endParaRPr>
          </a:p>
          <a:p>
            <a:pPr algn="l"/>
            <a:r>
              <a:rPr kumimoji="1" lang="ja-JP" altLang="en-US" sz="1100" b="1">
                <a:solidFill>
                  <a:sysClr val="windowText" lastClr="000000"/>
                </a:solidFill>
              </a:rPr>
              <a:t>判断する</a:t>
            </a:r>
            <a:endParaRPr kumimoji="1" lang="en-US" altLang="ja-JP" sz="1100" b="1">
              <a:solidFill>
                <a:sysClr val="windowText" lastClr="000000"/>
              </a:solidFill>
            </a:endParaRPr>
          </a:p>
        </xdr:txBody>
      </xdr:sp>
    </xdr:grpSp>
    <xdr:clientData/>
  </xdr:twoCellAnchor>
  <xdr:twoCellAnchor>
    <xdr:from>
      <xdr:col>2</xdr:col>
      <xdr:colOff>0</xdr:colOff>
      <xdr:row>95</xdr:row>
      <xdr:rowOff>0</xdr:rowOff>
    </xdr:from>
    <xdr:to>
      <xdr:col>12</xdr:col>
      <xdr:colOff>282040</xdr:colOff>
      <xdr:row>119</xdr:row>
      <xdr:rowOff>154947</xdr:rowOff>
    </xdr:to>
    <xdr:grpSp>
      <xdr:nvGrpSpPr>
        <xdr:cNvPr id="6" name="グループ化 5">
          <a:extLst>
            <a:ext uri="{FF2B5EF4-FFF2-40B4-BE49-F238E27FC236}">
              <a16:creationId xmlns:a16="http://schemas.microsoft.com/office/drawing/2014/main" id="{7FFEF5CC-7294-4A93-B599-7602874B7211}"/>
            </a:ext>
          </a:extLst>
        </xdr:cNvPr>
        <xdr:cNvGrpSpPr/>
      </xdr:nvGrpSpPr>
      <xdr:grpSpPr>
        <a:xfrm>
          <a:off x="790575" y="19526250"/>
          <a:ext cx="8816440" cy="4955547"/>
          <a:chOff x="13097493" y="9881258"/>
          <a:chExt cx="8051718" cy="5053518"/>
        </a:xfrm>
      </xdr:grpSpPr>
      <xdr:pic>
        <xdr:nvPicPr>
          <xdr:cNvPr id="7" name="図 6">
            <a:extLst>
              <a:ext uri="{FF2B5EF4-FFF2-40B4-BE49-F238E27FC236}">
                <a16:creationId xmlns:a16="http://schemas.microsoft.com/office/drawing/2014/main" id="{33C34949-5C22-FDD1-EC75-52FA8167BD35}"/>
              </a:ext>
            </a:extLst>
          </xdr:cNvPr>
          <xdr:cNvPicPr>
            <a:picLocks noChangeAspect="1"/>
          </xdr:cNvPicPr>
        </xdr:nvPicPr>
        <xdr:blipFill>
          <a:blip xmlns:r="http://schemas.openxmlformats.org/officeDocument/2006/relationships" r:embed="rId2"/>
          <a:stretch>
            <a:fillRect/>
          </a:stretch>
        </xdr:blipFill>
        <xdr:spPr>
          <a:xfrm>
            <a:off x="13097493" y="9881258"/>
            <a:ext cx="8051718" cy="5053518"/>
          </a:xfrm>
          <a:prstGeom prst="rect">
            <a:avLst/>
          </a:prstGeom>
          <a:ln>
            <a:solidFill>
              <a:sysClr val="windowText" lastClr="000000"/>
            </a:solidFill>
          </a:ln>
        </xdr:spPr>
      </xdr:pic>
      <xdr:sp macro="" textlink="">
        <xdr:nvSpPr>
          <xdr:cNvPr id="8" name="正方形/長方形 7">
            <a:extLst>
              <a:ext uri="{FF2B5EF4-FFF2-40B4-BE49-F238E27FC236}">
                <a16:creationId xmlns:a16="http://schemas.microsoft.com/office/drawing/2014/main" id="{717DE06E-2A75-1332-DCD9-F521752B6DCB}"/>
              </a:ext>
            </a:extLst>
          </xdr:cNvPr>
          <xdr:cNvSpPr/>
        </xdr:nvSpPr>
        <xdr:spPr>
          <a:xfrm>
            <a:off x="16219715" y="10314213"/>
            <a:ext cx="2258786" cy="42318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吹き出し: 角を丸めた四角形 8">
            <a:extLst>
              <a:ext uri="{FF2B5EF4-FFF2-40B4-BE49-F238E27FC236}">
                <a16:creationId xmlns:a16="http://schemas.microsoft.com/office/drawing/2014/main" id="{3724F376-0F96-1183-61BF-949B63A07AFA}"/>
              </a:ext>
            </a:extLst>
          </xdr:cNvPr>
          <xdr:cNvSpPr/>
        </xdr:nvSpPr>
        <xdr:spPr>
          <a:xfrm>
            <a:off x="18655394" y="10409463"/>
            <a:ext cx="2054678" cy="1077438"/>
          </a:xfrm>
          <a:prstGeom prst="wedgeRoundRectCallout">
            <a:avLst>
              <a:gd name="adj1" fmla="val -58495"/>
              <a:gd name="adj2" fmla="val 13782"/>
              <a:gd name="adj3" fmla="val 16667"/>
            </a:avLst>
          </a:prstGeom>
          <a:solidFill>
            <a:srgbClr val="FFFF00"/>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rPr>
              <a:t>ECBAF</a:t>
            </a:r>
            <a:r>
              <a:rPr kumimoji="1" lang="ja-JP" altLang="en-US" sz="1100" b="1">
                <a:solidFill>
                  <a:sysClr val="windowText" lastClr="000000"/>
                </a:solidFill>
              </a:rPr>
              <a:t>：原紙</a:t>
            </a:r>
            <a:r>
              <a:rPr kumimoji="1" lang="en-US" altLang="ja-JP" sz="1100" b="1">
                <a:solidFill>
                  <a:sysClr val="windowText" lastClr="000000"/>
                </a:solidFill>
              </a:rPr>
              <a:t>A</a:t>
            </a:r>
            <a:r>
              <a:rPr kumimoji="1" lang="ja-JP" altLang="en-US" sz="1100" b="1">
                <a:solidFill>
                  <a:sysClr val="windowText" lastClr="000000"/>
                </a:solidFill>
              </a:rPr>
              <a:t>（表）</a:t>
            </a:r>
            <a:endParaRPr kumimoji="1" lang="en-US" altLang="ja-JP" sz="1100" b="1">
              <a:solidFill>
                <a:sysClr val="windowText" lastClr="000000"/>
              </a:solidFill>
            </a:endParaRPr>
          </a:p>
          <a:p>
            <a:pPr algn="l"/>
            <a:r>
              <a:rPr kumimoji="1" lang="en-US" altLang="ja-JP" sz="1100" b="1">
                <a:solidFill>
                  <a:sysClr val="windowText" lastClr="000000"/>
                </a:solidFill>
              </a:rPr>
              <a:t>EOO1R</a:t>
            </a:r>
            <a:r>
              <a:rPr kumimoji="1" lang="ja-JP" altLang="en-US" sz="1100" b="1">
                <a:solidFill>
                  <a:sysClr val="windowText" lastClr="000000"/>
                </a:solidFill>
              </a:rPr>
              <a:t>：原紙</a:t>
            </a:r>
            <a:r>
              <a:rPr kumimoji="1" lang="en-US" altLang="ja-JP" sz="1100" b="1">
                <a:solidFill>
                  <a:sysClr val="windowText" lastClr="000000"/>
                </a:solidFill>
              </a:rPr>
              <a:t>A</a:t>
            </a:r>
            <a:r>
              <a:rPr kumimoji="1" lang="ja-JP" altLang="en-US" sz="1100" b="1">
                <a:solidFill>
                  <a:sysClr val="windowText" lastClr="000000"/>
                </a:solidFill>
              </a:rPr>
              <a:t>（中）</a:t>
            </a:r>
            <a:endParaRPr kumimoji="1" lang="en-US" altLang="ja-JP" sz="1100" b="1">
              <a:solidFill>
                <a:sysClr val="windowText" lastClr="000000"/>
              </a:solidFill>
            </a:endParaRPr>
          </a:p>
          <a:p>
            <a:pPr algn="l"/>
            <a:r>
              <a:rPr kumimoji="1" lang="en-US" altLang="ja-JP" sz="1100" b="1">
                <a:solidFill>
                  <a:sysClr val="windowText" lastClr="000000"/>
                </a:solidFill>
              </a:rPr>
              <a:t>E92B</a:t>
            </a:r>
            <a:r>
              <a:rPr kumimoji="1" lang="ja-JP" altLang="en-US" sz="1100" b="1">
                <a:solidFill>
                  <a:sysClr val="windowText" lastClr="000000"/>
                </a:solidFill>
              </a:rPr>
              <a:t>：原紙</a:t>
            </a:r>
            <a:r>
              <a:rPr kumimoji="1" lang="en-US" altLang="ja-JP" sz="1100" b="1">
                <a:solidFill>
                  <a:sysClr val="windowText" lastClr="000000"/>
                </a:solidFill>
              </a:rPr>
              <a:t>A</a:t>
            </a:r>
            <a:r>
              <a:rPr kumimoji="1" lang="ja-JP" altLang="en-US" sz="1100" b="1">
                <a:solidFill>
                  <a:sysClr val="windowText" lastClr="000000"/>
                </a:solidFill>
              </a:rPr>
              <a:t>（裏）</a:t>
            </a:r>
            <a:endParaRPr kumimoji="1" lang="en-US" altLang="ja-JP" sz="1100" b="1">
              <a:solidFill>
                <a:sysClr val="windowText" lastClr="000000"/>
              </a:solidFill>
            </a:endParaRPr>
          </a:p>
        </xdr:txBody>
      </xdr:sp>
    </xdr:grpSp>
    <xdr:clientData/>
  </xdr:twoCellAnchor>
  <xdr:twoCellAnchor>
    <xdr:from>
      <xdr:col>2</xdr:col>
      <xdr:colOff>258535</xdr:colOff>
      <xdr:row>32</xdr:row>
      <xdr:rowOff>54429</xdr:rowOff>
    </xdr:from>
    <xdr:to>
      <xdr:col>7</xdr:col>
      <xdr:colOff>449035</xdr:colOff>
      <xdr:row>56</xdr:row>
      <xdr:rowOff>108858</xdr:rowOff>
    </xdr:to>
    <xdr:grpSp>
      <xdr:nvGrpSpPr>
        <xdr:cNvPr id="10" name="グループ化 9">
          <a:extLst>
            <a:ext uri="{FF2B5EF4-FFF2-40B4-BE49-F238E27FC236}">
              <a16:creationId xmlns:a16="http://schemas.microsoft.com/office/drawing/2014/main" id="{240DB366-A0F0-46DB-9243-2FE153BE4DF5}"/>
            </a:ext>
          </a:extLst>
        </xdr:cNvPr>
        <xdr:cNvGrpSpPr/>
      </xdr:nvGrpSpPr>
      <xdr:grpSpPr>
        <a:xfrm>
          <a:off x="1049110" y="6979104"/>
          <a:ext cx="4962525" cy="4855029"/>
          <a:chOff x="802821" y="6585858"/>
          <a:chExt cx="4558393" cy="4953000"/>
        </a:xfrm>
      </xdr:grpSpPr>
      <xdr:sp macro="" textlink="">
        <xdr:nvSpPr>
          <xdr:cNvPr id="11" name="正方形/長方形 10">
            <a:extLst>
              <a:ext uri="{FF2B5EF4-FFF2-40B4-BE49-F238E27FC236}">
                <a16:creationId xmlns:a16="http://schemas.microsoft.com/office/drawing/2014/main" id="{683A8917-013F-7799-B65B-7854EFC32B49}"/>
              </a:ext>
            </a:extLst>
          </xdr:cNvPr>
          <xdr:cNvSpPr/>
        </xdr:nvSpPr>
        <xdr:spPr>
          <a:xfrm>
            <a:off x="802821" y="6585858"/>
            <a:ext cx="4558393" cy="4953000"/>
          </a:xfrm>
          <a:prstGeom prst="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1100" b="1">
                <a:solidFill>
                  <a:sysClr val="windowText" lastClr="000000"/>
                </a:solidFill>
              </a:rPr>
              <a:t>WEB</a:t>
            </a:r>
            <a:r>
              <a:rPr kumimoji="1" lang="ja-JP" altLang="en-US" sz="1100" b="1">
                <a:solidFill>
                  <a:sysClr val="windowText" lastClr="000000"/>
                </a:solidFill>
              </a:rPr>
              <a:t>画面</a:t>
            </a:r>
          </a:p>
        </xdr:txBody>
      </xdr:sp>
      <xdr:sp macro="" textlink="">
        <xdr:nvSpPr>
          <xdr:cNvPr id="12" name="正方形/長方形 11">
            <a:extLst>
              <a:ext uri="{FF2B5EF4-FFF2-40B4-BE49-F238E27FC236}">
                <a16:creationId xmlns:a16="http://schemas.microsoft.com/office/drawing/2014/main" id="{E3ADD847-B4C2-6591-755D-D9F83518E507}"/>
              </a:ext>
            </a:extLst>
          </xdr:cNvPr>
          <xdr:cNvSpPr/>
        </xdr:nvSpPr>
        <xdr:spPr>
          <a:xfrm>
            <a:off x="1415143" y="7021286"/>
            <a:ext cx="1850571" cy="734786"/>
          </a:xfrm>
          <a:prstGeom prst="rect">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1100" b="1">
                <a:solidFill>
                  <a:sysClr val="windowText" lastClr="000000"/>
                </a:solidFill>
              </a:rPr>
              <a:t>WEB</a:t>
            </a:r>
            <a:r>
              <a:rPr kumimoji="1" lang="ja-JP" altLang="en-US" sz="1100" b="1">
                <a:solidFill>
                  <a:sysClr val="windowText" lastClr="000000"/>
                </a:solidFill>
              </a:rPr>
              <a:t>製品マスタ</a:t>
            </a:r>
            <a:endParaRPr kumimoji="1" lang="en-US" altLang="ja-JP" sz="1100" b="1">
              <a:solidFill>
                <a:sysClr val="windowText" lastClr="000000"/>
              </a:solidFill>
            </a:endParaRPr>
          </a:p>
          <a:p>
            <a:pPr algn="l"/>
            <a:r>
              <a:rPr kumimoji="1" lang="ja-JP" altLang="en-US" sz="1100" b="1">
                <a:solidFill>
                  <a:sysClr val="windowText" lastClr="000000"/>
                </a:solidFill>
              </a:rPr>
              <a:t>　基本情報画面</a:t>
            </a:r>
            <a:endParaRPr kumimoji="1" lang="en-US" altLang="ja-JP" sz="1100" b="1">
              <a:solidFill>
                <a:sysClr val="windowText" lastClr="000000"/>
              </a:solidFill>
            </a:endParaRPr>
          </a:p>
        </xdr:txBody>
      </xdr:sp>
      <xdr:sp macro="" textlink="">
        <xdr:nvSpPr>
          <xdr:cNvPr id="13" name="正方形/長方形 12">
            <a:extLst>
              <a:ext uri="{FF2B5EF4-FFF2-40B4-BE49-F238E27FC236}">
                <a16:creationId xmlns:a16="http://schemas.microsoft.com/office/drawing/2014/main" id="{8EAB046B-D3CE-D7B8-FD9D-227F0D9ABBC1}"/>
              </a:ext>
            </a:extLst>
          </xdr:cNvPr>
          <xdr:cNvSpPr/>
        </xdr:nvSpPr>
        <xdr:spPr>
          <a:xfrm>
            <a:off x="1415143" y="8858250"/>
            <a:ext cx="1850571" cy="693964"/>
          </a:xfrm>
          <a:prstGeom prst="rect">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1100" b="1">
                <a:solidFill>
                  <a:sysClr val="windowText" lastClr="000000"/>
                </a:solidFill>
              </a:rPr>
              <a:t>WEB</a:t>
            </a:r>
            <a:r>
              <a:rPr kumimoji="1" lang="ja-JP" altLang="en-US" sz="1100" b="1">
                <a:solidFill>
                  <a:sysClr val="windowText" lastClr="000000"/>
                </a:solidFill>
              </a:rPr>
              <a:t>製品マスタ</a:t>
            </a:r>
            <a:endParaRPr kumimoji="1" lang="en-US" altLang="ja-JP" sz="1100" b="1">
              <a:solidFill>
                <a:sysClr val="windowText" lastClr="000000"/>
              </a:solidFill>
            </a:endParaRPr>
          </a:p>
          <a:p>
            <a:pPr algn="l"/>
            <a:r>
              <a:rPr kumimoji="1" lang="ja-JP" altLang="en-US" sz="1100" b="1">
                <a:solidFill>
                  <a:sysClr val="windowText" lastClr="000000"/>
                </a:solidFill>
              </a:rPr>
              <a:t>　材料情報画面</a:t>
            </a:r>
          </a:p>
        </xdr:txBody>
      </xdr:sp>
      <xdr:sp macro="" textlink="">
        <xdr:nvSpPr>
          <xdr:cNvPr id="14" name="正方形/長方形 13">
            <a:extLst>
              <a:ext uri="{FF2B5EF4-FFF2-40B4-BE49-F238E27FC236}">
                <a16:creationId xmlns:a16="http://schemas.microsoft.com/office/drawing/2014/main" id="{F32B36DD-4ED6-8DA9-15F8-3A4365FAD9DB}"/>
              </a:ext>
            </a:extLst>
          </xdr:cNvPr>
          <xdr:cNvSpPr/>
        </xdr:nvSpPr>
        <xdr:spPr>
          <a:xfrm>
            <a:off x="1782538" y="7660821"/>
            <a:ext cx="1904998" cy="680357"/>
          </a:xfrm>
          <a:prstGeom prst="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ja-JP" altLang="en-US" sz="1100" b="1">
                <a:solidFill>
                  <a:sysClr val="windowText" lastClr="000000"/>
                </a:solidFill>
              </a:rPr>
              <a:t>項目</a:t>
            </a:r>
            <a:endParaRPr kumimoji="1" lang="en-US" altLang="ja-JP" sz="1100" b="1">
              <a:solidFill>
                <a:sysClr val="windowText" lastClr="000000"/>
              </a:solidFill>
            </a:endParaRPr>
          </a:p>
          <a:p>
            <a:pPr algn="l"/>
            <a:r>
              <a:rPr kumimoji="1" lang="ja-JP" altLang="en-US" sz="1100">
                <a:solidFill>
                  <a:sysClr val="windowText" lastClr="000000"/>
                </a:solidFill>
              </a:rPr>
              <a:t>　構成情報：表、中、裏</a:t>
            </a:r>
            <a:endParaRPr kumimoji="1" lang="en-US" altLang="ja-JP" sz="1100">
              <a:solidFill>
                <a:sysClr val="windowText" lastClr="000000"/>
              </a:solidFill>
            </a:endParaRPr>
          </a:p>
        </xdr:txBody>
      </xdr:sp>
      <xdr:sp macro="" textlink="">
        <xdr:nvSpPr>
          <xdr:cNvPr id="15" name="正方形/長方形 14">
            <a:extLst>
              <a:ext uri="{FF2B5EF4-FFF2-40B4-BE49-F238E27FC236}">
                <a16:creationId xmlns:a16="http://schemas.microsoft.com/office/drawing/2014/main" id="{50BA8547-1A72-CC3B-106A-71A293E04959}"/>
              </a:ext>
            </a:extLst>
          </xdr:cNvPr>
          <xdr:cNvSpPr/>
        </xdr:nvSpPr>
        <xdr:spPr>
          <a:xfrm>
            <a:off x="1782538" y="9511392"/>
            <a:ext cx="2354034" cy="680357"/>
          </a:xfrm>
          <a:prstGeom prst="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ja-JP" altLang="en-US" sz="1100" b="1">
                <a:solidFill>
                  <a:sysClr val="windowText" lastClr="000000"/>
                </a:solidFill>
              </a:rPr>
              <a:t>項目</a:t>
            </a:r>
            <a:endParaRPr kumimoji="1" lang="en-US" altLang="ja-JP" sz="1100" b="1">
              <a:solidFill>
                <a:sysClr val="windowText" lastClr="000000"/>
              </a:solidFill>
            </a:endParaRPr>
          </a:p>
          <a:p>
            <a:pPr algn="l"/>
            <a:r>
              <a:rPr kumimoji="1" lang="ja-JP" altLang="en-US" sz="1100">
                <a:solidFill>
                  <a:sysClr val="windowText" lastClr="000000"/>
                </a:solidFill>
              </a:rPr>
              <a:t>　材料：原紙の情報が入力される</a:t>
            </a:r>
            <a:endParaRPr kumimoji="1" lang="en-US" altLang="ja-JP" sz="1100">
              <a:solidFill>
                <a:sysClr val="windowText" lastClr="000000"/>
              </a:solidFill>
            </a:endParaRPr>
          </a:p>
        </xdr:txBody>
      </xdr:sp>
      <xdr:sp macro="" textlink="">
        <xdr:nvSpPr>
          <xdr:cNvPr id="16" name="フローチャート: 磁気ディスク 15">
            <a:extLst>
              <a:ext uri="{FF2B5EF4-FFF2-40B4-BE49-F238E27FC236}">
                <a16:creationId xmlns:a16="http://schemas.microsoft.com/office/drawing/2014/main" id="{6F56F650-D1C0-4A28-E8A5-C87767D2EE31}"/>
              </a:ext>
            </a:extLst>
          </xdr:cNvPr>
          <xdr:cNvSpPr/>
        </xdr:nvSpPr>
        <xdr:spPr>
          <a:xfrm>
            <a:off x="3646713" y="10722428"/>
            <a:ext cx="1306286" cy="612648"/>
          </a:xfrm>
          <a:prstGeom prst="flowChartMagneticDisk">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b="1">
                <a:solidFill>
                  <a:sysClr val="windowText" lastClr="000000"/>
                </a:solidFill>
              </a:rPr>
              <a:t>WEB</a:t>
            </a:r>
            <a:r>
              <a:rPr kumimoji="1" lang="ja-JP" altLang="en-US" sz="1100" b="1">
                <a:solidFill>
                  <a:sysClr val="windowText" lastClr="000000"/>
                </a:solidFill>
              </a:rPr>
              <a:t>側テーブル</a:t>
            </a:r>
          </a:p>
        </xdr:txBody>
      </xdr:sp>
      <xdr:cxnSp macro="">
        <xdr:nvCxnSpPr>
          <xdr:cNvPr id="17" name="コネクタ: カギ線 16">
            <a:extLst>
              <a:ext uri="{FF2B5EF4-FFF2-40B4-BE49-F238E27FC236}">
                <a16:creationId xmlns:a16="http://schemas.microsoft.com/office/drawing/2014/main" id="{1D9A3483-C834-190B-0514-EA699F73FED7}"/>
              </a:ext>
            </a:extLst>
          </xdr:cNvPr>
          <xdr:cNvCxnSpPr>
            <a:stCxn id="12" idx="1"/>
            <a:endCxn id="16" idx="2"/>
          </xdr:cNvCxnSpPr>
        </xdr:nvCxnSpPr>
        <xdr:spPr>
          <a:xfrm rot="10800000" flipH="1" flipV="1">
            <a:off x="1415143" y="7388678"/>
            <a:ext cx="2231570" cy="3640073"/>
          </a:xfrm>
          <a:prstGeom prst="bentConnector3">
            <a:avLst>
              <a:gd name="adj1" fmla="val -10244"/>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8" name="コネクタ: カギ線 17">
            <a:extLst>
              <a:ext uri="{FF2B5EF4-FFF2-40B4-BE49-F238E27FC236}">
                <a16:creationId xmlns:a16="http://schemas.microsoft.com/office/drawing/2014/main" id="{E3580372-CED1-CFA2-68CE-C558444541E0}"/>
              </a:ext>
            </a:extLst>
          </xdr:cNvPr>
          <xdr:cNvCxnSpPr>
            <a:stCxn id="13" idx="1"/>
            <a:endCxn id="16" idx="2"/>
          </xdr:cNvCxnSpPr>
        </xdr:nvCxnSpPr>
        <xdr:spPr>
          <a:xfrm rot="10800000" flipH="1" flipV="1">
            <a:off x="1415143" y="9205232"/>
            <a:ext cx="2231570" cy="1823520"/>
          </a:xfrm>
          <a:prstGeom prst="bentConnector3">
            <a:avLst>
              <a:gd name="adj1" fmla="val -10244"/>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449035</xdr:colOff>
      <xdr:row>39</xdr:row>
      <xdr:rowOff>13608</xdr:rowOff>
    </xdr:from>
    <xdr:to>
      <xdr:col>10</xdr:col>
      <xdr:colOff>408214</xdr:colOff>
      <xdr:row>48</xdr:row>
      <xdr:rowOff>149679</xdr:rowOff>
    </xdr:to>
    <xdr:sp macro="" textlink="">
      <xdr:nvSpPr>
        <xdr:cNvPr id="19" name="正方形/長方形 18">
          <a:extLst>
            <a:ext uri="{FF2B5EF4-FFF2-40B4-BE49-F238E27FC236}">
              <a16:creationId xmlns:a16="http://schemas.microsoft.com/office/drawing/2014/main" id="{86C229DD-6128-43AA-8CCC-1C6CE2A6DB14}"/>
            </a:ext>
          </a:extLst>
        </xdr:cNvPr>
        <xdr:cNvSpPr/>
      </xdr:nvSpPr>
      <xdr:spPr>
        <a:xfrm>
          <a:off x="6764110" y="8338458"/>
          <a:ext cx="1464129" cy="1936296"/>
        </a:xfrm>
        <a:prstGeom prst="rect">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b="1">
              <a:solidFill>
                <a:sysClr val="windowText" lastClr="000000"/>
              </a:solidFill>
            </a:rPr>
            <a:t>マスタ連携処理</a:t>
          </a:r>
        </a:p>
      </xdr:txBody>
    </xdr:sp>
    <xdr:clientData/>
  </xdr:twoCellAnchor>
  <xdr:twoCellAnchor>
    <xdr:from>
      <xdr:col>11</xdr:col>
      <xdr:colOff>421822</xdr:colOff>
      <xdr:row>32</xdr:row>
      <xdr:rowOff>40822</xdr:rowOff>
    </xdr:from>
    <xdr:to>
      <xdr:col>16</xdr:col>
      <xdr:colOff>40821</xdr:colOff>
      <xdr:row>56</xdr:row>
      <xdr:rowOff>95251</xdr:rowOff>
    </xdr:to>
    <xdr:grpSp>
      <xdr:nvGrpSpPr>
        <xdr:cNvPr id="20" name="グループ化 19">
          <a:extLst>
            <a:ext uri="{FF2B5EF4-FFF2-40B4-BE49-F238E27FC236}">
              <a16:creationId xmlns:a16="http://schemas.microsoft.com/office/drawing/2014/main" id="{867187DA-E8E3-4DE6-9B79-4705DFE4280C}"/>
            </a:ext>
          </a:extLst>
        </xdr:cNvPr>
        <xdr:cNvGrpSpPr/>
      </xdr:nvGrpSpPr>
      <xdr:grpSpPr>
        <a:xfrm>
          <a:off x="8994322" y="6965497"/>
          <a:ext cx="3381374" cy="4855029"/>
          <a:chOff x="8055429" y="6572251"/>
          <a:chExt cx="3020785" cy="4953000"/>
        </a:xfrm>
      </xdr:grpSpPr>
      <xdr:sp macro="" textlink="">
        <xdr:nvSpPr>
          <xdr:cNvPr id="21" name="正方形/長方形 20">
            <a:extLst>
              <a:ext uri="{FF2B5EF4-FFF2-40B4-BE49-F238E27FC236}">
                <a16:creationId xmlns:a16="http://schemas.microsoft.com/office/drawing/2014/main" id="{5AFA82D6-DDCA-C70D-1C9F-2F28163F1C65}"/>
              </a:ext>
            </a:extLst>
          </xdr:cNvPr>
          <xdr:cNvSpPr/>
        </xdr:nvSpPr>
        <xdr:spPr>
          <a:xfrm>
            <a:off x="8055429" y="6572251"/>
            <a:ext cx="3020785" cy="4953000"/>
          </a:xfrm>
          <a:prstGeom prst="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1100" b="1">
                <a:solidFill>
                  <a:sysClr val="windowText" lastClr="000000"/>
                </a:solidFill>
              </a:rPr>
              <a:t>mcf</a:t>
            </a:r>
            <a:r>
              <a:rPr kumimoji="1" lang="ja-JP" altLang="en-US" sz="1100" b="1">
                <a:solidFill>
                  <a:sysClr val="windowText" lastClr="000000"/>
                </a:solidFill>
              </a:rPr>
              <a:t>側</a:t>
            </a:r>
          </a:p>
        </xdr:txBody>
      </xdr:sp>
      <xdr:grpSp>
        <xdr:nvGrpSpPr>
          <xdr:cNvPr id="22" name="グループ化 21">
            <a:extLst>
              <a:ext uri="{FF2B5EF4-FFF2-40B4-BE49-F238E27FC236}">
                <a16:creationId xmlns:a16="http://schemas.microsoft.com/office/drawing/2014/main" id="{DFDB4957-02B3-ED45-B37E-0867C1AB72A4}"/>
              </a:ext>
            </a:extLst>
          </xdr:cNvPr>
          <xdr:cNvGrpSpPr/>
        </xdr:nvGrpSpPr>
        <xdr:grpSpPr>
          <a:xfrm>
            <a:off x="8899070" y="7878533"/>
            <a:ext cx="1306286" cy="686850"/>
            <a:chOff x="8368392" y="7987392"/>
            <a:chExt cx="1306286" cy="686850"/>
          </a:xfrm>
        </xdr:grpSpPr>
        <xdr:sp macro="" textlink="">
          <xdr:nvSpPr>
            <xdr:cNvPr id="29" name="フローチャート: 磁気ディスク 28">
              <a:extLst>
                <a:ext uri="{FF2B5EF4-FFF2-40B4-BE49-F238E27FC236}">
                  <a16:creationId xmlns:a16="http://schemas.microsoft.com/office/drawing/2014/main" id="{6709B6C3-D460-0777-D77C-47AC91D44963}"/>
                </a:ext>
              </a:extLst>
            </xdr:cNvPr>
            <xdr:cNvSpPr/>
          </xdr:nvSpPr>
          <xdr:spPr>
            <a:xfrm>
              <a:off x="8368392" y="7987392"/>
              <a:ext cx="1306286" cy="612648"/>
            </a:xfrm>
            <a:prstGeom prst="flowChartMagneticDisk">
              <a:avLst/>
            </a:prstGeom>
            <a:solidFill>
              <a:schemeClr val="accent4">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b="1">
                <a:solidFill>
                  <a:sysClr val="windowText" lastClr="000000"/>
                </a:solidFill>
              </a:endParaRPr>
            </a:p>
          </xdr:txBody>
        </xdr:sp>
        <xdr:sp macro="" textlink="">
          <xdr:nvSpPr>
            <xdr:cNvPr id="30" name="テキスト ボックス 29">
              <a:extLst>
                <a:ext uri="{FF2B5EF4-FFF2-40B4-BE49-F238E27FC236}">
                  <a16:creationId xmlns:a16="http://schemas.microsoft.com/office/drawing/2014/main" id="{427B717E-36B5-D76C-7645-DC0265B0E552}"/>
                </a:ext>
              </a:extLst>
            </xdr:cNvPr>
            <xdr:cNvSpPr txBox="1"/>
          </xdr:nvSpPr>
          <xdr:spPr>
            <a:xfrm>
              <a:off x="8558893" y="8109857"/>
              <a:ext cx="905633" cy="564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b="1">
                  <a:solidFill>
                    <a:schemeClr val="tx1"/>
                  </a:solidFill>
                  <a:effectLst/>
                  <a:latin typeface="+mn-lt"/>
                  <a:ea typeface="+mn-ea"/>
                  <a:cs typeface="+mn-cs"/>
                </a:rPr>
                <a:t>BOM</a:t>
              </a:r>
              <a:r>
                <a:rPr kumimoji="1" lang="ja-JP" altLang="ja-JP" sz="1100" b="1">
                  <a:solidFill>
                    <a:schemeClr val="tx1"/>
                  </a:solidFill>
                  <a:effectLst/>
                  <a:latin typeface="+mn-lt"/>
                  <a:ea typeface="+mn-ea"/>
                  <a:cs typeface="+mn-cs"/>
                </a:rPr>
                <a:t>マスタ</a:t>
              </a:r>
              <a:endParaRPr lang="ja-JP" altLang="ja-JP">
                <a:effectLst/>
              </a:endParaRPr>
            </a:p>
            <a:p>
              <a:pPr algn="ctr"/>
              <a:r>
                <a:rPr kumimoji="1" lang="ja-JP" altLang="ja-JP" sz="1100" b="1">
                  <a:solidFill>
                    <a:schemeClr val="tx1"/>
                  </a:solidFill>
                  <a:effectLst/>
                  <a:latin typeface="+mn-lt"/>
                  <a:ea typeface="+mn-ea"/>
                  <a:cs typeface="+mn-cs"/>
                </a:rPr>
                <a:t>並び順</a:t>
              </a:r>
              <a:endParaRPr lang="ja-JP" altLang="ja-JP">
                <a:effectLst/>
              </a:endParaRPr>
            </a:p>
          </xdr:txBody>
        </xdr:sp>
      </xdr:grpSp>
      <xdr:grpSp>
        <xdr:nvGrpSpPr>
          <xdr:cNvPr id="23" name="グループ化 22">
            <a:extLst>
              <a:ext uri="{FF2B5EF4-FFF2-40B4-BE49-F238E27FC236}">
                <a16:creationId xmlns:a16="http://schemas.microsoft.com/office/drawing/2014/main" id="{ABCDFB3C-A575-1EEC-862B-00E3A5257C59}"/>
              </a:ext>
            </a:extLst>
          </xdr:cNvPr>
          <xdr:cNvGrpSpPr/>
        </xdr:nvGrpSpPr>
        <xdr:grpSpPr>
          <a:xfrm>
            <a:off x="8844643" y="9130390"/>
            <a:ext cx="1601762" cy="857577"/>
            <a:chOff x="8531679" y="9157604"/>
            <a:chExt cx="1601762" cy="857577"/>
          </a:xfrm>
        </xdr:grpSpPr>
        <xdr:sp macro="" textlink="">
          <xdr:nvSpPr>
            <xdr:cNvPr id="24" name="フローチャート: 磁気ディスク 23">
              <a:extLst>
                <a:ext uri="{FF2B5EF4-FFF2-40B4-BE49-F238E27FC236}">
                  <a16:creationId xmlns:a16="http://schemas.microsoft.com/office/drawing/2014/main" id="{B9925019-4B59-CADC-1FEE-7420EBEB8C45}"/>
                </a:ext>
              </a:extLst>
            </xdr:cNvPr>
            <xdr:cNvSpPr/>
          </xdr:nvSpPr>
          <xdr:spPr>
            <a:xfrm>
              <a:off x="8531679" y="9157604"/>
              <a:ext cx="1306286" cy="612648"/>
            </a:xfrm>
            <a:prstGeom prst="flowChartMagneticDisk">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b="1">
                <a:solidFill>
                  <a:sysClr val="windowText" lastClr="000000"/>
                </a:solidFill>
              </a:endParaRPr>
            </a:p>
          </xdr:txBody>
        </xdr:sp>
        <xdr:sp macro="" textlink="">
          <xdr:nvSpPr>
            <xdr:cNvPr id="25" name="フローチャート: 磁気ディスク 24">
              <a:extLst>
                <a:ext uri="{FF2B5EF4-FFF2-40B4-BE49-F238E27FC236}">
                  <a16:creationId xmlns:a16="http://schemas.microsoft.com/office/drawing/2014/main" id="{F5A9B769-1C29-2906-DDFD-BCA26316DCEC}"/>
                </a:ext>
              </a:extLst>
            </xdr:cNvPr>
            <xdr:cNvSpPr/>
          </xdr:nvSpPr>
          <xdr:spPr>
            <a:xfrm>
              <a:off x="8586107" y="9239246"/>
              <a:ext cx="1306286" cy="612648"/>
            </a:xfrm>
            <a:prstGeom prst="flowChartMagneticDisk">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b="1">
                <a:solidFill>
                  <a:sysClr val="windowText" lastClr="000000"/>
                </a:solidFill>
              </a:endParaRPr>
            </a:p>
          </xdr:txBody>
        </xdr:sp>
        <xdr:sp macro="" textlink="">
          <xdr:nvSpPr>
            <xdr:cNvPr id="26" name="フローチャート: 磁気ディスク 25">
              <a:extLst>
                <a:ext uri="{FF2B5EF4-FFF2-40B4-BE49-F238E27FC236}">
                  <a16:creationId xmlns:a16="http://schemas.microsoft.com/office/drawing/2014/main" id="{4765F84A-3772-2467-205D-E1D9FCC3BA0A}"/>
                </a:ext>
              </a:extLst>
            </xdr:cNvPr>
            <xdr:cNvSpPr/>
          </xdr:nvSpPr>
          <xdr:spPr>
            <a:xfrm>
              <a:off x="8640536" y="9334496"/>
              <a:ext cx="1306286" cy="612648"/>
            </a:xfrm>
            <a:prstGeom prst="flowChartMagneticDisk">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b="1">
                <a:solidFill>
                  <a:sysClr val="windowText" lastClr="000000"/>
                </a:solidFill>
              </a:endParaRPr>
            </a:p>
          </xdr:txBody>
        </xdr:sp>
        <xdr:sp macro="" textlink="">
          <xdr:nvSpPr>
            <xdr:cNvPr id="27" name="フローチャート: 磁気ディスク 26">
              <a:extLst>
                <a:ext uri="{FF2B5EF4-FFF2-40B4-BE49-F238E27FC236}">
                  <a16:creationId xmlns:a16="http://schemas.microsoft.com/office/drawing/2014/main" id="{66779432-C383-0102-5ADE-7E5AFECD92EB}"/>
                </a:ext>
              </a:extLst>
            </xdr:cNvPr>
            <xdr:cNvSpPr/>
          </xdr:nvSpPr>
          <xdr:spPr>
            <a:xfrm>
              <a:off x="8722179" y="9402533"/>
              <a:ext cx="1306286" cy="612648"/>
            </a:xfrm>
            <a:prstGeom prst="flowChartMagneticDisk">
              <a:avLst/>
            </a:prstGeom>
            <a:solidFill>
              <a:schemeClr val="bg1">
                <a:lumMod val="85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1100" b="1">
                <a:solidFill>
                  <a:sysClr val="windowText" lastClr="000000"/>
                </a:solidFill>
              </a:endParaRPr>
            </a:p>
          </xdr:txBody>
        </xdr:sp>
        <xdr:sp macro="" textlink="">
          <xdr:nvSpPr>
            <xdr:cNvPr id="28" name="テキスト ボックス 27">
              <a:extLst>
                <a:ext uri="{FF2B5EF4-FFF2-40B4-BE49-F238E27FC236}">
                  <a16:creationId xmlns:a16="http://schemas.microsoft.com/office/drawing/2014/main" id="{389D9FAB-C6E7-50EE-A742-D3FC2A69E993}"/>
                </a:ext>
              </a:extLst>
            </xdr:cNvPr>
            <xdr:cNvSpPr txBox="1"/>
          </xdr:nvSpPr>
          <xdr:spPr>
            <a:xfrm>
              <a:off x="8679197" y="9602188"/>
              <a:ext cx="145424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100" b="1">
                  <a:solidFill>
                    <a:schemeClr val="tx1"/>
                  </a:solidFill>
                  <a:effectLst/>
                  <a:latin typeface="+mn-lt"/>
                  <a:ea typeface="+mn-ea"/>
                  <a:cs typeface="+mn-cs"/>
                </a:rPr>
                <a:t>他マスタ連携データ</a:t>
              </a:r>
              <a:endParaRPr lang="ja-JP" altLang="ja-JP">
                <a:effectLst/>
              </a:endParaRPr>
            </a:p>
          </xdr:txBody>
        </xdr:sp>
      </xdr:grpSp>
    </xdr:grpSp>
    <xdr:clientData/>
  </xdr:twoCellAnchor>
  <xdr:twoCellAnchor>
    <xdr:from>
      <xdr:col>6</xdr:col>
      <xdr:colOff>721178</xdr:colOff>
      <xdr:row>30</xdr:row>
      <xdr:rowOff>272143</xdr:rowOff>
    </xdr:from>
    <xdr:to>
      <xdr:col>11</xdr:col>
      <xdr:colOff>9071</xdr:colOff>
      <xdr:row>42</xdr:row>
      <xdr:rowOff>108858</xdr:rowOff>
    </xdr:to>
    <xdr:grpSp>
      <xdr:nvGrpSpPr>
        <xdr:cNvPr id="31" name="グループ化 30">
          <a:extLst>
            <a:ext uri="{FF2B5EF4-FFF2-40B4-BE49-F238E27FC236}">
              <a16:creationId xmlns:a16="http://schemas.microsoft.com/office/drawing/2014/main" id="{47A269FE-51FE-4879-9382-0FF3FDAC288C}"/>
            </a:ext>
          </a:extLst>
        </xdr:cNvPr>
        <xdr:cNvGrpSpPr/>
      </xdr:nvGrpSpPr>
      <xdr:grpSpPr>
        <a:xfrm>
          <a:off x="4674053" y="6634843"/>
          <a:ext cx="3907518" cy="2398940"/>
          <a:chOff x="4150179" y="6531431"/>
          <a:chExt cx="3007178" cy="2149927"/>
        </a:xfrm>
      </xdr:grpSpPr>
      <xdr:sp macro="" textlink="">
        <xdr:nvSpPr>
          <xdr:cNvPr id="32" name="正方形/長方形 31">
            <a:extLst>
              <a:ext uri="{FF2B5EF4-FFF2-40B4-BE49-F238E27FC236}">
                <a16:creationId xmlns:a16="http://schemas.microsoft.com/office/drawing/2014/main" id="{E9EE6F20-76F0-D9A7-DEF0-DA3AE139846C}"/>
              </a:ext>
            </a:extLst>
          </xdr:cNvPr>
          <xdr:cNvSpPr/>
        </xdr:nvSpPr>
        <xdr:spPr>
          <a:xfrm>
            <a:off x="4898574" y="7905750"/>
            <a:ext cx="1700889" cy="775608"/>
          </a:xfrm>
          <a:prstGeom prst="rect">
            <a:avLst/>
          </a:prstGeom>
          <a:solidFill>
            <a:schemeClr val="accent4">
              <a:lumMod val="40000"/>
              <a:lumOff val="60000"/>
            </a:schemeClr>
          </a:solidFill>
          <a:ln>
            <a:solidFill>
              <a:schemeClr val="tx1"/>
            </a:solidFill>
          </a:ln>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b="1">
                <a:solidFill>
                  <a:srgbClr val="FF0000"/>
                </a:solidFill>
              </a:rPr>
              <a:t>マスタ連携時追加処理</a:t>
            </a:r>
            <a:endParaRPr kumimoji="1" lang="en-US" altLang="ja-JP" sz="1100" b="1">
              <a:solidFill>
                <a:srgbClr val="FF0000"/>
              </a:solidFill>
            </a:endParaRPr>
          </a:p>
          <a:p>
            <a:pPr algn="ctr"/>
            <a:r>
              <a:rPr kumimoji="1" lang="ja-JP" altLang="en-US" sz="1100" b="1">
                <a:solidFill>
                  <a:srgbClr val="FF0000"/>
                </a:solidFill>
              </a:rPr>
              <a:t>原紙の並び順判定処理</a:t>
            </a:r>
            <a:endParaRPr kumimoji="1" lang="en-US" altLang="ja-JP" sz="1100" b="1">
              <a:solidFill>
                <a:srgbClr val="FF0000"/>
              </a:solidFill>
            </a:endParaRPr>
          </a:p>
        </xdr:txBody>
      </xdr:sp>
      <xdr:sp macro="" textlink="">
        <xdr:nvSpPr>
          <xdr:cNvPr id="33" name="吹き出し: 角を丸めた四角形 32">
            <a:extLst>
              <a:ext uri="{FF2B5EF4-FFF2-40B4-BE49-F238E27FC236}">
                <a16:creationId xmlns:a16="http://schemas.microsoft.com/office/drawing/2014/main" id="{08ABEC1C-0522-79AF-9E38-9933EE601377}"/>
              </a:ext>
            </a:extLst>
          </xdr:cNvPr>
          <xdr:cNvSpPr/>
        </xdr:nvSpPr>
        <xdr:spPr>
          <a:xfrm>
            <a:off x="4150179" y="6531431"/>
            <a:ext cx="3007178" cy="1197429"/>
          </a:xfrm>
          <a:prstGeom prst="wedgeRoundRectCallout">
            <a:avLst>
              <a:gd name="adj1" fmla="val -10934"/>
              <a:gd name="adj2" fmla="val 73864"/>
              <a:gd name="adj3" fmla="val 16667"/>
            </a:avLst>
          </a:prstGeom>
          <a:solidFill>
            <a:schemeClr val="accent4">
              <a:lumMod val="40000"/>
              <a:lumOff val="60000"/>
            </a:schemeClr>
          </a:solidFill>
          <a:ln>
            <a:solidFill>
              <a:schemeClr val="tx1"/>
            </a:solidFill>
          </a:ln>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材料マスタに登録された原紙が</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基本情報マスタに登録された</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表、中、裏どの原紙かを判定し</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表：</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　中：</a:t>
            </a:r>
            <a:r>
              <a:rPr kumimoji="1" lang="en-US" altLang="ja-JP" sz="1100">
                <a:solidFill>
                  <a:sysClr val="windowText" lastClr="000000"/>
                </a:solidFill>
                <a:latin typeface="Meiryo UI" panose="020B0604030504040204" pitchFamily="50" charset="-128"/>
                <a:ea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rPr>
              <a:t>　裏：</a:t>
            </a:r>
            <a:r>
              <a:rPr kumimoji="1" lang="en-US" altLang="ja-JP" sz="1100">
                <a:solidFill>
                  <a:sysClr val="windowText" lastClr="000000"/>
                </a:solidFill>
                <a:latin typeface="Meiryo UI" panose="020B0604030504040204" pitchFamily="50" charset="-128"/>
                <a:ea typeface="Meiryo UI" panose="020B0604030504040204" pitchFamily="50" charset="-128"/>
              </a:rPr>
              <a:t>3</a:t>
            </a:r>
            <a:r>
              <a:rPr kumimoji="1" lang="ja-JP" altLang="en-US" sz="1100">
                <a:solidFill>
                  <a:sysClr val="windowText" lastClr="000000"/>
                </a:solidFill>
                <a:latin typeface="Meiryo UI" panose="020B0604030504040204" pitchFamily="50" charset="-128"/>
                <a:ea typeface="Meiryo UI" panose="020B0604030504040204" pitchFamily="50" charset="-128"/>
              </a:rPr>
              <a:t>で値を設定・連携する</a:t>
            </a:r>
          </a:p>
        </xdr:txBody>
      </xdr:sp>
    </xdr:grpSp>
    <xdr:clientData/>
  </xdr:twoCellAnchor>
  <xdr:twoCellAnchor>
    <xdr:from>
      <xdr:col>6</xdr:col>
      <xdr:colOff>680356</xdr:colOff>
      <xdr:row>41</xdr:row>
      <xdr:rowOff>1</xdr:rowOff>
    </xdr:from>
    <xdr:to>
      <xdr:col>7</xdr:col>
      <xdr:colOff>421820</xdr:colOff>
      <xdr:row>45</xdr:row>
      <xdr:rowOff>108858</xdr:rowOff>
    </xdr:to>
    <xdr:sp macro="" textlink="">
      <xdr:nvSpPr>
        <xdr:cNvPr id="34" name="矢印: 右 33">
          <a:extLst>
            <a:ext uri="{FF2B5EF4-FFF2-40B4-BE49-F238E27FC236}">
              <a16:creationId xmlns:a16="http://schemas.microsoft.com/office/drawing/2014/main" id="{D8481D7A-C327-4598-9EBB-AD31E0FD80B2}"/>
            </a:ext>
          </a:extLst>
        </xdr:cNvPr>
        <xdr:cNvSpPr/>
      </xdr:nvSpPr>
      <xdr:spPr>
        <a:xfrm rot="20450389">
          <a:off x="4633231" y="8724901"/>
          <a:ext cx="1351189" cy="908957"/>
        </a:xfrm>
        <a:prstGeom prst="rightArrow">
          <a:avLst/>
        </a:prstGeom>
        <a:ln/>
      </xdr:spPr>
      <xdr:style>
        <a:lnRef idx="1">
          <a:schemeClr val="accent6"/>
        </a:lnRef>
        <a:fillRef idx="2">
          <a:schemeClr val="accent6"/>
        </a:fillRef>
        <a:effectRef idx="1">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176893</xdr:colOff>
      <xdr:row>61</xdr:row>
      <xdr:rowOff>13607</xdr:rowOff>
    </xdr:from>
    <xdr:to>
      <xdr:col>17</xdr:col>
      <xdr:colOff>54429</xdr:colOff>
      <xdr:row>78</xdr:row>
      <xdr:rowOff>149679</xdr:rowOff>
    </xdr:to>
    <xdr:sp macro="" textlink="">
      <xdr:nvSpPr>
        <xdr:cNvPr id="35" name="正方形/長方形 34">
          <a:extLst>
            <a:ext uri="{FF2B5EF4-FFF2-40B4-BE49-F238E27FC236}">
              <a16:creationId xmlns:a16="http://schemas.microsoft.com/office/drawing/2014/main" id="{3EE6AF28-ED03-4D73-BBBC-CE1B9096A798}"/>
            </a:ext>
          </a:extLst>
        </xdr:cNvPr>
        <xdr:cNvSpPr/>
      </xdr:nvSpPr>
      <xdr:spPr>
        <a:xfrm>
          <a:off x="3377293" y="12739007"/>
          <a:ext cx="9764486" cy="3536497"/>
        </a:xfrm>
        <a:prstGeom prst="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2000" b="1">
              <a:solidFill>
                <a:sysClr val="windowText" lastClr="000000"/>
              </a:solidFill>
            </a:rPr>
            <a:t>今回関係ないため見え消ししてます</a:t>
          </a:r>
        </a:p>
      </xdr:txBody>
    </xdr:sp>
    <xdr:clientData/>
  </xdr:twoCellAnchor>
  <xdr:twoCellAnchor>
    <xdr:from>
      <xdr:col>2</xdr:col>
      <xdr:colOff>258536</xdr:colOff>
      <xdr:row>87</xdr:row>
      <xdr:rowOff>54430</xdr:rowOff>
    </xdr:from>
    <xdr:to>
      <xdr:col>16</xdr:col>
      <xdr:colOff>326572</xdr:colOff>
      <xdr:row>91</xdr:row>
      <xdr:rowOff>68037</xdr:rowOff>
    </xdr:to>
    <xdr:sp macro="" textlink="">
      <xdr:nvSpPr>
        <xdr:cNvPr id="36" name="正方形/長方形 35">
          <a:extLst>
            <a:ext uri="{FF2B5EF4-FFF2-40B4-BE49-F238E27FC236}">
              <a16:creationId xmlns:a16="http://schemas.microsoft.com/office/drawing/2014/main" id="{99E42401-BE28-4D6C-93D1-84C97B44840E}"/>
            </a:ext>
          </a:extLst>
        </xdr:cNvPr>
        <xdr:cNvSpPr/>
      </xdr:nvSpPr>
      <xdr:spPr>
        <a:xfrm>
          <a:off x="1049111" y="17980480"/>
          <a:ext cx="11612336" cy="813707"/>
        </a:xfrm>
        <a:prstGeom prst="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2000" b="1">
              <a:solidFill>
                <a:sysClr val="windowText" lastClr="000000"/>
              </a:solidFill>
            </a:rPr>
            <a:t>今回関係ないため見え消ししてます</a:t>
          </a:r>
        </a:p>
      </xdr:txBody>
    </xdr:sp>
    <xdr:clientData/>
  </xdr:twoCellAnchor>
  <xdr:twoCellAnchor>
    <xdr:from>
      <xdr:col>2</xdr:col>
      <xdr:colOff>0</xdr:colOff>
      <xdr:row>123</xdr:row>
      <xdr:rowOff>0</xdr:rowOff>
    </xdr:from>
    <xdr:to>
      <xdr:col>13</xdr:col>
      <xdr:colOff>326571</xdr:colOff>
      <xdr:row>147</xdr:row>
      <xdr:rowOff>154947</xdr:rowOff>
    </xdr:to>
    <xdr:grpSp>
      <xdr:nvGrpSpPr>
        <xdr:cNvPr id="37" name="グループ化 36">
          <a:extLst>
            <a:ext uri="{FF2B5EF4-FFF2-40B4-BE49-F238E27FC236}">
              <a16:creationId xmlns:a16="http://schemas.microsoft.com/office/drawing/2014/main" id="{0C7C41FA-A48B-4F51-9C32-2124A19E5712}"/>
            </a:ext>
          </a:extLst>
        </xdr:cNvPr>
        <xdr:cNvGrpSpPr/>
      </xdr:nvGrpSpPr>
      <xdr:grpSpPr>
        <a:xfrm>
          <a:off x="790575" y="25288875"/>
          <a:ext cx="9613446" cy="4955547"/>
          <a:chOff x="13097493" y="9881258"/>
          <a:chExt cx="8776606" cy="5053518"/>
        </a:xfrm>
      </xdr:grpSpPr>
      <xdr:pic>
        <xdr:nvPicPr>
          <xdr:cNvPr id="38" name="図 37">
            <a:extLst>
              <a:ext uri="{FF2B5EF4-FFF2-40B4-BE49-F238E27FC236}">
                <a16:creationId xmlns:a16="http://schemas.microsoft.com/office/drawing/2014/main" id="{F0C4E320-3939-6D7B-F6B4-C48353063BE9}"/>
              </a:ext>
            </a:extLst>
          </xdr:cNvPr>
          <xdr:cNvPicPr>
            <a:picLocks noChangeAspect="1"/>
          </xdr:cNvPicPr>
        </xdr:nvPicPr>
        <xdr:blipFill>
          <a:blip xmlns:r="http://schemas.openxmlformats.org/officeDocument/2006/relationships" r:embed="rId2"/>
          <a:stretch>
            <a:fillRect/>
          </a:stretch>
        </xdr:blipFill>
        <xdr:spPr>
          <a:xfrm>
            <a:off x="13097493" y="9881258"/>
            <a:ext cx="8051718" cy="5053518"/>
          </a:xfrm>
          <a:prstGeom prst="rect">
            <a:avLst/>
          </a:prstGeom>
          <a:ln>
            <a:solidFill>
              <a:sysClr val="windowText" lastClr="000000"/>
            </a:solidFill>
          </a:ln>
        </xdr:spPr>
      </xdr:pic>
      <xdr:sp macro="" textlink="">
        <xdr:nvSpPr>
          <xdr:cNvPr id="39" name="正方形/長方形 38">
            <a:extLst>
              <a:ext uri="{FF2B5EF4-FFF2-40B4-BE49-F238E27FC236}">
                <a16:creationId xmlns:a16="http://schemas.microsoft.com/office/drawing/2014/main" id="{D4410CA7-FE3F-F736-3B14-1C93C4E16A84}"/>
              </a:ext>
            </a:extLst>
          </xdr:cNvPr>
          <xdr:cNvSpPr/>
        </xdr:nvSpPr>
        <xdr:spPr>
          <a:xfrm>
            <a:off x="16219715" y="10314213"/>
            <a:ext cx="2258786" cy="42318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吹き出し: 角を丸めた四角形 39">
            <a:extLst>
              <a:ext uri="{FF2B5EF4-FFF2-40B4-BE49-F238E27FC236}">
                <a16:creationId xmlns:a16="http://schemas.microsoft.com/office/drawing/2014/main" id="{4B8E7E66-F4E6-B13D-F89B-645C9C34D23F}"/>
              </a:ext>
            </a:extLst>
          </xdr:cNvPr>
          <xdr:cNvSpPr/>
        </xdr:nvSpPr>
        <xdr:spPr>
          <a:xfrm>
            <a:off x="18832286" y="10736033"/>
            <a:ext cx="3041813" cy="2615045"/>
          </a:xfrm>
          <a:prstGeom prst="wedgeRoundRectCallout">
            <a:avLst>
              <a:gd name="adj1" fmla="val -58495"/>
              <a:gd name="adj2" fmla="val 13782"/>
              <a:gd name="adj3" fmla="val 16667"/>
            </a:avLst>
          </a:prstGeom>
          <a:solidFill>
            <a:srgbClr val="FFFF00"/>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登録時に上から</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　</a:t>
            </a:r>
            <a:r>
              <a:rPr kumimoji="1" lang="en-US" altLang="ja-JP" sz="1100" b="0">
                <a:solidFill>
                  <a:sysClr val="windowText" lastClr="000000"/>
                </a:solidFill>
                <a:latin typeface="Meiryo UI" panose="020B0604030504040204" pitchFamily="50" charset="-128"/>
                <a:ea typeface="Meiryo UI" panose="020B0604030504040204" pitchFamily="50" charset="-128"/>
              </a:rPr>
              <a:t>1</a:t>
            </a:r>
            <a:r>
              <a:rPr kumimoji="1" lang="ja-JP" altLang="en-US" sz="1100" b="0">
                <a:solidFill>
                  <a:sysClr val="windowText" lastClr="000000"/>
                </a:solidFill>
                <a:latin typeface="Meiryo UI" panose="020B0604030504040204" pitchFamily="50" charset="-128"/>
                <a:ea typeface="Meiryo UI" panose="020B0604030504040204" pitchFamily="50" charset="-128"/>
              </a:rPr>
              <a:t>行目：</a:t>
            </a:r>
            <a:r>
              <a:rPr kumimoji="1" lang="en-US" altLang="ja-JP" sz="1100" b="0">
                <a:solidFill>
                  <a:sysClr val="windowText" lastClr="000000"/>
                </a:solidFill>
                <a:latin typeface="Meiryo UI" panose="020B0604030504040204" pitchFamily="50" charset="-128"/>
                <a:ea typeface="Meiryo UI" panose="020B0604030504040204" pitchFamily="50" charset="-128"/>
              </a:rPr>
              <a:t>E092B</a:t>
            </a:r>
            <a:r>
              <a:rPr kumimoji="1" lang="ja-JP" altLang="en-US" sz="1100" b="0">
                <a:solidFill>
                  <a:sysClr val="windowText" lastClr="000000"/>
                </a:solidFill>
                <a:latin typeface="Meiryo UI" panose="020B0604030504040204" pitchFamily="50" charset="-128"/>
                <a:ea typeface="Meiryo UI" panose="020B0604030504040204" pitchFamily="50" charset="-128"/>
              </a:rPr>
              <a:t>：原紙</a:t>
            </a:r>
            <a:r>
              <a:rPr kumimoji="1" lang="en-US" altLang="ja-JP" sz="1100" b="0">
                <a:solidFill>
                  <a:sysClr val="windowText" lastClr="000000"/>
                </a:solidFill>
                <a:latin typeface="Meiryo UI" panose="020B0604030504040204" pitchFamily="50" charset="-128"/>
                <a:ea typeface="Meiryo UI" panose="020B0604030504040204" pitchFamily="50" charset="-128"/>
              </a:rPr>
              <a:t>A</a:t>
            </a:r>
            <a:r>
              <a:rPr kumimoji="1" lang="ja-JP" altLang="en-US" sz="1100" b="0">
                <a:solidFill>
                  <a:sysClr val="windowText" lastClr="00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裏</a:t>
            </a:r>
            <a:r>
              <a:rPr kumimoji="1" lang="ja-JP" altLang="en-US" sz="1100" b="0">
                <a:solidFill>
                  <a:sysClr val="windowText" lastClr="000000"/>
                </a:solidFill>
                <a:latin typeface="Meiryo UI" panose="020B0604030504040204" pitchFamily="50" charset="-128"/>
                <a:ea typeface="Meiryo UI" panose="020B0604030504040204" pitchFamily="50" charset="-128"/>
              </a:rPr>
              <a:t>）</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　</a:t>
            </a:r>
            <a:r>
              <a:rPr kumimoji="1" lang="en-US" altLang="ja-JP" sz="1100" b="0">
                <a:solidFill>
                  <a:sysClr val="windowText" lastClr="000000"/>
                </a:solidFill>
                <a:latin typeface="Meiryo UI" panose="020B0604030504040204" pitchFamily="50" charset="-128"/>
                <a:ea typeface="Meiryo UI" panose="020B0604030504040204" pitchFamily="50" charset="-128"/>
              </a:rPr>
              <a:t>4</a:t>
            </a:r>
            <a:r>
              <a:rPr kumimoji="1" lang="ja-JP" altLang="en-US" sz="1100" b="0">
                <a:solidFill>
                  <a:sysClr val="windowText" lastClr="000000"/>
                </a:solidFill>
                <a:latin typeface="Meiryo UI" panose="020B0604030504040204" pitchFamily="50" charset="-128"/>
                <a:ea typeface="Meiryo UI" panose="020B0604030504040204" pitchFamily="50" charset="-128"/>
              </a:rPr>
              <a:t>行目：</a:t>
            </a:r>
            <a:r>
              <a:rPr kumimoji="1" lang="en-US" altLang="ja-JP" sz="1100" b="0">
                <a:solidFill>
                  <a:sysClr val="windowText" lastClr="000000"/>
                </a:solidFill>
                <a:latin typeface="Meiryo UI" panose="020B0604030504040204" pitchFamily="50" charset="-128"/>
                <a:ea typeface="Meiryo UI" panose="020B0604030504040204" pitchFamily="50" charset="-128"/>
              </a:rPr>
              <a:t>EOO1R</a:t>
            </a:r>
            <a:r>
              <a:rPr kumimoji="1" lang="ja-JP" altLang="en-US" sz="1100" b="0">
                <a:solidFill>
                  <a:sysClr val="windowText" lastClr="000000"/>
                </a:solidFill>
                <a:latin typeface="Meiryo UI" panose="020B0604030504040204" pitchFamily="50" charset="-128"/>
                <a:ea typeface="Meiryo UI" panose="020B0604030504040204" pitchFamily="50" charset="-128"/>
              </a:rPr>
              <a:t>：原紙</a:t>
            </a:r>
            <a:r>
              <a:rPr kumimoji="1" lang="en-US" altLang="ja-JP" sz="1100" b="0">
                <a:solidFill>
                  <a:sysClr val="windowText" lastClr="000000"/>
                </a:solidFill>
                <a:latin typeface="Meiryo UI" panose="020B0604030504040204" pitchFamily="50" charset="-128"/>
                <a:ea typeface="Meiryo UI" panose="020B0604030504040204" pitchFamily="50" charset="-128"/>
              </a:rPr>
              <a:t>A</a:t>
            </a:r>
            <a:r>
              <a:rPr kumimoji="1" lang="ja-JP" altLang="en-US" sz="1100" b="0">
                <a:solidFill>
                  <a:sysClr val="windowText" lastClr="00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中</a:t>
            </a:r>
            <a:r>
              <a:rPr kumimoji="1" lang="ja-JP" altLang="en-US" sz="1100" b="0">
                <a:solidFill>
                  <a:sysClr val="windowText" lastClr="000000"/>
                </a:solidFill>
                <a:latin typeface="Meiryo UI" panose="020B0604030504040204" pitchFamily="50" charset="-128"/>
                <a:ea typeface="Meiryo UI" panose="020B0604030504040204" pitchFamily="50" charset="-128"/>
              </a:rPr>
              <a:t>）</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　</a:t>
            </a:r>
            <a:r>
              <a:rPr kumimoji="1" lang="en-US" altLang="ja-JP" sz="1100" b="0">
                <a:solidFill>
                  <a:sysClr val="windowText" lastClr="000000"/>
                </a:solidFill>
                <a:latin typeface="Meiryo UI" panose="020B0604030504040204" pitchFamily="50" charset="-128"/>
                <a:ea typeface="Meiryo UI" panose="020B0604030504040204" pitchFamily="50" charset="-128"/>
              </a:rPr>
              <a:t>7</a:t>
            </a:r>
            <a:r>
              <a:rPr kumimoji="1" lang="ja-JP" altLang="en-US" sz="1100" b="0">
                <a:solidFill>
                  <a:sysClr val="windowText" lastClr="000000"/>
                </a:solidFill>
                <a:latin typeface="Meiryo UI" panose="020B0604030504040204" pitchFamily="50" charset="-128"/>
                <a:ea typeface="Meiryo UI" panose="020B0604030504040204" pitchFamily="50" charset="-128"/>
              </a:rPr>
              <a:t>行目：</a:t>
            </a:r>
            <a:r>
              <a:rPr kumimoji="1" lang="en-US" altLang="ja-JP" sz="1100" b="0">
                <a:solidFill>
                  <a:sysClr val="windowText" lastClr="000000"/>
                </a:solidFill>
                <a:latin typeface="Meiryo UI" panose="020B0604030504040204" pitchFamily="50" charset="-128"/>
                <a:ea typeface="Meiryo UI" panose="020B0604030504040204" pitchFamily="50" charset="-128"/>
              </a:rPr>
              <a:t>ECBAF</a:t>
            </a:r>
            <a:r>
              <a:rPr kumimoji="1" lang="ja-JP" altLang="en-US" sz="1100" b="0">
                <a:solidFill>
                  <a:sysClr val="windowText" lastClr="000000"/>
                </a:solidFill>
                <a:latin typeface="Meiryo UI" panose="020B0604030504040204" pitchFamily="50" charset="-128"/>
                <a:ea typeface="Meiryo UI" panose="020B0604030504040204" pitchFamily="50" charset="-128"/>
              </a:rPr>
              <a:t>：原紙</a:t>
            </a:r>
            <a:r>
              <a:rPr kumimoji="1" lang="en-US" altLang="ja-JP" sz="1100" b="0">
                <a:solidFill>
                  <a:sysClr val="windowText" lastClr="000000"/>
                </a:solidFill>
                <a:latin typeface="Meiryo UI" panose="020B0604030504040204" pitchFamily="50" charset="-128"/>
                <a:ea typeface="Meiryo UI" panose="020B0604030504040204" pitchFamily="50" charset="-128"/>
              </a:rPr>
              <a:t>A</a:t>
            </a:r>
            <a:r>
              <a:rPr kumimoji="1" lang="ja-JP" altLang="en-US" sz="1100" b="0">
                <a:solidFill>
                  <a:sysClr val="windowText" lastClr="00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表</a:t>
            </a:r>
            <a:r>
              <a:rPr kumimoji="1" lang="ja-JP" altLang="en-US" sz="1100" b="0">
                <a:solidFill>
                  <a:sysClr val="windowText" lastClr="000000"/>
                </a:solidFill>
                <a:latin typeface="Meiryo UI" panose="020B0604030504040204" pitchFamily="50" charset="-128"/>
                <a:ea typeface="Meiryo UI" panose="020B0604030504040204" pitchFamily="50" charset="-128"/>
              </a:rPr>
              <a:t>）</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の順で設定された場合には以下の</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0">
                <a:solidFill>
                  <a:sysClr val="windowText" lastClr="000000"/>
                </a:solidFill>
                <a:latin typeface="Meiryo UI" panose="020B0604030504040204" pitchFamily="50" charset="-128"/>
                <a:ea typeface="Meiryo UI" panose="020B0604030504040204" pitchFamily="50" charset="-128"/>
              </a:rPr>
              <a:t>値が入るよう基本情報の表、裏、中の情報を参照し値を設定する。</a:t>
            </a:r>
            <a:endParaRPr kumimoji="1" lang="en-US" altLang="ja-JP" sz="11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　○正　裏：</a:t>
            </a:r>
            <a:r>
              <a:rPr kumimoji="1" lang="en-US" altLang="ja-JP" sz="1100" b="1">
                <a:solidFill>
                  <a:sysClr val="windowText" lastClr="000000"/>
                </a:solidFill>
                <a:latin typeface="Meiryo UI" panose="020B0604030504040204" pitchFamily="50" charset="-128"/>
                <a:ea typeface="Meiryo UI" panose="020B0604030504040204" pitchFamily="50" charset="-128"/>
              </a:rPr>
              <a:t>3</a:t>
            </a:r>
            <a:r>
              <a:rPr kumimoji="1" lang="ja-JP" altLang="en-US" sz="1100" b="1">
                <a:solidFill>
                  <a:sysClr val="windowText" lastClr="000000"/>
                </a:solidFill>
                <a:latin typeface="Meiryo UI" panose="020B0604030504040204" pitchFamily="50" charset="-128"/>
                <a:ea typeface="Meiryo UI" panose="020B0604030504040204" pitchFamily="50" charset="-128"/>
              </a:rPr>
              <a:t>　表：</a:t>
            </a:r>
            <a:r>
              <a:rPr kumimoji="1" lang="en-US" altLang="ja-JP" sz="1100" b="1">
                <a:solidFill>
                  <a:sysClr val="windowText" lastClr="000000"/>
                </a:solidFill>
                <a:latin typeface="Meiryo UI" panose="020B0604030504040204" pitchFamily="50" charset="-128"/>
                <a:ea typeface="Meiryo UI" panose="020B0604030504040204" pitchFamily="50" charset="-128"/>
              </a:rPr>
              <a:t>2</a:t>
            </a:r>
            <a:r>
              <a:rPr kumimoji="1" lang="ja-JP" altLang="en-US" sz="1100" b="1">
                <a:solidFill>
                  <a:sysClr val="windowText" lastClr="000000"/>
                </a:solidFill>
                <a:latin typeface="Meiryo UI" panose="020B0604030504040204" pitchFamily="50" charset="-128"/>
                <a:ea typeface="Meiryo UI" panose="020B0604030504040204" pitchFamily="50" charset="-128"/>
              </a:rPr>
              <a:t>　中：</a:t>
            </a:r>
            <a:r>
              <a:rPr kumimoji="1" lang="en-US" altLang="ja-JP" sz="1100" b="1">
                <a:solidFill>
                  <a:sysClr val="windowText" lastClr="000000"/>
                </a:solidFill>
                <a:latin typeface="Meiryo UI" panose="020B0604030504040204" pitchFamily="50" charset="-128"/>
                <a:ea typeface="Meiryo UI" panose="020B0604030504040204" pitchFamily="50" charset="-128"/>
              </a:rPr>
              <a:t>3</a:t>
            </a:r>
          </a:p>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　</a:t>
            </a:r>
            <a:r>
              <a:rPr kumimoji="1" lang="en-US" altLang="ja-JP" sz="1100" b="1">
                <a:solidFill>
                  <a:sysClr val="windowText" lastClr="000000"/>
                </a:solidFill>
                <a:latin typeface="Meiryo UI" panose="020B0604030504040204" pitchFamily="50" charset="-128"/>
                <a:ea typeface="Meiryo UI" panose="020B0604030504040204" pitchFamily="50" charset="-128"/>
              </a:rPr>
              <a:t>×</a:t>
            </a:r>
            <a:r>
              <a:rPr kumimoji="1" lang="ja-JP" altLang="en-US" sz="1100" b="1">
                <a:solidFill>
                  <a:sysClr val="windowText" lastClr="000000"/>
                </a:solidFill>
                <a:latin typeface="Meiryo UI" panose="020B0604030504040204" pitchFamily="50" charset="-128"/>
                <a:ea typeface="Meiryo UI" panose="020B0604030504040204" pitchFamily="50" charset="-128"/>
              </a:rPr>
              <a:t>誤　裏：</a:t>
            </a:r>
            <a:r>
              <a:rPr kumimoji="1" lang="en-US" altLang="ja-JP" sz="1100" b="1">
                <a:solidFill>
                  <a:sysClr val="windowText" lastClr="000000"/>
                </a:solidFill>
                <a:latin typeface="Meiryo UI" panose="020B0604030504040204" pitchFamily="50" charset="-128"/>
                <a:ea typeface="Meiryo UI" panose="020B0604030504040204" pitchFamily="50" charset="-128"/>
              </a:rPr>
              <a:t>1</a:t>
            </a:r>
            <a:r>
              <a:rPr kumimoji="1" lang="ja-JP" altLang="en-US" sz="1100" b="1">
                <a:solidFill>
                  <a:sysClr val="windowText" lastClr="000000"/>
                </a:solidFill>
                <a:latin typeface="Meiryo UI" panose="020B0604030504040204" pitchFamily="50" charset="-128"/>
                <a:ea typeface="Meiryo UI" panose="020B0604030504040204" pitchFamily="50" charset="-128"/>
              </a:rPr>
              <a:t>　中：</a:t>
            </a:r>
            <a:r>
              <a:rPr kumimoji="1" lang="en-US" altLang="ja-JP" sz="1100" b="1">
                <a:solidFill>
                  <a:sysClr val="windowText" lastClr="000000"/>
                </a:solidFill>
                <a:latin typeface="Meiryo UI" panose="020B0604030504040204" pitchFamily="50" charset="-128"/>
                <a:ea typeface="Meiryo UI" panose="020B0604030504040204" pitchFamily="50" charset="-128"/>
              </a:rPr>
              <a:t>2</a:t>
            </a:r>
            <a:r>
              <a:rPr kumimoji="1" lang="ja-JP" altLang="en-US" sz="1100" b="1">
                <a:solidFill>
                  <a:sysClr val="windowText" lastClr="000000"/>
                </a:solidFill>
                <a:latin typeface="Meiryo UI" panose="020B0604030504040204" pitchFamily="50" charset="-128"/>
                <a:ea typeface="Meiryo UI" panose="020B0604030504040204" pitchFamily="50" charset="-128"/>
              </a:rPr>
              <a:t>　表：</a:t>
            </a:r>
            <a:r>
              <a:rPr kumimoji="1" lang="en-US" altLang="ja-JP" sz="1100" b="1">
                <a:solidFill>
                  <a:sysClr val="windowText" lastClr="000000"/>
                </a:solidFill>
                <a:latin typeface="Meiryo UI" panose="020B0604030504040204" pitchFamily="50" charset="-128"/>
                <a:ea typeface="Meiryo UI" panose="020B0604030504040204" pitchFamily="50" charset="-128"/>
              </a:rPr>
              <a:t>3</a:t>
            </a:r>
          </a:p>
        </xdr:txBody>
      </xdr:sp>
    </xdr:grpSp>
    <xdr:clientData/>
  </xdr:twoCellAnchor>
  <xdr:twoCellAnchor>
    <xdr:from>
      <xdr:col>4</xdr:col>
      <xdr:colOff>444500</xdr:colOff>
      <xdr:row>82</xdr:row>
      <xdr:rowOff>172357</xdr:rowOff>
    </xdr:from>
    <xdr:to>
      <xdr:col>10</xdr:col>
      <xdr:colOff>9071</xdr:colOff>
      <xdr:row>97</xdr:row>
      <xdr:rowOff>81643</xdr:rowOff>
    </xdr:to>
    <xdr:cxnSp macro="">
      <xdr:nvCxnSpPr>
        <xdr:cNvPr id="41" name="直線矢印コネクタ 40">
          <a:extLst>
            <a:ext uri="{FF2B5EF4-FFF2-40B4-BE49-F238E27FC236}">
              <a16:creationId xmlns:a16="http://schemas.microsoft.com/office/drawing/2014/main" id="{367EA2B8-DA87-4E2B-9FEC-4269E57D2094}"/>
            </a:ext>
          </a:extLst>
        </xdr:cNvPr>
        <xdr:cNvCxnSpPr/>
      </xdr:nvCxnSpPr>
      <xdr:spPr>
        <a:xfrm>
          <a:off x="2816225" y="17098282"/>
          <a:ext cx="5012871" cy="29096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312965</xdr:colOff>
      <xdr:row>41</xdr:row>
      <xdr:rowOff>149679</xdr:rowOff>
    </xdr:from>
    <xdr:to>
      <xdr:col>12</xdr:col>
      <xdr:colOff>176894</xdr:colOff>
      <xdr:row>46</xdr:row>
      <xdr:rowOff>54428</xdr:rowOff>
    </xdr:to>
    <xdr:sp macro="" textlink="">
      <xdr:nvSpPr>
        <xdr:cNvPr id="42" name="矢印: 右 41">
          <a:extLst>
            <a:ext uri="{FF2B5EF4-FFF2-40B4-BE49-F238E27FC236}">
              <a16:creationId xmlns:a16="http://schemas.microsoft.com/office/drawing/2014/main" id="{7B1E106B-893B-49EA-A841-75A78B804FB9}"/>
            </a:ext>
          </a:extLst>
        </xdr:cNvPr>
        <xdr:cNvSpPr/>
      </xdr:nvSpPr>
      <xdr:spPr>
        <a:xfrm>
          <a:off x="8132990" y="8874579"/>
          <a:ext cx="1368879" cy="904874"/>
        </a:xfrm>
        <a:prstGeom prst="rightArrow">
          <a:avLst/>
        </a:prstGeom>
        <a:ln/>
      </xdr:spPr>
      <xdr:style>
        <a:lnRef idx="1">
          <a:schemeClr val="accent6"/>
        </a:lnRef>
        <a:fillRef idx="2">
          <a:schemeClr val="accent6"/>
        </a:fillRef>
        <a:effectRef idx="1">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49</xdr:col>
      <xdr:colOff>450850</xdr:colOff>
      <xdr:row>86</xdr:row>
      <xdr:rowOff>173759</xdr:rowOff>
    </xdr:to>
    <xdr:pic>
      <xdr:nvPicPr>
        <xdr:cNvPr id="2" name="図 1">
          <a:extLst>
            <a:ext uri="{FF2B5EF4-FFF2-40B4-BE49-F238E27FC236}">
              <a16:creationId xmlns:a16="http://schemas.microsoft.com/office/drawing/2014/main" id="{DB7D4F54-135F-4D8A-B7BB-70FF771029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55050" cy="2081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254000</xdr:colOff>
      <xdr:row>32</xdr:row>
      <xdr:rowOff>142875</xdr:rowOff>
    </xdr:from>
    <xdr:to>
      <xdr:col>48</xdr:col>
      <xdr:colOff>330200</xdr:colOff>
      <xdr:row>125</xdr:row>
      <xdr:rowOff>152400</xdr:rowOff>
    </xdr:to>
    <xdr:sp macro="" textlink="">
      <xdr:nvSpPr>
        <xdr:cNvPr id="3" name="正方形/長方形 2">
          <a:extLst>
            <a:ext uri="{FF2B5EF4-FFF2-40B4-BE49-F238E27FC236}">
              <a16:creationId xmlns:a16="http://schemas.microsoft.com/office/drawing/2014/main" id="{9B3F2526-9DEC-4F2C-810D-7834D7184572}"/>
            </a:ext>
          </a:extLst>
        </xdr:cNvPr>
        <xdr:cNvSpPr/>
      </xdr:nvSpPr>
      <xdr:spPr>
        <a:xfrm>
          <a:off x="9169400" y="5629275"/>
          <a:ext cx="24079200" cy="15954375"/>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28</xdr:col>
      <xdr:colOff>50800</xdr:colOff>
      <xdr:row>33</xdr:row>
      <xdr:rowOff>152400</xdr:rowOff>
    </xdr:from>
    <xdr:ext cx="2347566" cy="559192"/>
    <xdr:sp macro="" textlink="">
      <xdr:nvSpPr>
        <xdr:cNvPr id="4" name="テキスト ボックス 3">
          <a:extLst>
            <a:ext uri="{FF2B5EF4-FFF2-40B4-BE49-F238E27FC236}">
              <a16:creationId xmlns:a16="http://schemas.microsoft.com/office/drawing/2014/main" id="{D1015987-E84F-49D1-9298-BED4BC0BAEAE}"/>
            </a:ext>
          </a:extLst>
        </xdr:cNvPr>
        <xdr:cNvSpPr txBox="1"/>
      </xdr:nvSpPr>
      <xdr:spPr>
        <a:xfrm>
          <a:off x="19253200" y="5810250"/>
          <a:ext cx="2347566"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b="1">
              <a:solidFill>
                <a:srgbClr val="FF0000"/>
              </a:solidFill>
            </a:rPr>
            <a:t>仕様変更対象</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urasesa/Desktop/M7-US-1550_MS_r01.02_&#12452;&#12531;&#12479;&#12540;&#12501;&#12455;&#12540;&#12473;&#12460;&#12452;&#12489;_&#12304;SCM%20Link&#12305;%20&#12398;&#12467;&#12500;&#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凡例"/>
      <sheetName val="1. 概要"/>
      <sheetName val="2-1-1. ファイルフォーマット（注文）"/>
      <sheetName val="2-1-2. 送信ファイル作成（注文）"/>
      <sheetName val="2-1-3. 送信コード変換（注文）"/>
      <sheetName val="2-1-4. 送信ＩＦテーブル作成（注文）"/>
      <sheetName val="2-1-5. 送信ＩＦ確認（注文）"/>
      <sheetName val="2-1-6. 受信ファイル取込（注文）"/>
      <sheetName val="2-1-7. 受信コード変換（注文）"/>
      <sheetName val="2-1-8. 受信ＩＦ確認（注文）"/>
      <sheetName val="2-2-1. ファイルフォーマット（納期回答）"/>
      <sheetName val="2-2-2. 送信ファイル作成（納期回答）"/>
      <sheetName val="2-2-3. 送信コード変換（納期回答）"/>
      <sheetName val="2-2-4. 送信ＩＦテーブル作成（納期回答）"/>
      <sheetName val="2-2-5. 送信ＩＦ確認（納期回答）"/>
      <sheetName val="2-2-6. 受信ファイル取込（納期回答）"/>
      <sheetName val="2-2-7. 受信コード変換（納期回答）"/>
      <sheetName val="2-2-8. 受信ＩＦ確認（納期回答）"/>
      <sheetName val="2-3-1. ファイルフォーマット（ＥＤＩ出荷実績）"/>
      <sheetName val="2-3-2. 送信ファイル作成（ＥＤＩ出荷実績）"/>
      <sheetName val="2-3-3. 送信コード変換（ＥＤＩ出荷実績）"/>
      <sheetName val="2-3-4. 送信ＩＦテーブル作成（ＥＤＩ出荷実績）"/>
      <sheetName val="2-3-5. 送信ＩＦ確認（ＥＤＩ出荷実績）"/>
      <sheetName val="2-3-6. 受信ファイル取込（ＥＤＩ出荷実績）"/>
      <sheetName val="2-3-7. 受信コード変換（ＥＤＩ出荷実績）"/>
      <sheetName val="2-3-8. 受信ＩＦ確認（ＥＤＩ出荷実績）"/>
      <sheetName val="2-4-1. ファイルフォーマット（検収）"/>
      <sheetName val="2-4-2. 送信ファイル作成（検収）"/>
      <sheetName val="2-4-3. 送信コード変換（検収）"/>
      <sheetName val="2-4-4. 送信ＩＦテーブル作成（検収）"/>
      <sheetName val="2-4-5. 送信ＩＦ確認（検収）"/>
      <sheetName val="2-4-6. 受信ファイル取込（検収）"/>
      <sheetName val="2-4-7. 受信コード変換（検収）"/>
      <sheetName val="2-4-8. 受信ＩＦ確認（検収）"/>
      <sheetName val="3-1-1. ファイルフォーマット（出荷指図）"/>
      <sheetName val="3-1-2. 送信ファイル作成（出荷指図）"/>
      <sheetName val="3-1-3. 送信コード変換（出荷指図）"/>
      <sheetName val="3-1-4. 送信ＩＦテーブル作成（出荷指図）"/>
      <sheetName val="3-1-5. 送信ＩＦ確認（出荷指図）"/>
      <sheetName val="3-2-1. ファイルフォーマット（出荷実績）"/>
      <sheetName val="3-2-2. 受信ファイル取込（出荷実績）"/>
      <sheetName val="3-2-3. 受信コード変換（出荷実績）"/>
      <sheetName val="3-2-4. 受信ＩＦ確認（出荷実績）"/>
      <sheetName val="3-3-1. ファイルフォーマット（入荷予定）"/>
      <sheetName val="3-3-2. 送信ファイル作成（入荷予定）"/>
      <sheetName val="3-3-3. 送信コード変換（入荷予定）"/>
      <sheetName val="3-3-4. 送信ＩＦテーブル作成（入荷予定）"/>
      <sheetName val="3-3-5. 送信ＩＦ確認（入荷予定）"/>
      <sheetName val="3-4-1. ファイルフォーマット（入荷実績）"/>
      <sheetName val="3-4-2. 受信ファイル取込（入荷実績）"/>
      <sheetName val="3-4-3. 受信コード変換（入荷実績）"/>
      <sheetName val="3-4-4. 受信ＩＦ確認（入荷実績）"/>
      <sheetName val="3-5-1. ファイルフォーマット（移動指図）"/>
      <sheetName val="3-5-2. 送信ファイル作成（移動指図）"/>
      <sheetName val="3-5-3. 送信コード変換（移動指図）"/>
      <sheetName val="3-5-4. 送信ＩＦテーブル作成（移動指図）"/>
      <sheetName val="3-5-5. 送信ＩＦ確認（移動指図）"/>
      <sheetName val="3-6-1. ファイルフォーマット（移動実績）"/>
      <sheetName val="3-6-2. 受信ファイル取込（移動実績）"/>
      <sheetName val="3-6-3. 受信コード変換（移動実績）"/>
      <sheetName val="3-6-4. 受信ＩＦ確認（移動実績）"/>
      <sheetName val="3-7-1. ファイルフォーマット（他勘定振替実績）"/>
      <sheetName val="3-7-2. 受信ファイル取込（他勘定振替実績）"/>
      <sheetName val="3-7-3. 受信コード変換（他勘定振替実績）"/>
      <sheetName val="3-7-4. 受信ＩＦ確認（他勘定振替実績）"/>
      <sheetName val="4-1-1. ファイルフォーマット（工程指図）"/>
      <sheetName val="4-1-2. 送信ファイル作成（工程指図）"/>
      <sheetName val="4-1-3. 送信コード変換（工程指図）"/>
      <sheetName val="4-1-4. 送信ＩＦテーブル作成（工程指図）"/>
      <sheetName val="4-1-5. 送信ＩＦ確認（工程指図）"/>
      <sheetName val="4-2-1. ファイルフォーマット（工程実績）"/>
      <sheetName val="4-2-2. 受信ファイル取込（工程実績）"/>
      <sheetName val="4-2-3. 受信コード変換（工程実績）"/>
      <sheetName val="4-2-4. 受信ＩＦ確認（工程実績）"/>
      <sheetName val="4-3-1. ファイルフォーマット（出来高予定）"/>
      <sheetName val="4-3-2. 送信ファイル作成（出来高予定）"/>
      <sheetName val="4-3-3. 送信コード変換（出来高予定）"/>
      <sheetName val="4-3-4. 送信ＩＦテーブル作成（出来高予定）"/>
      <sheetName val="4-3-5. 送信ＩＦ確認（出来高予定）"/>
      <sheetName val="4-4-1. ファイルフォーマット（出来高実績）"/>
      <sheetName val="4-4-2. 受信ファイル取込（出来高実績）"/>
      <sheetName val="4-4-3. 受信コード変換（出来高実績）"/>
      <sheetName val="4-4-4. 受信ＩＦ確認（出来高実績）"/>
      <sheetName val="4-5-1. ファイルフォーマット（投入予定）"/>
      <sheetName val="4-5-2. 送信ファイル作成（投入予定）"/>
      <sheetName val="4-5-3. 送信コード変換（投入予定）"/>
      <sheetName val="4-5-4. 送信ＩＦテーブル作成（投入予定）"/>
      <sheetName val="4-5-5. 送信ＩＦ確認（投入予定）"/>
      <sheetName val="4-6-1. ファイルフォーマット（投入実績）"/>
      <sheetName val="4-6-2. 受信ファイル取込（投入実績）"/>
      <sheetName val="4-6-3. 受信コード変換（投入実績）"/>
      <sheetName val="4-6-4. 受信ＩＦ確認（投入実績）"/>
      <sheetName val="4-7-1. ファイルフォーマット（工数実績）"/>
      <sheetName val="4-7-2. 受信ファイル取込（工数実績）"/>
      <sheetName val="4-7-3. 受信コード変換（工数実績）"/>
      <sheetName val="4-7-4. 受信ＩＦ確認（工数実績）"/>
      <sheetName val="5-1. ＳＣＭ実績受信ＩＦ確認"/>
      <sheetName val="6-1-1. ファイルフォーマット（入金） "/>
      <sheetName val="6-1-2. 受信ファイル取込（入金）"/>
      <sheetName val="6-1-3. 受信コード変換（入金）"/>
      <sheetName val="6-1-4. 受信ＩＦ確認（入金）"/>
      <sheetName val="7-1-1. ファイルフォーマット（発注）"/>
      <sheetName val="7-1-2. 受信ファイル取込（発注）"/>
      <sheetName val="7-1-3. 受信コード変換（発注）"/>
      <sheetName val="7-1-4. 受信ＩＦ確認（発注）"/>
      <sheetName val="挿絵_1. 凡例"/>
    </sheetNames>
    <sheetDataSet>
      <sheetData sheetId="0">
        <row r="5">
          <cell r="AD5" t="str">
            <v>M7-US-1550</v>
          </cell>
          <cell r="AJ5" t="str">
            <v>7.0.2</v>
          </cell>
          <cell r="AP5" t="str">
            <v>r01.02</v>
          </cell>
        </row>
        <row r="13">
          <cell r="M13" t="str">
            <v>インターフェースガイド
SCM Link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workbookViewId="0">
      <selection sqref="A1:A1048576"/>
    </sheetView>
  </sheetViews>
  <sheetFormatPr defaultRowHeight="18.75"/>
  <cols>
    <col min="1" max="1" width="8.125" style="11" customWidth="1"/>
    <col min="2" max="2" width="10" style="4" bestFit="1" customWidth="1"/>
    <col min="3" max="3" width="16.75" style="4" bestFit="1" customWidth="1"/>
    <col min="4" max="4" width="22" style="4" customWidth="1"/>
    <col min="5" max="5" width="11" style="4" bestFit="1" customWidth="1"/>
    <col min="6" max="6" width="32.125" style="4" customWidth="1"/>
    <col min="7" max="7" width="70" style="4" bestFit="1" customWidth="1"/>
    <col min="8" max="16384" width="9" style="4"/>
  </cols>
  <sheetData>
    <row r="1" spans="1:7">
      <c r="A1" s="1" t="s">
        <v>0</v>
      </c>
      <c r="B1" s="2" t="s">
        <v>1</v>
      </c>
      <c r="C1" s="3" t="s">
        <v>2</v>
      </c>
      <c r="D1" s="3" t="s">
        <v>3</v>
      </c>
      <c r="E1" s="3" t="s">
        <v>4</v>
      </c>
      <c r="F1" s="3" t="s">
        <v>5</v>
      </c>
      <c r="G1" s="3" t="s">
        <v>6</v>
      </c>
    </row>
    <row r="2" spans="1:7" ht="112.5">
      <c r="A2" s="5">
        <v>3</v>
      </c>
      <c r="B2" s="6" t="s">
        <v>7</v>
      </c>
      <c r="C2" s="7" t="s">
        <v>8</v>
      </c>
      <c r="D2" s="7" t="s">
        <v>9</v>
      </c>
      <c r="E2" s="7" t="s">
        <v>10</v>
      </c>
      <c r="F2" s="7" t="s">
        <v>11</v>
      </c>
      <c r="G2" s="7" t="s">
        <v>12</v>
      </c>
    </row>
    <row r="3" spans="1:7" ht="112.5">
      <c r="A3" s="5">
        <v>4</v>
      </c>
      <c r="B3" s="6" t="s">
        <v>13</v>
      </c>
      <c r="C3" s="7" t="s">
        <v>8</v>
      </c>
      <c r="D3" s="7" t="s">
        <v>9</v>
      </c>
      <c r="E3" s="7" t="s">
        <v>10</v>
      </c>
      <c r="F3" s="7" t="s">
        <v>14</v>
      </c>
      <c r="G3" s="7" t="s">
        <v>15</v>
      </c>
    </row>
    <row r="4" spans="1:7" ht="93.75">
      <c r="A4" s="5">
        <v>5</v>
      </c>
      <c r="B4" s="6" t="s">
        <v>16</v>
      </c>
      <c r="C4" s="7" t="s">
        <v>17</v>
      </c>
      <c r="D4" s="7" t="s">
        <v>18</v>
      </c>
      <c r="E4" s="7" t="s">
        <v>10</v>
      </c>
      <c r="F4" s="7" t="s">
        <v>19</v>
      </c>
      <c r="G4" s="7" t="s">
        <v>20</v>
      </c>
    </row>
    <row r="5" spans="1:7" ht="150">
      <c r="A5" s="5">
        <v>6</v>
      </c>
      <c r="B5" s="6" t="s">
        <v>21</v>
      </c>
      <c r="C5" s="7" t="s">
        <v>22</v>
      </c>
      <c r="D5" s="7" t="s">
        <v>23</v>
      </c>
      <c r="E5" s="7" t="s">
        <v>10</v>
      </c>
      <c r="F5" s="7" t="s">
        <v>24</v>
      </c>
      <c r="G5" s="7" t="s">
        <v>25</v>
      </c>
    </row>
    <row r="6" spans="1:7" ht="37.5">
      <c r="A6" s="5">
        <v>8</v>
      </c>
      <c r="B6" s="6" t="s">
        <v>26</v>
      </c>
      <c r="C6" s="7" t="s">
        <v>8</v>
      </c>
      <c r="D6" s="7" t="s">
        <v>9</v>
      </c>
      <c r="E6" s="7" t="s">
        <v>10</v>
      </c>
      <c r="F6" s="7" t="s">
        <v>27</v>
      </c>
      <c r="G6" s="7" t="s">
        <v>28</v>
      </c>
    </row>
    <row r="7" spans="1:7" ht="75">
      <c r="A7" s="5">
        <v>10</v>
      </c>
      <c r="B7" s="6" t="s">
        <v>29</v>
      </c>
      <c r="C7" s="7" t="s">
        <v>30</v>
      </c>
      <c r="D7" s="7" t="s">
        <v>31</v>
      </c>
      <c r="E7" s="7" t="s">
        <v>10</v>
      </c>
      <c r="F7" s="7" t="s">
        <v>32</v>
      </c>
      <c r="G7" s="7" t="s">
        <v>33</v>
      </c>
    </row>
    <row r="8" spans="1:7" ht="56.25">
      <c r="A8" s="5">
        <v>11</v>
      </c>
      <c r="B8" s="6" t="s">
        <v>34</v>
      </c>
      <c r="C8" s="7" t="s">
        <v>8</v>
      </c>
      <c r="D8" s="7" t="s">
        <v>9</v>
      </c>
      <c r="E8" s="7" t="s">
        <v>10</v>
      </c>
      <c r="F8" s="7" t="s">
        <v>35</v>
      </c>
      <c r="G8" s="7" t="s">
        <v>36</v>
      </c>
    </row>
    <row r="9" spans="1:7" ht="56.25">
      <c r="A9" s="5">
        <v>13</v>
      </c>
      <c r="B9" s="6" t="s">
        <v>37</v>
      </c>
      <c r="C9" s="7" t="s">
        <v>38</v>
      </c>
      <c r="D9" s="7" t="s">
        <v>39</v>
      </c>
      <c r="E9" s="7" t="s">
        <v>10</v>
      </c>
      <c r="F9" s="7" t="s">
        <v>40</v>
      </c>
      <c r="G9" s="7" t="s">
        <v>41</v>
      </c>
    </row>
    <row r="10" spans="1:7" ht="187.5">
      <c r="A10" s="5">
        <v>20</v>
      </c>
      <c r="B10" s="6" t="s">
        <v>42</v>
      </c>
      <c r="C10" s="7" t="s">
        <v>43</v>
      </c>
      <c r="D10" s="7" t="s">
        <v>44</v>
      </c>
      <c r="E10" s="7" t="s">
        <v>45</v>
      </c>
      <c r="F10" s="7" t="s">
        <v>44</v>
      </c>
      <c r="G10" s="7" t="s">
        <v>46</v>
      </c>
    </row>
    <row r="11" spans="1:7" ht="300">
      <c r="A11" s="5">
        <v>21</v>
      </c>
      <c r="B11" s="6" t="s">
        <v>42</v>
      </c>
      <c r="C11" s="7" t="s">
        <v>111</v>
      </c>
      <c r="D11" s="7" t="s">
        <v>47</v>
      </c>
      <c r="E11" s="7" t="s">
        <v>45</v>
      </c>
      <c r="F11" s="7" t="s">
        <v>48</v>
      </c>
      <c r="G11" s="7" t="s">
        <v>49</v>
      </c>
    </row>
    <row r="12" spans="1:7" ht="93.75">
      <c r="A12" s="8">
        <v>23</v>
      </c>
      <c r="B12" s="9" t="s">
        <v>50</v>
      </c>
      <c r="C12" s="10" t="s">
        <v>38</v>
      </c>
      <c r="D12" s="10" t="s">
        <v>51</v>
      </c>
      <c r="E12" s="10" t="s">
        <v>10</v>
      </c>
      <c r="F12" s="10" t="s">
        <v>52</v>
      </c>
      <c r="G12" s="10" t="s">
        <v>96</v>
      </c>
    </row>
    <row r="13" spans="1:7" ht="243.75">
      <c r="A13" s="8">
        <v>24</v>
      </c>
      <c r="B13" s="9" t="s">
        <v>53</v>
      </c>
      <c r="C13" s="10" t="s">
        <v>38</v>
      </c>
      <c r="D13" s="10" t="s">
        <v>51</v>
      </c>
      <c r="E13" s="10" t="s">
        <v>10</v>
      </c>
      <c r="F13" s="10" t="s">
        <v>54</v>
      </c>
      <c r="G13" s="10" t="s">
        <v>55</v>
      </c>
    </row>
    <row r="14" spans="1:7" ht="409.5">
      <c r="A14" s="8">
        <v>25</v>
      </c>
      <c r="B14" s="9" t="s">
        <v>56</v>
      </c>
      <c r="C14" s="10" t="s">
        <v>57</v>
      </c>
      <c r="D14" s="10" t="s">
        <v>58</v>
      </c>
      <c r="E14" s="10">
        <v>0</v>
      </c>
      <c r="F14" s="10" t="s">
        <v>59</v>
      </c>
      <c r="G14" s="10" t="s">
        <v>60</v>
      </c>
    </row>
    <row r="15" spans="1:7" ht="75">
      <c r="A15" s="8">
        <v>26</v>
      </c>
      <c r="B15" s="9" t="s">
        <v>61</v>
      </c>
      <c r="C15" s="10" t="s">
        <v>62</v>
      </c>
      <c r="D15" s="10" t="s">
        <v>63</v>
      </c>
      <c r="E15" s="10" t="s">
        <v>64</v>
      </c>
      <c r="F15" s="10" t="s">
        <v>65</v>
      </c>
      <c r="G15" s="10" t="s">
        <v>66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3CC7-AD2C-468E-94B8-4A9967C777B5}">
  <dimension ref="A1:K43"/>
  <sheetViews>
    <sheetView showGridLines="0" tabSelected="1" topLeftCell="B1" zoomScale="85" zoomScaleNormal="85" workbookViewId="0">
      <pane xSplit="7" ySplit="1" topLeftCell="I37" activePane="bottomRight" state="frozen"/>
      <selection activeCell="B1" sqref="B1"/>
      <selection pane="topRight" activeCell="H1" sqref="H1"/>
      <selection pane="bottomLeft" activeCell="B2" sqref="B2"/>
      <selection pane="bottomRight" activeCell="M41" sqref="M41"/>
    </sheetView>
  </sheetViews>
  <sheetFormatPr defaultRowHeight="18.75"/>
  <cols>
    <col min="1" max="1" width="3.875" style="17" bestFit="1" customWidth="1"/>
    <col min="2" max="2" width="8.125" style="11" customWidth="1"/>
    <col min="3" max="3" width="15.5" style="17" bestFit="1" customWidth="1"/>
    <col min="4" max="4" width="12.625" style="17" customWidth="1"/>
    <col min="5" max="5" width="35" style="13" customWidth="1"/>
    <col min="6" max="6" width="64.5" style="13" customWidth="1"/>
    <col min="7" max="7" width="16.75" style="13" bestFit="1" customWidth="1"/>
    <col min="8" max="8" width="25.5" style="13" bestFit="1" customWidth="1"/>
    <col min="9" max="9" width="11.375" style="15" customWidth="1"/>
    <col min="10" max="11" width="12.625" style="17" customWidth="1"/>
    <col min="12" max="16384" width="9" style="13"/>
  </cols>
  <sheetData>
    <row r="1" spans="1:11" s="17" customFormat="1">
      <c r="A1" s="12" t="s">
        <v>0</v>
      </c>
      <c r="B1" s="1" t="s">
        <v>0</v>
      </c>
      <c r="C1" s="12" t="s">
        <v>1</v>
      </c>
      <c r="D1" s="12" t="s">
        <v>4</v>
      </c>
      <c r="E1" s="12" t="s">
        <v>5</v>
      </c>
      <c r="F1" s="12" t="s">
        <v>6</v>
      </c>
      <c r="G1" s="14" t="s">
        <v>67</v>
      </c>
      <c r="H1" s="14" t="s">
        <v>68</v>
      </c>
      <c r="I1" s="16"/>
      <c r="J1" s="12" t="s">
        <v>119</v>
      </c>
      <c r="K1" s="12" t="s">
        <v>119</v>
      </c>
    </row>
    <row r="2" spans="1:11" ht="18.75" customHeight="1">
      <c r="A2" s="77">
        <v>3</v>
      </c>
      <c r="B2" s="70">
        <v>3</v>
      </c>
      <c r="C2" s="77" t="s">
        <v>7</v>
      </c>
      <c r="D2" s="77" t="s">
        <v>10</v>
      </c>
      <c r="E2" s="81" t="s">
        <v>11</v>
      </c>
      <c r="F2" s="81" t="s">
        <v>99</v>
      </c>
      <c r="G2" s="19" t="s">
        <v>22</v>
      </c>
      <c r="H2" s="19" t="s">
        <v>23</v>
      </c>
      <c r="I2" s="31" t="s">
        <v>113</v>
      </c>
      <c r="J2" s="77" t="s">
        <v>120</v>
      </c>
      <c r="K2" s="77"/>
    </row>
    <row r="3" spans="1:11" ht="47.25">
      <c r="A3" s="78"/>
      <c r="B3" s="73"/>
      <c r="C3" s="78"/>
      <c r="D3" s="78"/>
      <c r="E3" s="82"/>
      <c r="F3" s="82"/>
      <c r="G3" s="21" t="s">
        <v>69</v>
      </c>
      <c r="H3" s="21" t="s">
        <v>70</v>
      </c>
      <c r="I3" s="74" t="s">
        <v>114</v>
      </c>
      <c r="J3" s="78"/>
      <c r="K3" s="78"/>
    </row>
    <row r="4" spans="1:11" ht="62.25" customHeight="1">
      <c r="A4" s="78"/>
      <c r="B4" s="73"/>
      <c r="C4" s="78"/>
      <c r="D4" s="78"/>
      <c r="E4" s="82"/>
      <c r="F4" s="82"/>
      <c r="G4" s="22" t="s">
        <v>103</v>
      </c>
      <c r="H4" s="22" t="s">
        <v>104</v>
      </c>
      <c r="I4" s="75"/>
      <c r="J4" s="78"/>
      <c r="K4" s="78"/>
    </row>
    <row r="5" spans="1:11" ht="62.25" customHeight="1">
      <c r="A5" s="18">
        <v>4</v>
      </c>
      <c r="B5" s="70">
        <v>4</v>
      </c>
      <c r="C5" s="18" t="s">
        <v>13</v>
      </c>
      <c r="D5" s="79" t="s">
        <v>10</v>
      </c>
      <c r="E5" s="84" t="s">
        <v>14</v>
      </c>
      <c r="F5" s="84" t="s">
        <v>100</v>
      </c>
      <c r="G5" s="21" t="s">
        <v>22</v>
      </c>
      <c r="H5" s="21" t="s">
        <v>23</v>
      </c>
      <c r="J5" s="79" t="s">
        <v>121</v>
      </c>
      <c r="K5" s="79"/>
    </row>
    <row r="6" spans="1:11" ht="62.25" customHeight="1">
      <c r="A6" s="24"/>
      <c r="B6" s="73"/>
      <c r="C6" s="24"/>
      <c r="D6" s="79"/>
      <c r="E6" s="84"/>
      <c r="F6" s="84"/>
      <c r="G6" s="21" t="s">
        <v>69</v>
      </c>
      <c r="H6" s="21" t="s">
        <v>70</v>
      </c>
      <c r="J6" s="79"/>
      <c r="K6" s="79"/>
    </row>
    <row r="7" spans="1:11" ht="97.5" customHeight="1">
      <c r="A7" s="23">
        <v>5</v>
      </c>
      <c r="B7" s="5">
        <v>5</v>
      </c>
      <c r="C7" s="23" t="s">
        <v>16</v>
      </c>
      <c r="D7" s="23" t="s">
        <v>10</v>
      </c>
      <c r="E7" s="25" t="s">
        <v>19</v>
      </c>
      <c r="F7" s="25" t="s">
        <v>101</v>
      </c>
      <c r="G7" s="21" t="s">
        <v>17</v>
      </c>
      <c r="H7" s="21" t="s">
        <v>18</v>
      </c>
      <c r="J7" s="23" t="s">
        <v>121</v>
      </c>
      <c r="K7" s="23"/>
    </row>
    <row r="8" spans="1:11" ht="41.25" customHeight="1">
      <c r="A8" s="77">
        <v>6</v>
      </c>
      <c r="B8" s="71">
        <v>6</v>
      </c>
      <c r="C8" s="77" t="s">
        <v>21</v>
      </c>
      <c r="D8" s="77" t="s">
        <v>10</v>
      </c>
      <c r="E8" s="81" t="s">
        <v>24</v>
      </c>
      <c r="F8" s="81" t="s">
        <v>102</v>
      </c>
      <c r="G8" s="21" t="s">
        <v>22</v>
      </c>
      <c r="H8" s="21" t="s">
        <v>23</v>
      </c>
      <c r="J8" s="77" t="s">
        <v>121</v>
      </c>
      <c r="K8" s="77" t="s">
        <v>122</v>
      </c>
    </row>
    <row r="9" spans="1:11" ht="41.25" customHeight="1">
      <c r="A9" s="78"/>
      <c r="B9" s="73"/>
      <c r="C9" s="78"/>
      <c r="D9" s="78"/>
      <c r="E9" s="82"/>
      <c r="F9" s="82"/>
      <c r="G9" s="21" t="s">
        <v>69</v>
      </c>
      <c r="H9" s="21" t="s">
        <v>70</v>
      </c>
      <c r="J9" s="78"/>
      <c r="K9" s="78"/>
    </row>
    <row r="10" spans="1:11" ht="41.25" customHeight="1">
      <c r="A10" s="80"/>
      <c r="B10" s="73"/>
      <c r="C10" s="80"/>
      <c r="D10" s="80"/>
      <c r="E10" s="83"/>
      <c r="F10" s="83"/>
      <c r="G10" s="21" t="s">
        <v>62</v>
      </c>
      <c r="H10" s="21" t="s">
        <v>63</v>
      </c>
      <c r="J10" s="80"/>
      <c r="K10" s="80"/>
    </row>
    <row r="11" spans="1:11" ht="51.75" customHeight="1">
      <c r="A11" s="20">
        <v>8</v>
      </c>
      <c r="B11" s="70">
        <v>8</v>
      </c>
      <c r="C11" s="20" t="s">
        <v>26</v>
      </c>
      <c r="D11" s="79" t="s">
        <v>10</v>
      </c>
      <c r="E11" s="84" t="s">
        <v>27</v>
      </c>
      <c r="F11" s="84" t="s">
        <v>105</v>
      </c>
      <c r="G11" s="21" t="s">
        <v>22</v>
      </c>
      <c r="H11" s="21" t="s">
        <v>23</v>
      </c>
      <c r="J11" s="79" t="s">
        <v>121</v>
      </c>
      <c r="K11" s="79"/>
    </row>
    <row r="12" spans="1:11" ht="49.5" customHeight="1">
      <c r="A12" s="24"/>
      <c r="B12" s="73"/>
      <c r="C12" s="24"/>
      <c r="D12" s="79"/>
      <c r="E12" s="84"/>
      <c r="F12" s="84"/>
      <c r="G12" s="21" t="s">
        <v>69</v>
      </c>
      <c r="H12" s="21" t="s">
        <v>70</v>
      </c>
      <c r="J12" s="79"/>
      <c r="K12" s="79"/>
    </row>
    <row r="13" spans="1:11" ht="87" customHeight="1">
      <c r="A13" s="23">
        <v>10</v>
      </c>
      <c r="B13" s="5">
        <v>10</v>
      </c>
      <c r="C13" s="23" t="s">
        <v>29</v>
      </c>
      <c r="D13" s="23" t="s">
        <v>10</v>
      </c>
      <c r="E13" s="25" t="s">
        <v>32</v>
      </c>
      <c r="F13" s="25" t="s">
        <v>115</v>
      </c>
      <c r="G13" s="21" t="s">
        <v>30</v>
      </c>
      <c r="H13" s="21" t="s">
        <v>31</v>
      </c>
      <c r="J13" s="23" t="s">
        <v>121</v>
      </c>
      <c r="K13" s="23"/>
    </row>
    <row r="14" spans="1:11" ht="42.75" customHeight="1">
      <c r="A14" s="18">
        <v>11</v>
      </c>
      <c r="B14" s="71">
        <v>11</v>
      </c>
      <c r="C14" s="18" t="s">
        <v>34</v>
      </c>
      <c r="D14" s="79" t="s">
        <v>10</v>
      </c>
      <c r="E14" s="84" t="s">
        <v>35</v>
      </c>
      <c r="F14" s="84" t="s">
        <v>94</v>
      </c>
      <c r="G14" s="21" t="s">
        <v>22</v>
      </c>
      <c r="H14" s="21" t="s">
        <v>23</v>
      </c>
      <c r="J14" s="79" t="s">
        <v>121</v>
      </c>
      <c r="K14" s="79"/>
    </row>
    <row r="15" spans="1:11" ht="42.75" customHeight="1">
      <c r="A15" s="24"/>
      <c r="B15" s="73"/>
      <c r="C15" s="24"/>
      <c r="D15" s="79"/>
      <c r="E15" s="84"/>
      <c r="F15" s="84"/>
      <c r="G15" s="21" t="s">
        <v>69</v>
      </c>
      <c r="H15" s="21" t="s">
        <v>70</v>
      </c>
      <c r="J15" s="79"/>
      <c r="K15" s="79"/>
    </row>
    <row r="16" spans="1:11" ht="39" customHeight="1">
      <c r="A16" s="18">
        <v>13</v>
      </c>
      <c r="B16" s="70">
        <v>13</v>
      </c>
      <c r="C16" s="18" t="s">
        <v>116</v>
      </c>
      <c r="D16" s="79" t="s">
        <v>10</v>
      </c>
      <c r="E16" s="84" t="s">
        <v>40</v>
      </c>
      <c r="F16" s="84" t="s">
        <v>106</v>
      </c>
      <c r="G16" s="21" t="s">
        <v>22</v>
      </c>
      <c r="H16" s="21" t="s">
        <v>71</v>
      </c>
      <c r="J16" s="79" t="s">
        <v>121</v>
      </c>
      <c r="K16" s="79"/>
    </row>
    <row r="17" spans="1:11" ht="39" customHeight="1">
      <c r="A17" s="26"/>
      <c r="B17" s="73"/>
      <c r="C17" s="26"/>
      <c r="D17" s="79"/>
      <c r="E17" s="84"/>
      <c r="F17" s="84"/>
      <c r="G17" s="21" t="s">
        <v>69</v>
      </c>
      <c r="H17" s="21" t="s">
        <v>72</v>
      </c>
      <c r="J17" s="79"/>
      <c r="K17" s="79"/>
    </row>
    <row r="18" spans="1:11" ht="39" customHeight="1">
      <c r="A18" s="24"/>
      <c r="B18" s="73"/>
      <c r="C18" s="24"/>
      <c r="D18" s="79"/>
      <c r="E18" s="84"/>
      <c r="F18" s="84"/>
      <c r="G18" s="21" t="s">
        <v>62</v>
      </c>
      <c r="H18" s="21" t="s">
        <v>63</v>
      </c>
      <c r="J18" s="79"/>
      <c r="K18" s="79"/>
    </row>
    <row r="19" spans="1:11" ht="173.25" customHeight="1">
      <c r="A19" s="23">
        <v>20</v>
      </c>
      <c r="B19" s="70">
        <v>20</v>
      </c>
      <c r="C19" s="23" t="s">
        <v>42</v>
      </c>
      <c r="D19" s="23" t="s">
        <v>45</v>
      </c>
      <c r="E19" s="25" t="s">
        <v>44</v>
      </c>
      <c r="F19" s="25" t="s">
        <v>95</v>
      </c>
      <c r="G19" s="21" t="s">
        <v>43</v>
      </c>
      <c r="H19" s="21" t="s">
        <v>44</v>
      </c>
      <c r="J19" s="23" t="s">
        <v>121</v>
      </c>
      <c r="K19" s="23"/>
    </row>
    <row r="20" spans="1:11">
      <c r="A20" s="20">
        <v>21</v>
      </c>
      <c r="B20" s="70">
        <v>21</v>
      </c>
      <c r="C20" s="20" t="s">
        <v>42</v>
      </c>
      <c r="D20" s="79" t="s">
        <v>45</v>
      </c>
      <c r="E20" s="84" t="s">
        <v>48</v>
      </c>
      <c r="F20" s="84" t="s">
        <v>49</v>
      </c>
      <c r="G20" s="21" t="s">
        <v>73</v>
      </c>
      <c r="H20" s="21" t="s">
        <v>83</v>
      </c>
      <c r="J20" s="79" t="s">
        <v>121</v>
      </c>
      <c r="K20" s="79"/>
    </row>
    <row r="21" spans="1:11">
      <c r="A21" s="26"/>
      <c r="C21" s="26"/>
      <c r="D21" s="79"/>
      <c r="E21" s="84"/>
      <c r="F21" s="84"/>
      <c r="G21" s="21" t="s">
        <v>74</v>
      </c>
      <c r="H21" s="21" t="s">
        <v>84</v>
      </c>
      <c r="J21" s="79"/>
      <c r="K21" s="79"/>
    </row>
    <row r="22" spans="1:11">
      <c r="A22" s="26"/>
      <c r="B22" s="73"/>
      <c r="C22" s="26"/>
      <c r="D22" s="79"/>
      <c r="E22" s="84"/>
      <c r="F22" s="84"/>
      <c r="G22" s="21" t="s">
        <v>75</v>
      </c>
      <c r="H22" s="21" t="s">
        <v>85</v>
      </c>
      <c r="J22" s="79"/>
      <c r="K22" s="79"/>
    </row>
    <row r="23" spans="1:11">
      <c r="A23" s="26"/>
      <c r="B23" s="73"/>
      <c r="C23" s="26"/>
      <c r="D23" s="79"/>
      <c r="E23" s="84"/>
      <c r="F23" s="84"/>
      <c r="G23" s="21" t="s">
        <v>76</v>
      </c>
      <c r="H23" s="21" t="s">
        <v>86</v>
      </c>
      <c r="J23" s="79"/>
      <c r="K23" s="79"/>
    </row>
    <row r="24" spans="1:11">
      <c r="A24" s="26"/>
      <c r="B24" s="73"/>
      <c r="C24" s="26"/>
      <c r="D24" s="79"/>
      <c r="E24" s="84"/>
      <c r="F24" s="84"/>
      <c r="G24" s="21" t="s">
        <v>77</v>
      </c>
      <c r="H24" s="21" t="s">
        <v>87</v>
      </c>
      <c r="J24" s="79"/>
      <c r="K24" s="79"/>
    </row>
    <row r="25" spans="1:11">
      <c r="A25" s="26"/>
      <c r="B25" s="73"/>
      <c r="C25" s="26"/>
      <c r="D25" s="79"/>
      <c r="E25" s="84"/>
      <c r="F25" s="84"/>
      <c r="G25" s="21" t="s">
        <v>78</v>
      </c>
      <c r="H25" s="21" t="s">
        <v>88</v>
      </c>
      <c r="J25" s="79"/>
      <c r="K25" s="79"/>
    </row>
    <row r="26" spans="1:11">
      <c r="A26" s="26"/>
      <c r="B26" s="73"/>
      <c r="C26" s="26"/>
      <c r="D26" s="79"/>
      <c r="E26" s="84"/>
      <c r="F26" s="84"/>
      <c r="G26" s="21" t="s">
        <v>79</v>
      </c>
      <c r="H26" s="21" t="s">
        <v>89</v>
      </c>
      <c r="J26" s="79"/>
      <c r="K26" s="79"/>
    </row>
    <row r="27" spans="1:11">
      <c r="A27" s="26"/>
      <c r="B27" s="73"/>
      <c r="C27" s="26"/>
      <c r="D27" s="79"/>
      <c r="E27" s="84"/>
      <c r="F27" s="84"/>
      <c r="G27" s="21" t="s">
        <v>80</v>
      </c>
      <c r="H27" s="21" t="s">
        <v>90</v>
      </c>
      <c r="J27" s="79"/>
      <c r="K27" s="79"/>
    </row>
    <row r="28" spans="1:11">
      <c r="A28" s="26"/>
      <c r="B28" s="73"/>
      <c r="C28" s="26"/>
      <c r="D28" s="79"/>
      <c r="E28" s="84"/>
      <c r="F28" s="84"/>
      <c r="G28" s="21" t="s">
        <v>81</v>
      </c>
      <c r="H28" s="21" t="s">
        <v>91</v>
      </c>
      <c r="J28" s="79"/>
      <c r="K28" s="79"/>
    </row>
    <row r="29" spans="1:11">
      <c r="A29" s="26"/>
      <c r="B29" s="73"/>
      <c r="C29" s="26"/>
      <c r="D29" s="79"/>
      <c r="E29" s="84"/>
      <c r="F29" s="84"/>
      <c r="G29" s="21" t="s">
        <v>118</v>
      </c>
      <c r="H29" s="21" t="s">
        <v>92</v>
      </c>
      <c r="J29" s="79"/>
      <c r="K29" s="79"/>
    </row>
    <row r="30" spans="1:11">
      <c r="A30" s="26"/>
      <c r="B30" s="73"/>
      <c r="C30" s="26"/>
      <c r="D30" s="79"/>
      <c r="E30" s="84"/>
      <c r="F30" s="84"/>
      <c r="G30" s="21" t="s">
        <v>82</v>
      </c>
      <c r="H30" s="21" t="s">
        <v>93</v>
      </c>
      <c r="J30" s="79"/>
      <c r="K30" s="79"/>
    </row>
    <row r="31" spans="1:11">
      <c r="A31" s="26"/>
      <c r="B31" s="73"/>
      <c r="C31" s="26"/>
      <c r="D31" s="79"/>
      <c r="E31" s="84"/>
      <c r="F31" s="84"/>
      <c r="G31" s="21" t="s">
        <v>107</v>
      </c>
      <c r="H31" s="21" t="s">
        <v>108</v>
      </c>
      <c r="J31" s="79"/>
      <c r="K31" s="79"/>
    </row>
    <row r="32" spans="1:11">
      <c r="A32" s="24"/>
      <c r="B32" s="73"/>
      <c r="C32" s="24"/>
      <c r="D32" s="79"/>
      <c r="E32" s="84"/>
      <c r="F32" s="84"/>
      <c r="G32" s="21" t="s">
        <v>109</v>
      </c>
      <c r="H32" s="21" t="s">
        <v>110</v>
      </c>
      <c r="J32" s="79"/>
      <c r="K32" s="79"/>
    </row>
    <row r="33" spans="1:11" ht="24" customHeight="1">
      <c r="A33" s="27">
        <v>23</v>
      </c>
      <c r="B33" s="72">
        <v>23</v>
      </c>
      <c r="C33" s="27" t="s">
        <v>50</v>
      </c>
      <c r="D33" s="76" t="s">
        <v>10</v>
      </c>
      <c r="E33" s="85" t="s">
        <v>52</v>
      </c>
      <c r="F33" s="85" t="s">
        <v>96</v>
      </c>
      <c r="G33" s="21" t="s">
        <v>22</v>
      </c>
      <c r="H33" s="21" t="s">
        <v>23</v>
      </c>
      <c r="J33" s="76" t="s">
        <v>121</v>
      </c>
      <c r="K33" s="76" t="s">
        <v>123</v>
      </c>
    </row>
    <row r="34" spans="1:11" ht="24" customHeight="1">
      <c r="A34" s="26"/>
      <c r="B34" s="73"/>
      <c r="C34" s="26"/>
      <c r="D34" s="76"/>
      <c r="E34" s="85"/>
      <c r="F34" s="85"/>
      <c r="G34" s="21" t="s">
        <v>69</v>
      </c>
      <c r="H34" s="21" t="s">
        <v>70</v>
      </c>
      <c r="J34" s="76"/>
      <c r="K34" s="76"/>
    </row>
    <row r="35" spans="1:11" ht="24" customHeight="1">
      <c r="A35" s="26"/>
      <c r="B35" s="73"/>
      <c r="C35" s="26"/>
      <c r="D35" s="76"/>
      <c r="E35" s="85"/>
      <c r="F35" s="85"/>
      <c r="G35" s="22" t="s">
        <v>103</v>
      </c>
      <c r="H35" s="22" t="s">
        <v>104</v>
      </c>
      <c r="J35" s="76"/>
      <c r="K35" s="76"/>
    </row>
    <row r="36" spans="1:11" ht="24" customHeight="1">
      <c r="A36" s="24"/>
      <c r="B36" s="73"/>
      <c r="C36" s="24"/>
      <c r="D36" s="76"/>
      <c r="E36" s="85"/>
      <c r="F36" s="85"/>
      <c r="G36" s="21" t="s">
        <v>62</v>
      </c>
      <c r="H36" s="21" t="s">
        <v>63</v>
      </c>
      <c r="J36" s="76"/>
      <c r="K36" s="76"/>
    </row>
    <row r="37" spans="1:11" ht="37.5" customHeight="1">
      <c r="A37" s="27">
        <v>24</v>
      </c>
      <c r="B37" s="72">
        <v>24</v>
      </c>
      <c r="C37" s="27" t="s">
        <v>53</v>
      </c>
      <c r="D37" s="76" t="s">
        <v>10</v>
      </c>
      <c r="E37" s="85" t="s">
        <v>117</v>
      </c>
      <c r="F37" s="85" t="s">
        <v>98</v>
      </c>
      <c r="G37" s="21" t="s">
        <v>22</v>
      </c>
      <c r="H37" s="21" t="s">
        <v>23</v>
      </c>
      <c r="J37" s="76" t="s">
        <v>121</v>
      </c>
      <c r="K37" s="76" t="s">
        <v>123</v>
      </c>
    </row>
    <row r="38" spans="1:11" ht="37.5" customHeight="1">
      <c r="A38" s="26"/>
      <c r="B38" s="73"/>
      <c r="C38" s="26"/>
      <c r="D38" s="76"/>
      <c r="E38" s="85"/>
      <c r="F38" s="85"/>
      <c r="G38" s="21" t="s">
        <v>69</v>
      </c>
      <c r="H38" s="21" t="s">
        <v>70</v>
      </c>
      <c r="J38" s="76"/>
      <c r="K38" s="76"/>
    </row>
    <row r="39" spans="1:11" ht="37.5" customHeight="1">
      <c r="A39" s="24"/>
      <c r="B39" s="73"/>
      <c r="C39" s="24"/>
      <c r="D39" s="76"/>
      <c r="E39" s="85"/>
      <c r="F39" s="85"/>
      <c r="G39" s="21" t="s">
        <v>62</v>
      </c>
      <c r="H39" s="21" t="s">
        <v>63</v>
      </c>
      <c r="J39" s="76"/>
      <c r="K39" s="76"/>
    </row>
    <row r="40" spans="1:11" ht="117" customHeight="1">
      <c r="A40" s="27">
        <v>25</v>
      </c>
      <c r="B40" s="72">
        <v>25</v>
      </c>
      <c r="C40" s="27" t="s">
        <v>56</v>
      </c>
      <c r="D40" s="76">
        <v>0</v>
      </c>
      <c r="E40" s="85" t="s">
        <v>59</v>
      </c>
      <c r="F40" s="85" t="s">
        <v>112</v>
      </c>
      <c r="G40" s="21" t="s">
        <v>22</v>
      </c>
      <c r="H40" s="21" t="s">
        <v>23</v>
      </c>
      <c r="J40" s="76" t="s">
        <v>121</v>
      </c>
      <c r="K40" s="76"/>
    </row>
    <row r="41" spans="1:11" ht="117" customHeight="1">
      <c r="A41" s="29"/>
      <c r="B41" s="73"/>
      <c r="C41" s="86"/>
      <c r="D41" s="76"/>
      <c r="E41" s="85"/>
      <c r="F41" s="85"/>
      <c r="G41" s="21" t="s">
        <v>69</v>
      </c>
      <c r="H41" s="21" t="s">
        <v>70</v>
      </c>
      <c r="J41" s="76"/>
      <c r="K41" s="76"/>
    </row>
    <row r="42" spans="1:11" ht="117" customHeight="1">
      <c r="A42" s="24"/>
      <c r="B42" s="73"/>
      <c r="C42" s="24"/>
      <c r="D42" s="76"/>
      <c r="E42" s="85"/>
      <c r="F42" s="85"/>
      <c r="G42" s="21" t="s">
        <v>62</v>
      </c>
      <c r="H42" s="21" t="s">
        <v>63</v>
      </c>
      <c r="J42" s="76"/>
      <c r="K42" s="76"/>
    </row>
    <row r="43" spans="1:11" ht="84.75" customHeight="1">
      <c r="A43" s="28">
        <v>26</v>
      </c>
      <c r="B43" s="8">
        <v>26</v>
      </c>
      <c r="C43" s="28" t="s">
        <v>61</v>
      </c>
      <c r="D43" s="28" t="s">
        <v>64</v>
      </c>
      <c r="E43" s="30" t="s">
        <v>65</v>
      </c>
      <c r="F43" s="30" t="s">
        <v>97</v>
      </c>
      <c r="G43" s="21" t="s">
        <v>62</v>
      </c>
      <c r="H43" s="21" t="s">
        <v>63</v>
      </c>
      <c r="J43" s="28" t="s">
        <v>121</v>
      </c>
      <c r="K43" s="28"/>
    </row>
  </sheetData>
  <autoFilter ref="A1:K43" xr:uid="{079C3CC7-AD2C-468E-94B8-4A9967C777B5}"/>
  <mergeCells count="54">
    <mergeCell ref="E40:E42"/>
    <mergeCell ref="F40:F42"/>
    <mergeCell ref="D40:D42"/>
    <mergeCell ref="D37:D39"/>
    <mergeCell ref="E37:E39"/>
    <mergeCell ref="F37:F39"/>
    <mergeCell ref="D33:D36"/>
    <mergeCell ref="E33:E36"/>
    <mergeCell ref="F33:F36"/>
    <mergeCell ref="D20:D32"/>
    <mergeCell ref="E20:E32"/>
    <mergeCell ref="F20:F32"/>
    <mergeCell ref="D5:D6"/>
    <mergeCell ref="E5:E6"/>
    <mergeCell ref="F5:F6"/>
    <mergeCell ref="F8:F10"/>
    <mergeCell ref="D16:D18"/>
    <mergeCell ref="E16:E18"/>
    <mergeCell ref="F16:F18"/>
    <mergeCell ref="D14:D15"/>
    <mergeCell ref="E14:E15"/>
    <mergeCell ref="F14:F15"/>
    <mergeCell ref="K11:K12"/>
    <mergeCell ref="J33:J36"/>
    <mergeCell ref="J37:J39"/>
    <mergeCell ref="J2:J4"/>
    <mergeCell ref="A8:A10"/>
    <mergeCell ref="C8:C10"/>
    <mergeCell ref="D8:D10"/>
    <mergeCell ref="E8:E10"/>
    <mergeCell ref="C2:C4"/>
    <mergeCell ref="D2:D4"/>
    <mergeCell ref="E2:E4"/>
    <mergeCell ref="F2:F4"/>
    <mergeCell ref="A2:A4"/>
    <mergeCell ref="D11:D12"/>
    <mergeCell ref="E11:E12"/>
    <mergeCell ref="F11:F12"/>
    <mergeCell ref="J40:J42"/>
    <mergeCell ref="K2:K4"/>
    <mergeCell ref="K5:K6"/>
    <mergeCell ref="K8:K10"/>
    <mergeCell ref="K14:K15"/>
    <mergeCell ref="K16:K18"/>
    <mergeCell ref="K20:K32"/>
    <mergeCell ref="K33:K36"/>
    <mergeCell ref="K37:K39"/>
    <mergeCell ref="K40:K42"/>
    <mergeCell ref="J5:J6"/>
    <mergeCell ref="J8:J10"/>
    <mergeCell ref="J14:J15"/>
    <mergeCell ref="J16:J18"/>
    <mergeCell ref="J20:J32"/>
    <mergeCell ref="J11:J12"/>
  </mergeCells>
  <phoneticPr fontId="2"/>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5D43-FBD5-49A0-9640-2157EF8EF705}">
  <dimension ref="A1:H19"/>
  <sheetViews>
    <sheetView topLeftCell="A17" zoomScale="130" zoomScaleNormal="130" workbookViewId="0">
      <selection activeCell="B8" sqref="B8:J8"/>
    </sheetView>
  </sheetViews>
  <sheetFormatPr defaultRowHeight="18.75"/>
  <cols>
    <col min="1" max="1" width="10.125" style="32" bestFit="1" customWidth="1"/>
    <col min="2" max="2" width="5.25" style="32" customWidth="1"/>
    <col min="3" max="3" width="25.625" style="32" bestFit="1" customWidth="1"/>
    <col min="4" max="4" width="48.125" style="32" customWidth="1"/>
    <col min="5" max="5" width="40.625" style="32" bestFit="1" customWidth="1"/>
    <col min="6" max="6" width="19" style="32" bestFit="1" customWidth="1"/>
    <col min="7" max="7" width="41.5" style="32" customWidth="1"/>
    <col min="8" max="8" width="19.375" style="32" bestFit="1" customWidth="1"/>
    <col min="9" max="16384" width="9" style="32"/>
  </cols>
  <sheetData>
    <row r="1" spans="1:8">
      <c r="A1" s="32" t="s">
        <v>7</v>
      </c>
      <c r="B1" s="32" t="s">
        <v>11</v>
      </c>
    </row>
    <row r="3" spans="1:8">
      <c r="B3" s="32" t="s">
        <v>125</v>
      </c>
      <c r="C3" s="32" t="s">
        <v>126</v>
      </c>
    </row>
    <row r="4" spans="1:8">
      <c r="C4" s="32" t="s">
        <v>127</v>
      </c>
    </row>
    <row r="6" spans="1:8">
      <c r="C6" s="33" t="s">
        <v>128</v>
      </c>
      <c r="D6" s="33" t="s">
        <v>129</v>
      </c>
      <c r="E6" s="33" t="s">
        <v>130</v>
      </c>
      <c r="F6" s="33" t="s">
        <v>131</v>
      </c>
    </row>
    <row r="7" spans="1:8">
      <c r="C7" s="34"/>
      <c r="D7" s="34" t="s">
        <v>132</v>
      </c>
      <c r="E7" s="34" t="s">
        <v>133</v>
      </c>
      <c r="F7" s="34">
        <f>365*2</f>
        <v>730</v>
      </c>
    </row>
    <row r="8" spans="1:8">
      <c r="C8" s="34"/>
      <c r="D8" s="34" t="s">
        <v>134</v>
      </c>
      <c r="E8" s="34" t="s">
        <v>135</v>
      </c>
      <c r="F8" s="34">
        <v>120</v>
      </c>
    </row>
    <row r="9" spans="1:8">
      <c r="C9" s="34"/>
      <c r="D9" s="34" t="s">
        <v>136</v>
      </c>
      <c r="E9" s="35" t="s">
        <v>137</v>
      </c>
      <c r="F9" s="34">
        <v>3</v>
      </c>
    </row>
    <row r="12" spans="1:8">
      <c r="B12" s="32" t="s">
        <v>138</v>
      </c>
    </row>
    <row r="14" spans="1:8">
      <c r="B14" s="33" t="s">
        <v>0</v>
      </c>
      <c r="C14" s="33" t="s">
        <v>139</v>
      </c>
      <c r="D14" s="33" t="s">
        <v>140</v>
      </c>
      <c r="E14" s="33" t="s">
        <v>141</v>
      </c>
      <c r="F14" s="33" t="s">
        <v>142</v>
      </c>
      <c r="G14" s="33" t="s">
        <v>143</v>
      </c>
      <c r="H14" s="33" t="s">
        <v>144</v>
      </c>
    </row>
    <row r="15" spans="1:8" ht="75">
      <c r="B15" s="36">
        <v>0</v>
      </c>
      <c r="C15" s="36" t="s">
        <v>145</v>
      </c>
      <c r="D15" s="37" t="s">
        <v>146</v>
      </c>
      <c r="E15" s="37" t="s">
        <v>147</v>
      </c>
      <c r="F15" s="38"/>
      <c r="G15" s="38"/>
      <c r="H15" s="38" t="s">
        <v>148</v>
      </c>
    </row>
    <row r="16" spans="1:8" ht="112.5">
      <c r="A16" s="39"/>
      <c r="B16" s="34">
        <v>1</v>
      </c>
      <c r="C16" s="34" t="s">
        <v>149</v>
      </c>
      <c r="D16" s="40" t="s">
        <v>150</v>
      </c>
      <c r="E16" s="40" t="s">
        <v>151</v>
      </c>
      <c r="F16" s="34" t="s">
        <v>152</v>
      </c>
      <c r="G16" s="40" t="s">
        <v>153</v>
      </c>
      <c r="H16" s="34"/>
    </row>
    <row r="17" spans="1:8" ht="150">
      <c r="B17" s="34">
        <v>2</v>
      </c>
      <c r="C17" s="34" t="s">
        <v>154</v>
      </c>
      <c r="D17" s="40" t="s">
        <v>155</v>
      </c>
      <c r="E17" s="40" t="s">
        <v>156</v>
      </c>
      <c r="F17" s="34" t="s">
        <v>152</v>
      </c>
      <c r="G17" s="41" t="s">
        <v>157</v>
      </c>
      <c r="H17" s="34"/>
    </row>
    <row r="18" spans="1:8" ht="131.25">
      <c r="A18" s="39"/>
      <c r="B18" s="34">
        <v>3</v>
      </c>
      <c r="C18" s="34" t="s">
        <v>158</v>
      </c>
      <c r="D18" s="40" t="s">
        <v>159</v>
      </c>
      <c r="E18" s="40" t="s">
        <v>160</v>
      </c>
      <c r="F18" s="34" t="s">
        <v>152</v>
      </c>
      <c r="G18" s="41" t="s">
        <v>161</v>
      </c>
      <c r="H18" s="34"/>
    </row>
    <row r="19" spans="1:8" ht="93.75">
      <c r="A19" s="39"/>
      <c r="B19" s="34">
        <v>4</v>
      </c>
      <c r="C19" s="34" t="s">
        <v>162</v>
      </c>
      <c r="D19" s="40" t="s">
        <v>163</v>
      </c>
      <c r="E19" s="40" t="s">
        <v>164</v>
      </c>
      <c r="F19" s="34" t="s">
        <v>165</v>
      </c>
      <c r="G19" s="41" t="s">
        <v>166</v>
      </c>
      <c r="H19" s="34"/>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5136-EBE0-4D39-BEB8-04CA1735A29D}">
  <dimension ref="B4:B17"/>
  <sheetViews>
    <sheetView topLeftCell="A4" workbookViewId="0">
      <selection activeCell="B8" sqref="B8:J8"/>
    </sheetView>
  </sheetViews>
  <sheetFormatPr defaultRowHeight="18.75"/>
  <cols>
    <col min="1" max="16384" width="9" style="32"/>
  </cols>
  <sheetData>
    <row r="4" spans="2:2">
      <c r="B4" s="32" t="s">
        <v>167</v>
      </c>
    </row>
    <row r="17" spans="2:2">
      <c r="B17" s="32" t="s">
        <v>168</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5032-CDF5-4031-B342-54B5FE8D0581}">
  <dimension ref="A1"/>
  <sheetViews>
    <sheetView workbookViewId="0">
      <selection activeCell="B8" sqref="B8:J8"/>
    </sheetView>
  </sheetViews>
  <sheetFormatPr defaultRowHeight="18.75"/>
  <cols>
    <col min="1" max="16384" width="9" style="32"/>
  </cols>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5915-1FD3-4881-8094-F222DE5E9703}">
  <sheetPr>
    <tabColor rgb="FFFFFF00"/>
  </sheetPr>
  <dimension ref="A1:Q123"/>
  <sheetViews>
    <sheetView showGridLines="0" zoomScaleNormal="100" workbookViewId="0">
      <selection activeCell="B13" sqref="B13"/>
    </sheetView>
  </sheetViews>
  <sheetFormatPr defaultColWidth="9.875" defaultRowHeight="15.75"/>
  <cols>
    <col min="1" max="1" width="3.875" style="42" customWidth="1"/>
    <col min="2" max="2" width="6.5" style="43" customWidth="1"/>
    <col min="3" max="3" width="9.875" style="42"/>
    <col min="4" max="5" width="10.875" style="42" customWidth="1"/>
    <col min="6" max="6" width="9.875" style="42"/>
    <col min="7" max="7" width="21.125" style="42" bestFit="1" customWidth="1"/>
    <col min="8" max="16384" width="9.875" style="42"/>
  </cols>
  <sheetData>
    <row r="1" spans="1:17">
      <c r="A1" s="42" t="s">
        <v>169</v>
      </c>
    </row>
    <row r="3" spans="1:17" s="44" customFormat="1" ht="29.25" thickBot="1">
      <c r="B3" s="45" t="s">
        <v>170</v>
      </c>
      <c r="C3" s="46" t="s">
        <v>171</v>
      </c>
      <c r="D3" s="47"/>
      <c r="E3" s="47"/>
      <c r="F3" s="47"/>
      <c r="G3" s="47"/>
      <c r="H3" s="47"/>
      <c r="I3" s="47"/>
      <c r="J3" s="47"/>
      <c r="K3" s="47"/>
      <c r="L3" s="47"/>
      <c r="M3" s="47"/>
      <c r="N3" s="47"/>
      <c r="O3" s="47"/>
      <c r="P3" s="47"/>
      <c r="Q3" s="48"/>
    </row>
    <row r="4" spans="1:17">
      <c r="C4" s="49" t="s">
        <v>172</v>
      </c>
      <c r="D4" s="50"/>
      <c r="E4" s="50"/>
      <c r="F4" s="50"/>
      <c r="G4" s="50"/>
      <c r="H4" s="50"/>
      <c r="I4" s="50"/>
      <c r="J4" s="50"/>
      <c r="K4" s="50"/>
      <c r="L4" s="51"/>
      <c r="M4" s="51"/>
      <c r="N4" s="51"/>
      <c r="O4" s="51"/>
      <c r="P4" s="51"/>
      <c r="Q4" s="52"/>
    </row>
    <row r="5" spans="1:17">
      <c r="C5" s="53" t="s">
        <v>173</v>
      </c>
      <c r="D5" s="54"/>
      <c r="E5" s="54"/>
      <c r="F5" s="54"/>
      <c r="G5" s="54"/>
      <c r="H5" s="54"/>
      <c r="I5" s="54"/>
      <c r="J5" s="54"/>
      <c r="K5" s="54"/>
      <c r="Q5" s="55"/>
    </row>
    <row r="6" spans="1:17">
      <c r="C6" s="53"/>
      <c r="D6" s="54"/>
      <c r="E6" s="54"/>
      <c r="F6" s="54"/>
      <c r="G6" s="54"/>
      <c r="H6" s="54"/>
      <c r="I6" s="54"/>
      <c r="J6" s="54"/>
      <c r="K6" s="54"/>
      <c r="Q6" s="55"/>
    </row>
    <row r="7" spans="1:17" ht="16.5" thickBot="1">
      <c r="C7" s="56"/>
      <c r="D7" s="57"/>
      <c r="E7" s="57"/>
      <c r="F7" s="57"/>
      <c r="G7" s="57"/>
      <c r="H7" s="57"/>
      <c r="I7" s="57"/>
      <c r="J7" s="57"/>
      <c r="K7" s="57"/>
      <c r="L7" s="58"/>
      <c r="M7" s="58"/>
      <c r="N7" s="58"/>
      <c r="O7" s="58"/>
      <c r="P7" s="58"/>
      <c r="Q7" s="59"/>
    </row>
    <row r="9" spans="1:17" s="44" customFormat="1" ht="29.25" thickBot="1">
      <c r="B9" s="45" t="s">
        <v>170</v>
      </c>
      <c r="C9" s="46" t="s">
        <v>174</v>
      </c>
      <c r="D9" s="47"/>
      <c r="E9" s="47"/>
      <c r="F9" s="47"/>
      <c r="G9" s="47"/>
      <c r="H9" s="47"/>
      <c r="I9" s="47"/>
      <c r="J9" s="47"/>
      <c r="K9" s="47"/>
      <c r="L9" s="47"/>
      <c r="M9" s="47"/>
      <c r="N9" s="47"/>
      <c r="O9" s="47"/>
      <c r="P9" s="47"/>
      <c r="Q9" s="48"/>
    </row>
    <row r="10" spans="1:17">
      <c r="C10" s="49"/>
      <c r="D10" s="50"/>
      <c r="E10" s="50"/>
      <c r="F10" s="50"/>
      <c r="G10" s="50"/>
      <c r="H10" s="50"/>
      <c r="I10" s="50"/>
      <c r="J10" s="50"/>
      <c r="K10" s="50"/>
      <c r="L10" s="51"/>
      <c r="M10" s="51"/>
      <c r="N10" s="51"/>
      <c r="O10" s="51"/>
      <c r="P10" s="51"/>
      <c r="Q10" s="52"/>
    </row>
    <row r="11" spans="1:17">
      <c r="C11" s="53"/>
      <c r="D11" s="54"/>
      <c r="E11" s="54"/>
      <c r="F11" s="54"/>
      <c r="G11" s="54" t="s">
        <v>175</v>
      </c>
      <c r="H11" s="54"/>
      <c r="I11" s="54"/>
      <c r="J11" s="54"/>
      <c r="K11" s="54"/>
      <c r="Q11" s="55"/>
    </row>
    <row r="12" spans="1:17">
      <c r="C12" s="53"/>
      <c r="D12" s="60" t="s">
        <v>176</v>
      </c>
      <c r="E12" s="61"/>
      <c r="F12" s="62" t="s">
        <v>177</v>
      </c>
      <c r="G12" s="63" t="s">
        <v>178</v>
      </c>
      <c r="H12" s="54"/>
      <c r="I12" s="54"/>
      <c r="J12" s="54"/>
      <c r="K12" s="54"/>
      <c r="Q12" s="55"/>
    </row>
    <row r="13" spans="1:17">
      <c r="C13" s="53"/>
      <c r="D13" s="64" t="s">
        <v>179</v>
      </c>
      <c r="E13" s="64" t="s">
        <v>180</v>
      </c>
      <c r="F13" s="65" t="s">
        <v>181</v>
      </c>
      <c r="G13" s="64">
        <v>1</v>
      </c>
      <c r="H13" s="54"/>
      <c r="I13" s="54"/>
      <c r="J13" s="54"/>
      <c r="K13" s="54"/>
      <c r="Q13" s="55"/>
    </row>
    <row r="14" spans="1:17">
      <c r="C14" s="53"/>
      <c r="D14" s="64" t="s">
        <v>179</v>
      </c>
      <c r="E14" s="64" t="s">
        <v>182</v>
      </c>
      <c r="F14" s="65" t="s">
        <v>181</v>
      </c>
      <c r="G14" s="64">
        <v>2</v>
      </c>
      <c r="H14" s="54"/>
      <c r="I14" s="54"/>
      <c r="J14" s="54"/>
      <c r="K14" s="54"/>
      <c r="Q14" s="55"/>
    </row>
    <row r="15" spans="1:17">
      <c r="C15" s="53"/>
      <c r="D15" s="64" t="s">
        <v>179</v>
      </c>
      <c r="E15" s="64" t="s">
        <v>183</v>
      </c>
      <c r="F15" s="65" t="s">
        <v>181</v>
      </c>
      <c r="G15" s="64">
        <v>3</v>
      </c>
      <c r="H15" s="54"/>
      <c r="I15" s="54"/>
      <c r="J15" s="54"/>
      <c r="K15" s="54"/>
      <c r="Q15" s="55"/>
    </row>
    <row r="16" spans="1:17">
      <c r="C16" s="53"/>
      <c r="D16" s="54" t="s">
        <v>184</v>
      </c>
      <c r="E16" s="54"/>
      <c r="F16" s="54"/>
      <c r="G16" s="54"/>
      <c r="H16" s="54"/>
      <c r="I16" s="54"/>
      <c r="J16" s="54"/>
      <c r="K16" s="54"/>
      <c r="Q16" s="55"/>
    </row>
    <row r="17" spans="2:17">
      <c r="C17" s="53"/>
      <c r="D17" s="54"/>
      <c r="E17" s="54" t="s">
        <v>185</v>
      </c>
      <c r="F17" s="54"/>
      <c r="G17" s="54"/>
      <c r="H17" s="54"/>
      <c r="I17" s="54"/>
      <c r="J17" s="54"/>
      <c r="K17" s="54"/>
      <c r="Q17" s="55"/>
    </row>
    <row r="18" spans="2:17">
      <c r="C18" s="53"/>
      <c r="D18" s="54"/>
      <c r="E18" s="54" t="s">
        <v>186</v>
      </c>
      <c r="F18" s="54"/>
      <c r="G18" s="54"/>
      <c r="H18" s="54"/>
      <c r="I18" s="54"/>
      <c r="J18" s="54"/>
      <c r="K18" s="54"/>
      <c r="Q18" s="55"/>
    </row>
    <row r="19" spans="2:17">
      <c r="C19" s="53"/>
      <c r="D19" s="54"/>
      <c r="E19" s="54" t="s">
        <v>187</v>
      </c>
      <c r="F19" s="54"/>
      <c r="G19" s="54"/>
      <c r="H19" s="54"/>
      <c r="I19" s="54"/>
      <c r="J19" s="54"/>
      <c r="K19" s="54"/>
      <c r="Q19" s="55"/>
    </row>
    <row r="20" spans="2:17">
      <c r="C20" s="53"/>
      <c r="D20" s="54" t="s">
        <v>188</v>
      </c>
      <c r="E20" s="54"/>
      <c r="F20" s="54"/>
      <c r="G20" s="54"/>
      <c r="H20" s="54"/>
      <c r="I20" s="54"/>
      <c r="J20" s="54"/>
      <c r="K20" s="54"/>
      <c r="Q20" s="55"/>
    </row>
    <row r="21" spans="2:17">
      <c r="C21" s="53"/>
      <c r="D21" s="54"/>
      <c r="E21" s="54"/>
      <c r="F21" s="54"/>
      <c r="G21" s="54"/>
      <c r="H21" s="54"/>
      <c r="I21" s="54"/>
      <c r="J21" s="54"/>
      <c r="K21" s="54"/>
      <c r="Q21" s="55"/>
    </row>
    <row r="22" spans="2:17">
      <c r="C22" s="53"/>
      <c r="D22" s="54" t="s">
        <v>189</v>
      </c>
      <c r="E22" s="54"/>
      <c r="F22" s="54"/>
      <c r="G22" s="54"/>
      <c r="H22" s="54"/>
      <c r="I22" s="54"/>
      <c r="J22" s="54"/>
      <c r="K22" s="54"/>
      <c r="Q22" s="55"/>
    </row>
    <row r="23" spans="2:17">
      <c r="C23" s="53"/>
      <c r="D23" s="66" t="s">
        <v>124</v>
      </c>
      <c r="E23" s="54" t="s">
        <v>190</v>
      </c>
      <c r="F23" s="54"/>
      <c r="G23" s="54"/>
      <c r="H23" s="54"/>
      <c r="I23" s="54"/>
      <c r="J23" s="54"/>
      <c r="K23" s="54"/>
      <c r="Q23" s="55"/>
    </row>
    <row r="24" spans="2:17">
      <c r="C24" s="53"/>
      <c r="D24" s="66" t="s">
        <v>191</v>
      </c>
      <c r="E24" s="54" t="s">
        <v>192</v>
      </c>
      <c r="F24" s="54"/>
      <c r="G24" s="54"/>
      <c r="H24" s="54"/>
      <c r="I24" s="54"/>
      <c r="J24" s="54"/>
      <c r="K24" s="54"/>
      <c r="Q24" s="55"/>
    </row>
    <row r="25" spans="2:17">
      <c r="C25" s="53"/>
      <c r="E25" s="54" t="s">
        <v>193</v>
      </c>
      <c r="F25" s="54"/>
      <c r="G25" s="54"/>
      <c r="H25" s="54"/>
      <c r="I25" s="54"/>
      <c r="J25" s="54"/>
      <c r="K25" s="54"/>
      <c r="Q25" s="55"/>
    </row>
    <row r="26" spans="2:17">
      <c r="C26" s="53"/>
      <c r="D26" s="54"/>
      <c r="E26" s="54"/>
      <c r="F26" s="54"/>
      <c r="G26" s="54"/>
      <c r="H26" s="54"/>
      <c r="I26" s="54"/>
      <c r="J26" s="54"/>
      <c r="K26" s="54"/>
      <c r="Q26" s="55"/>
    </row>
    <row r="27" spans="2:17">
      <c r="C27" s="53"/>
      <c r="D27" s="54"/>
      <c r="E27" s="54"/>
      <c r="F27" s="54"/>
      <c r="G27" s="54"/>
      <c r="H27" s="54"/>
      <c r="I27" s="54"/>
      <c r="J27" s="54"/>
      <c r="K27" s="54"/>
      <c r="Q27" s="55"/>
    </row>
    <row r="28" spans="2:17">
      <c r="C28" s="53"/>
      <c r="D28" s="54"/>
      <c r="E28" s="54"/>
      <c r="F28" s="54"/>
      <c r="G28" s="54"/>
      <c r="H28" s="54"/>
      <c r="I28" s="54"/>
      <c r="J28" s="54"/>
      <c r="K28" s="54"/>
      <c r="Q28" s="55"/>
    </row>
    <row r="29" spans="2:17" ht="16.5" thickBot="1">
      <c r="C29" s="56"/>
      <c r="D29" s="57"/>
      <c r="E29" s="57"/>
      <c r="F29" s="57"/>
      <c r="G29" s="57"/>
      <c r="H29" s="57"/>
      <c r="I29" s="57"/>
      <c r="J29" s="57"/>
      <c r="K29" s="57"/>
      <c r="L29" s="58"/>
      <c r="M29" s="58"/>
      <c r="N29" s="58"/>
      <c r="O29" s="58"/>
      <c r="P29" s="58"/>
      <c r="Q29" s="59"/>
    </row>
    <row r="31" spans="2:17" s="44" customFormat="1" ht="28.5">
      <c r="B31" s="45" t="s">
        <v>170</v>
      </c>
      <c r="C31" s="67" t="s">
        <v>194</v>
      </c>
      <c r="D31" s="68"/>
      <c r="E31" s="68"/>
      <c r="F31" s="68"/>
      <c r="G31" s="68"/>
      <c r="H31" s="68"/>
      <c r="I31" s="68"/>
      <c r="J31" s="68"/>
      <c r="K31" s="68"/>
      <c r="L31" s="68"/>
      <c r="M31" s="68"/>
      <c r="N31" s="68"/>
      <c r="O31" s="68"/>
      <c r="P31" s="68"/>
      <c r="Q31" s="69"/>
    </row>
    <row r="123" spans="2:17" s="44" customFormat="1" ht="28.5">
      <c r="B123" s="45" t="s">
        <v>170</v>
      </c>
      <c r="C123" s="67" t="s">
        <v>195</v>
      </c>
      <c r="D123" s="68"/>
      <c r="E123" s="68"/>
      <c r="F123" s="68"/>
      <c r="G123" s="68"/>
      <c r="H123" s="68"/>
      <c r="I123" s="68"/>
      <c r="J123" s="68"/>
      <c r="K123" s="68"/>
      <c r="L123" s="68"/>
      <c r="M123" s="68"/>
      <c r="N123" s="68"/>
      <c r="O123" s="68"/>
      <c r="P123" s="68"/>
      <c r="Q123" s="69"/>
    </row>
  </sheetData>
  <phoneticPr fontId="2"/>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F850-F506-41EC-806A-B0157654C6D0}">
  <sheetPr>
    <tabColor rgb="FFFFFF00"/>
  </sheetPr>
  <dimension ref="A1"/>
  <sheetViews>
    <sheetView topLeftCell="A22" zoomScale="55" zoomScaleNormal="55" workbookViewId="0">
      <selection activeCell="B8" sqref="B8:J8"/>
    </sheetView>
  </sheetViews>
  <sheetFormatPr defaultRowHeight="18.75"/>
  <cols>
    <col min="1" max="16384" width="9" style="32"/>
  </cols>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対象機能 (TBK)</vt:lpstr>
      <vt:lpstr>対応</vt:lpstr>
      <vt:lpstr>No.3</vt:lpstr>
      <vt:lpstr>No.10</vt:lpstr>
      <vt:lpstr>No.20</vt:lpstr>
      <vt:lpstr>No.23</vt:lpstr>
      <vt:lpstr>No.26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朱軍</dc:creator>
  <cp:lastModifiedBy>朱軍</cp:lastModifiedBy>
  <dcterms:created xsi:type="dcterms:W3CDTF">2015-06-05T18:19:34Z</dcterms:created>
  <dcterms:modified xsi:type="dcterms:W3CDTF">2023-08-02T08:27:24Z</dcterms:modified>
</cp:coreProperties>
</file>